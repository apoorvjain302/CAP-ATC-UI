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Instructions to get the extract" sheetId="1" r:id="rId1"/>
    <sheet name="Pivots" sheetId="2" r:id="rId2"/>
    <sheet name="SMODILOG" sheetId="3" r:id="rId3"/>
    <sheet name="Namespace" sheetId="4" r:id="rId4"/>
    <sheet name="Classification" sheetId="5" r:id="rId5"/>
  </sheets>
  <definedNames>
    <definedName name="_xlcn.WorksheetConnection_TUA_Automatic.xlsxTable1" hidden="1">Table1[]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5:C20"/>
  <sheetViews>
    <sheetView workbookViewId="0" rightToLeft="0"/>
  </sheetViews>
  <sheetData>
    <row r="5">
      <c r="C5" t="str">
        <v>Approach to extract the data from customer's system</v>
      </c>
    </row>
    <row r="12">
      <c r="B12" t="str">
        <v>Step 1</v>
      </c>
      <c r="C12" t="str">
        <v>Copy the SMODILOG entries to "SMODILOG" worksheet</v>
      </c>
    </row>
    <row r="13">
      <c r="B13" t="str">
        <v>Step 2</v>
      </c>
      <c r="C13" t="str">
        <v>Copy the TRNSPACET entries to "TRNSPACET" worksheet</v>
      </c>
    </row>
    <row r="14">
      <c r="B14" t="str">
        <v>Step 3</v>
      </c>
      <c r="C14" t="str">
        <v>In "SMODILOG" worksheet, validate columns - AB, AC &amp; AE</v>
      </c>
    </row>
    <row r="15">
      <c r="C15" t="str">
        <v>The cells should not have values - 0 or #N/A</v>
      </c>
    </row>
    <row r="16">
      <c r="C16" t="str">
        <v>Once the 0 and #N/A entries are eliminated, the manual work is done</v>
      </c>
    </row>
    <row r="17">
      <c r="B17" t="str">
        <v>Step 4</v>
      </c>
      <c r="C17" t="str">
        <v>Go to worksheet "Pivot" and press refersh</v>
      </c>
    </row>
    <row r="18">
      <c r="C18" t="str">
        <v>In the pivot filter, select Relevant as "YES", and Owner as all namespace belonging to "SAP"</v>
      </c>
    </row>
    <row r="19">
      <c r="B19" t="str">
        <v>Step 5</v>
      </c>
      <c r="C19" t="str">
        <v>Copy the count of SPDD &amp; SPAU and relevant object details into another excel</v>
      </c>
    </row>
    <row r="20">
      <c r="C20" t="str">
        <v>Also highlight the namespaces which are not in scope, and customer needs to get in touch with respective 3rd party vendor</v>
      </c>
    </row>
  </sheetData>
  <pageMargins left="0.7" right="0.7" top="0.75" bottom="0.75" header="0.3" footer="0.3"/>
  <ignoredErrors>
    <ignoredError numberStoredAsText="1" sqref="B5:C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54"/>
  <sheetViews>
    <sheetView workbookViewId="0" rightToLeft="0"/>
  </sheetViews>
  <sheetData>
    <row r="1">
      <c r="A1" t="str">
        <v>Revelant</v>
      </c>
      <c r="B1" t="str">
        <v>Yes</v>
      </c>
      <c r="D1" t="str">
        <v>Revelant</v>
      </c>
      <c r="E1" t="str">
        <v>Yes</v>
      </c>
      <c r="G1" t="str">
        <v>Revelant</v>
      </c>
      <c r="H1" t="str">
        <v>Yes</v>
      </c>
      <c r="K1" t="str">
        <v>Revelant</v>
      </c>
      <c r="L1" t="str">
        <v>Yes</v>
      </c>
    </row>
    <row r="2">
      <c r="A2" t="str">
        <v>Owner</v>
      </c>
      <c r="B2" t="str">
        <v>(Multiple Items)</v>
      </c>
      <c r="D2" t="str">
        <v>Owner</v>
      </c>
      <c r="E2" t="str">
        <v>(Multiple Items)</v>
      </c>
      <c r="G2" t="str">
        <v>Owner</v>
      </c>
      <c r="H2" t="str">
        <v>(Multiple Items)</v>
      </c>
      <c r="K2" t="str">
        <v>Owner</v>
      </c>
      <c r="L2" t="str">
        <v>(Multiple Items)</v>
      </c>
    </row>
    <row r="4">
      <c r="A4" t="str">
        <v>Row Labels</v>
      </c>
      <c r="B4" t="str">
        <v>Distinct Count of Concat</v>
      </c>
      <c r="D4" t="str">
        <v>Row Labels</v>
      </c>
      <c r="E4" t="str">
        <v>Distinct Count of Concat</v>
      </c>
      <c r="G4" t="str">
        <v>Row Labels</v>
      </c>
      <c r="H4" t="str">
        <v>Distinct Count of Concat</v>
      </c>
      <c r="K4" t="str">
        <v>Row Labels</v>
      </c>
      <c r="L4" t="str">
        <v>Final Obj Type</v>
      </c>
      <c r="M4" t="str">
        <v>Final Obj Name</v>
      </c>
    </row>
    <row r="5">
      <c r="A5" t="str">
        <v>SPDD</v>
      </c>
      <c r="B5">
        <v>0</v>
      </c>
      <c r="D5" t="str">
        <v>/0SAP/</v>
      </c>
      <c r="E5">
        <v>296</v>
      </c>
      <c r="G5" t="str">
        <v>SPDD</v>
      </c>
      <c r="K5" t="str">
        <v>SPDD</v>
      </c>
      <c r="L5" t="str">
        <v>DOMA</v>
      </c>
      <c r="M5" t="str">
        <v>/RTC/TM_TM_ATT</v>
      </c>
    </row>
    <row r="6">
      <c r="A6" t="str">
        <v>SPAU</v>
      </c>
      <c r="B6">
        <v>7</v>
      </c>
      <c r="D6" t="str">
        <v>/1SDBF12L/</v>
      </c>
      <c r="E6">
        <v>5</v>
      </c>
      <c r="G6" t="str">
        <v>DOMA</v>
      </c>
      <c r="H6">
        <v>5</v>
      </c>
      <c r="K6" t="str">
        <v>SPDD</v>
      </c>
      <c r="L6" t="str">
        <v>DOMA</v>
      </c>
      <c r="M6" t="str">
        <v>/RTC/TM_DO_PACKAGE</v>
      </c>
    </row>
    <row r="7">
      <c r="A7" t="str">
        <v>Grand Total</v>
      </c>
      <c r="B7">
        <v>7</v>
      </c>
      <c r="D7" t="str">
        <v>/DCT/</v>
      </c>
      <c r="E7">
        <v>78</v>
      </c>
      <c r="G7" t="str">
        <v>DOMD</v>
      </c>
      <c r="H7">
        <v>7</v>
      </c>
      <c r="K7" t="str">
        <v>SPDD</v>
      </c>
      <c r="L7" t="str">
        <v>DOMA</v>
      </c>
      <c r="M7" t="str">
        <v>/RTC/TM_DO_CHA70CS</v>
      </c>
    </row>
    <row r="8">
      <c r="D8" t="str">
        <v>/HITRYVAL/</v>
      </c>
      <c r="E8">
        <v>5</v>
      </c>
      <c r="G8" t="str">
        <v>DTED</v>
      </c>
      <c r="H8">
        <v>5</v>
      </c>
      <c r="K8" t="str">
        <v>SPDD</v>
      </c>
      <c r="L8" t="str">
        <v>DOMA</v>
      </c>
      <c r="M8" t="str">
        <v>/RTC/TM_DO_BADPAR5</v>
      </c>
    </row>
    <row r="9">
      <c r="D9" t="str">
        <v>/RTC/</v>
      </c>
      <c r="E9">
        <v>165</v>
      </c>
      <c r="G9" t="str">
        <v>DTEL</v>
      </c>
      <c r="H9">
        <v>2</v>
      </c>
      <c r="K9" t="str">
        <v>SPDD</v>
      </c>
      <c r="L9" t="str">
        <v>DOMA</v>
      </c>
      <c r="M9" t="str">
        <v>/RTC/TM_CHA45</v>
      </c>
    </row>
    <row r="10">
      <c r="D10" t="str">
        <v>Grand Total</v>
      </c>
      <c r="E10">
        <v>549</v>
      </c>
      <c r="G10" t="str">
        <v>ENQU</v>
      </c>
      <c r="H10">
        <v>9</v>
      </c>
      <c r="K10" t="str">
        <v>SPDD</v>
      </c>
      <c r="L10" t="str">
        <v>DOMD</v>
      </c>
      <c r="M10" t="str">
        <v>KLABC</v>
      </c>
    </row>
    <row r="11">
      <c r="A11" t="str">
        <v>SSCRFLAG</v>
      </c>
      <c r="B11" t="str">
        <v>All</v>
      </c>
      <c r="G11" t="str">
        <v>INDX</v>
      </c>
      <c r="H11">
        <v>38</v>
      </c>
      <c r="K11" t="str">
        <v>SPDD</v>
      </c>
      <c r="L11" t="str">
        <v>DOMD</v>
      </c>
      <c r="M11" t="str">
        <v>HU_OBJECT</v>
      </c>
    </row>
    <row r="12">
      <c r="A12" t="str">
        <v>SAPFLAG</v>
      </c>
      <c r="B12" t="str">
        <v>All</v>
      </c>
      <c r="G12" t="str">
        <v>SHLD</v>
      </c>
      <c r="H12">
        <v>2</v>
      </c>
      <c r="K12" t="str">
        <v>SPDD</v>
      </c>
      <c r="L12" t="str">
        <v>DOMD</v>
      </c>
      <c r="M12" t="str">
        <v>/RTC/TM_TM_ATT</v>
      </c>
    </row>
    <row r="13">
      <c r="A13" t="str">
        <v>GEN_ONLY</v>
      </c>
      <c r="B13" t="str">
        <v>All</v>
      </c>
      <c r="G13" t="str">
        <v>TABD</v>
      </c>
      <c r="H13">
        <v>44</v>
      </c>
      <c r="K13" t="str">
        <v>SPDD</v>
      </c>
      <c r="L13" t="str">
        <v>DOMD</v>
      </c>
      <c r="M13" t="str">
        <v>/RTC/TM_DO_PACKAGE</v>
      </c>
    </row>
    <row r="14">
      <c r="A14" t="str">
        <v>Owner</v>
      </c>
      <c r="B14" t="str">
        <v>All</v>
      </c>
      <c r="D14" t="str">
        <v>Revelant</v>
      </c>
      <c r="E14" t="str">
        <v>Yes</v>
      </c>
      <c r="G14" t="str">
        <v>TABL</v>
      </c>
      <c r="H14">
        <v>36</v>
      </c>
      <c r="K14" t="str">
        <v>SPDD</v>
      </c>
      <c r="L14" t="str">
        <v>DOMD</v>
      </c>
      <c r="M14" t="str">
        <v>/RTC/TM_DO_CHA70CS</v>
      </c>
    </row>
    <row r="15">
      <c r="D15" t="str">
        <v>Owner</v>
      </c>
      <c r="E15" t="str">
        <v>(Multiple Items)</v>
      </c>
      <c r="G15" t="str">
        <v>TABT</v>
      </c>
      <c r="H15">
        <v>34</v>
      </c>
      <c r="K15" t="str">
        <v>SPDD</v>
      </c>
      <c r="L15" t="str">
        <v>DOMD</v>
      </c>
      <c r="M15" t="str">
        <v>/RTC/TM_DO_BADPAR5</v>
      </c>
    </row>
    <row r="16">
      <c r="A16" t="str">
        <v>Row Labels</v>
      </c>
      <c r="B16" t="str">
        <v>Distinct Count of Concat</v>
      </c>
      <c r="G16" t="str">
        <v>TOBJ</v>
      </c>
      <c r="H16">
        <v>9</v>
      </c>
      <c r="K16" t="str">
        <v>SPDD</v>
      </c>
      <c r="L16" t="str">
        <v>DOMD</v>
      </c>
      <c r="M16" t="str">
        <v>/RTC/TM_CHA45</v>
      </c>
    </row>
    <row r="17">
      <c r="A17" t="str">
        <v>/0SAP/</v>
      </c>
      <c r="B17">
        <v>296</v>
      </c>
      <c r="D17" t="str">
        <v>Row Labels</v>
      </c>
      <c r="E17" t="str">
        <v>Distinct Count of Concat</v>
      </c>
      <c r="G17" t="str">
        <v>TTYD</v>
      </c>
      <c r="H17">
        <v>2</v>
      </c>
      <c r="K17" t="str">
        <v>SPDD</v>
      </c>
      <c r="L17" t="str">
        <v>DTED</v>
      </c>
      <c r="M17" t="str">
        <v>PRODH4</v>
      </c>
    </row>
    <row r="18">
      <c r="A18" t="str">
        <v>/1SDBF12L/</v>
      </c>
      <c r="B18">
        <v>5</v>
      </c>
      <c r="D18" t="str">
        <v>/0SAP/</v>
      </c>
      <c r="E18">
        <v>296</v>
      </c>
      <c r="G18" t="str">
        <v>TYPD</v>
      </c>
      <c r="H18">
        <v>1</v>
      </c>
      <c r="K18" t="str">
        <v>SPDD</v>
      </c>
      <c r="L18" t="str">
        <v>DTED</v>
      </c>
      <c r="M18" t="str">
        <v>PRODH3</v>
      </c>
    </row>
    <row r="19">
      <c r="A19" t="str">
        <v>/DCT/</v>
      </c>
      <c r="B19">
        <v>86</v>
      </c>
      <c r="D19" t="str">
        <v>/1SDBF12L/</v>
      </c>
      <c r="E19">
        <v>5</v>
      </c>
      <c r="G19" t="str">
        <v>TYPE</v>
      </c>
      <c r="H19">
        <v>1</v>
      </c>
      <c r="K19" t="str">
        <v>SPDD</v>
      </c>
      <c r="L19" t="str">
        <v>DTED</v>
      </c>
      <c r="M19" t="str">
        <v>PRODH2</v>
      </c>
    </row>
    <row r="20">
      <c r="A20" t="str">
        <v>/HITRYVAL/</v>
      </c>
      <c r="B20">
        <v>5</v>
      </c>
      <c r="D20" t="str">
        <v>/DCT/</v>
      </c>
      <c r="E20">
        <v>78</v>
      </c>
      <c r="G20" t="str">
        <v>VIED</v>
      </c>
      <c r="H20">
        <v>2</v>
      </c>
      <c r="K20" t="str">
        <v>SPDD</v>
      </c>
      <c r="L20" t="str">
        <v>DTED</v>
      </c>
      <c r="M20" t="str">
        <v>PRODH1</v>
      </c>
    </row>
    <row r="21">
      <c r="A21" t="str">
        <v>/IBMMON/</v>
      </c>
      <c r="B21">
        <v>10</v>
      </c>
      <c r="D21" t="str">
        <v>/HITRYVAL/</v>
      </c>
      <c r="E21">
        <v>5</v>
      </c>
      <c r="G21" t="str">
        <v>VIEW</v>
      </c>
      <c r="H21">
        <v>1</v>
      </c>
      <c r="K21" t="str">
        <v>SPDD</v>
      </c>
      <c r="L21" t="str">
        <v>DTED</v>
      </c>
      <c r="M21" t="str">
        <v>/RTC/TM_DT_PACKAGE</v>
      </c>
    </row>
    <row r="22">
      <c r="A22" t="str">
        <v>/NFM/</v>
      </c>
      <c r="B22">
        <v>1</v>
      </c>
      <c r="D22" t="str">
        <v>/RTC/</v>
      </c>
      <c r="E22">
        <v>165</v>
      </c>
      <c r="G22" t="str">
        <v>SPAU</v>
      </c>
      <c r="K22" t="str">
        <v>SPDD</v>
      </c>
      <c r="L22" t="str">
        <v>DTEL</v>
      </c>
      <c r="M22" t="str">
        <v>/DCT/W575_TGT_VALUE</v>
      </c>
    </row>
    <row r="23">
      <c r="A23" t="str">
        <v>/RTC/</v>
      </c>
      <c r="B23">
        <v>165</v>
      </c>
      <c r="D23" t="str">
        <v>Grand Total</v>
      </c>
      <c r="E23">
        <v>549</v>
      </c>
      <c r="G23" t="str">
        <v>CPUB</v>
      </c>
      <c r="H23">
        <v>1</v>
      </c>
      <c r="K23" t="str">
        <v>SPDD</v>
      </c>
      <c r="L23" t="str">
        <v>DTEL</v>
      </c>
      <c r="M23" t="str">
        <v>/DCT/W575_SRC_VALUE</v>
      </c>
    </row>
    <row r="24">
      <c r="A24" t="str">
        <v>Grand Total</v>
      </c>
      <c r="B24">
        <v>568</v>
      </c>
      <c r="G24" t="str">
        <v>CUAD</v>
      </c>
      <c r="H24">
        <v>3</v>
      </c>
      <c r="K24" t="str">
        <v>SPDD</v>
      </c>
      <c r="L24" t="str">
        <v>ENQU</v>
      </c>
      <c r="M24" t="str">
        <v>/RTC/E_TM_UG</v>
      </c>
    </row>
    <row r="25">
      <c r="G25" t="str">
        <v>DEVC</v>
      </c>
      <c r="H25">
        <v>21</v>
      </c>
      <c r="K25" t="str">
        <v>SPDD</v>
      </c>
      <c r="L25" t="str">
        <v>ENQU</v>
      </c>
      <c r="M25" t="str">
        <v>/RTC/E_TM_TA</v>
      </c>
    </row>
    <row r="26">
      <c r="G26" t="str">
        <v>DYNP</v>
      </c>
      <c r="H26">
        <v>62</v>
      </c>
      <c r="K26" t="str">
        <v>SPDD</v>
      </c>
      <c r="L26" t="str">
        <v>ENQU</v>
      </c>
      <c r="M26" t="str">
        <v>/RTC/E_TM_SC</v>
      </c>
    </row>
    <row r="27">
      <c r="G27" t="str">
        <v>FUGR</v>
      </c>
      <c r="H27">
        <v>21</v>
      </c>
      <c r="K27" t="str">
        <v>SPDD</v>
      </c>
      <c r="L27" t="str">
        <v>ENQU</v>
      </c>
      <c r="M27" t="str">
        <v>/RTC/E_TM_PV</v>
      </c>
    </row>
    <row r="28">
      <c r="G28" t="str">
        <v>FUGT</v>
      </c>
      <c r="H28">
        <v>2</v>
      </c>
      <c r="K28" t="str">
        <v>SPDD</v>
      </c>
      <c r="L28" t="str">
        <v>ENQU</v>
      </c>
      <c r="M28" t="str">
        <v>/RTC/E_TM_LC</v>
      </c>
    </row>
    <row r="29">
      <c r="G29" t="str">
        <v>FUNC</v>
      </c>
      <c r="H29">
        <v>5</v>
      </c>
      <c r="K29" t="str">
        <v>SPDD</v>
      </c>
      <c r="L29" t="str">
        <v>ENQU</v>
      </c>
      <c r="M29" t="str">
        <v>/RTC/E_TM_DT</v>
      </c>
    </row>
    <row r="30">
      <c r="G30" t="str">
        <v>METH</v>
      </c>
      <c r="H30">
        <v>1</v>
      </c>
      <c r="K30" t="str">
        <v>SPDD</v>
      </c>
      <c r="L30" t="str">
        <v>ENQU</v>
      </c>
      <c r="M30" t="str">
        <v>/RTC/E_TM_CU</v>
      </c>
    </row>
    <row r="31">
      <c r="G31" t="str">
        <v>NOTE</v>
      </c>
      <c r="H31">
        <v>35</v>
      </c>
      <c r="K31" t="str">
        <v>SPDD</v>
      </c>
      <c r="L31" t="str">
        <v>ENQU</v>
      </c>
      <c r="M31" t="str">
        <v>/RTC/E_TM_BC</v>
      </c>
    </row>
    <row r="32">
      <c r="G32" t="str">
        <v>PROG</v>
      </c>
      <c r="H32">
        <v>14</v>
      </c>
      <c r="K32" t="str">
        <v>SPDD</v>
      </c>
      <c r="L32" t="str">
        <v>ENQU</v>
      </c>
      <c r="M32" t="str">
        <v>/RTC/E_TM_AS</v>
      </c>
    </row>
    <row r="33">
      <c r="G33" t="str">
        <v>REPS</v>
      </c>
      <c r="H33">
        <v>146</v>
      </c>
      <c r="K33" t="str">
        <v>SPDD</v>
      </c>
      <c r="L33" t="str">
        <v>INDX</v>
      </c>
      <c r="M33" t="str">
        <v>VLCHISTORY                    ZGD</v>
      </c>
    </row>
    <row r="34">
      <c r="G34" t="str">
        <v>REPT</v>
      </c>
      <c r="H34">
        <v>16</v>
      </c>
      <c r="K34" t="str">
        <v>SPDD</v>
      </c>
      <c r="L34" t="str">
        <v>INDX</v>
      </c>
      <c r="M34" t="str">
        <v>VLCADDDATA                    ZAQ</v>
      </c>
    </row>
    <row r="35">
      <c r="G35" t="str">
        <v>SCVI</v>
      </c>
      <c r="H35">
        <v>12</v>
      </c>
      <c r="K35" t="str">
        <v>SPDD</v>
      </c>
      <c r="L35" t="str">
        <v>INDX</v>
      </c>
      <c r="M35" t="str">
        <v>VEPO                          ZVL</v>
      </c>
    </row>
    <row r="36">
      <c r="G36" t="str">
        <v>STVI</v>
      </c>
      <c r="H36">
        <v>1</v>
      </c>
      <c r="K36" t="str">
        <v>SPDD</v>
      </c>
      <c r="L36" t="str">
        <v>INDX</v>
      </c>
      <c r="M36" t="str">
        <v>VBUK                          ZLF</v>
      </c>
    </row>
    <row r="37">
      <c r="G37" t="str">
        <v>SXSD</v>
      </c>
      <c r="H37">
        <v>4</v>
      </c>
      <c r="K37" t="str">
        <v>SPDD</v>
      </c>
      <c r="L37" t="str">
        <v>INDX</v>
      </c>
      <c r="M37" t="str">
        <v>VBRP                          ZVL</v>
      </c>
    </row>
    <row r="38">
      <c r="G38" t="str">
        <v>TRAN</v>
      </c>
      <c r="H38">
        <v>2</v>
      </c>
      <c r="K38" t="str">
        <v>SPDD</v>
      </c>
      <c r="L38" t="str">
        <v>INDX</v>
      </c>
      <c r="M38" t="str">
        <v>VBRP                          ZAU</v>
      </c>
    </row>
    <row r="39">
      <c r="G39" t="str">
        <v>VARI</v>
      </c>
      <c r="H39">
        <v>5</v>
      </c>
      <c r="K39" t="str">
        <v>SPDD</v>
      </c>
      <c r="L39" t="str">
        <v>INDX</v>
      </c>
      <c r="M39" t="str">
        <v>VBRK                          Z01</v>
      </c>
    </row>
    <row r="40">
      <c r="G40" t="str">
        <v>Grand Total</v>
      </c>
      <c r="H40">
        <v>549</v>
      </c>
      <c r="K40" t="str">
        <v>SPDD</v>
      </c>
      <c r="L40" t="str">
        <v>INDX</v>
      </c>
      <c r="M40" t="str">
        <v>VBKD                          ZBE</v>
      </c>
    </row>
    <row r="41">
      <c r="K41" t="str">
        <v>SPDD</v>
      </c>
      <c r="L41" t="str">
        <v>INDX</v>
      </c>
      <c r="M41" t="str">
        <v>VBFA                          ZNN</v>
      </c>
    </row>
    <row r="42">
      <c r="K42" t="str">
        <v>SPDD</v>
      </c>
      <c r="L42" t="str">
        <v>INDX</v>
      </c>
      <c r="M42" t="str">
        <v>VBAP                          Z01</v>
      </c>
    </row>
    <row r="43">
      <c r="K43" t="str">
        <v>SPDD</v>
      </c>
      <c r="L43" t="str">
        <v>INDX</v>
      </c>
      <c r="M43" t="str">
        <v>VBAK                          ZDU</v>
      </c>
    </row>
    <row r="44">
      <c r="K44" t="str">
        <v>SPDD</v>
      </c>
      <c r="L44" t="str">
        <v>INDX</v>
      </c>
      <c r="M44" t="str">
        <v>VBAK                          ZBN</v>
      </c>
    </row>
    <row r="45">
      <c r="K45" t="str">
        <v>SPDD</v>
      </c>
      <c r="L45" t="str">
        <v>INDX</v>
      </c>
      <c r="M45" t="str">
        <v>VBAK                          ZAA</v>
      </c>
    </row>
    <row r="46">
      <c r="K46" t="str">
        <v>SPDD</v>
      </c>
      <c r="L46" t="str">
        <v>INDX</v>
      </c>
      <c r="M46" t="str">
        <v>SETLEAF                       ZNM</v>
      </c>
    </row>
    <row r="47">
      <c r="K47" t="str">
        <v>SPDD</v>
      </c>
      <c r="L47" t="str">
        <v>INDX</v>
      </c>
      <c r="M47" t="str">
        <v>MSEG                          ZSG</v>
      </c>
    </row>
    <row r="48">
      <c r="K48" t="str">
        <v>SPDD</v>
      </c>
      <c r="L48" t="str">
        <v>INDX</v>
      </c>
      <c r="M48" t="str">
        <v>MSEG                          ZAU</v>
      </c>
    </row>
    <row r="49">
      <c r="K49" t="str">
        <v>SPDD</v>
      </c>
      <c r="L49" t="str">
        <v>INDX</v>
      </c>
      <c r="M49" t="str">
        <v>MSEG                          EBE</v>
      </c>
    </row>
    <row r="50">
      <c r="K50" t="str">
        <v>SPDD</v>
      </c>
      <c r="L50" t="str">
        <v>INDX</v>
      </c>
      <c r="M50" t="str">
        <v>MKPF                          Z01</v>
      </c>
    </row>
    <row r="51">
      <c r="K51" t="str">
        <v>SPDD</v>
      </c>
      <c r="L51" t="str">
        <v>INDX</v>
      </c>
      <c r="M51" t="str">
        <v>LIPS                          ZKY</v>
      </c>
    </row>
    <row r="52">
      <c r="K52" t="str">
        <v>SPDD</v>
      </c>
      <c r="L52" t="str">
        <v>INDX</v>
      </c>
      <c r="M52" t="str">
        <v>LIPS                          ZDR</v>
      </c>
    </row>
    <row r="53">
      <c r="K53" t="str">
        <v>SPDD</v>
      </c>
      <c r="L53" t="str">
        <v>INDX</v>
      </c>
      <c r="M53" t="str">
        <v>LIKP                          ZVK</v>
      </c>
    </row>
    <row r="54">
      <c r="K54" t="str">
        <v>SPDD</v>
      </c>
      <c r="L54" t="str">
        <v>INDX</v>
      </c>
      <c r="M54" t="str">
        <v>LIKP                          ZLF</v>
      </c>
    </row>
    <row r="55">
      <c r="K55" t="str">
        <v>SPDD</v>
      </c>
      <c r="L55" t="str">
        <v>INDX</v>
      </c>
      <c r="M55" t="str">
        <v>LIKP                          LOC</v>
      </c>
    </row>
    <row r="56">
      <c r="K56" t="str">
        <v>SPDD</v>
      </c>
      <c r="L56" t="str">
        <v>INDX</v>
      </c>
      <c r="M56" t="str">
        <v>LIKP                          EXT</v>
      </c>
    </row>
    <row r="57">
      <c r="K57" t="str">
        <v>SPDD</v>
      </c>
      <c r="L57" t="str">
        <v>INDX</v>
      </c>
      <c r="M57" t="str">
        <v>EKPO                          ZZ2</v>
      </c>
    </row>
    <row r="58">
      <c r="K58" t="str">
        <v>SPDD</v>
      </c>
      <c r="L58" t="str">
        <v>INDX</v>
      </c>
      <c r="M58" t="str">
        <v>EKPO                          ZZ1</v>
      </c>
    </row>
    <row r="59">
      <c r="K59" t="str">
        <v>SPDD</v>
      </c>
      <c r="L59" t="str">
        <v>INDX</v>
      </c>
      <c r="M59" t="str">
        <v>EKPO                          ZDI</v>
      </c>
    </row>
    <row r="60">
      <c r="K60" t="str">
        <v>SPDD</v>
      </c>
      <c r="L60" t="str">
        <v>INDX</v>
      </c>
      <c r="M60" t="str">
        <v>EKPO                          ZAR</v>
      </c>
    </row>
    <row r="61">
      <c r="K61" t="str">
        <v>SPDD</v>
      </c>
      <c r="L61" t="str">
        <v>INDX</v>
      </c>
      <c r="M61" t="str">
        <v>EKKO                          ZZ2</v>
      </c>
    </row>
    <row r="62">
      <c r="K62" t="str">
        <v>SPDD</v>
      </c>
      <c r="L62" t="str">
        <v>INDX</v>
      </c>
      <c r="M62" t="str">
        <v>EKKO                          ZDD</v>
      </c>
    </row>
    <row r="63">
      <c r="K63" t="str">
        <v>SPDD</v>
      </c>
      <c r="L63" t="str">
        <v>INDX</v>
      </c>
      <c r="M63" t="str">
        <v>EKKO                          ZBL</v>
      </c>
    </row>
    <row r="64">
      <c r="K64" t="str">
        <v>SPDD</v>
      </c>
      <c r="L64" t="str">
        <v>INDX</v>
      </c>
      <c r="M64" t="str">
        <v>EKET                          Z01</v>
      </c>
    </row>
    <row r="65">
      <c r="K65" t="str">
        <v>SPDD</v>
      </c>
      <c r="L65" t="str">
        <v>INDX</v>
      </c>
      <c r="M65" t="str">
        <v>EKES                          VBL</v>
      </c>
    </row>
    <row r="66">
      <c r="K66" t="str">
        <v>SPDD</v>
      </c>
      <c r="L66" t="str">
        <v>INDX</v>
      </c>
      <c r="M66" t="str">
        <v>EBAN                          ZLF</v>
      </c>
    </row>
    <row r="67">
      <c r="K67" t="str">
        <v>SPDD</v>
      </c>
      <c r="L67" t="str">
        <v>INDX</v>
      </c>
      <c r="M67" t="str">
        <v>EBAN                          ZIN</v>
      </c>
    </row>
    <row r="68">
      <c r="K68" t="str">
        <v>SPDD</v>
      </c>
      <c r="L68" t="str">
        <v>INDX</v>
      </c>
      <c r="M68" t="str">
        <v>EBAN                          ZFB</v>
      </c>
    </row>
    <row r="69">
      <c r="K69" t="str">
        <v>SPDD</v>
      </c>
      <c r="L69" t="str">
        <v>INDX</v>
      </c>
      <c r="M69" t="str">
        <v>DBTABLOG                      ZLK</v>
      </c>
    </row>
    <row r="70">
      <c r="K70" t="str">
        <v>SPDD</v>
      </c>
      <c r="L70" t="str">
        <v>INDX</v>
      </c>
      <c r="M70" t="str">
        <v>CVLC06                        ZAD</v>
      </c>
    </row>
    <row r="71">
      <c r="K71" t="str">
        <v>SPDD</v>
      </c>
      <c r="L71" t="str">
        <v>SHLD</v>
      </c>
      <c r="M71" t="str">
        <v>VMVL</v>
      </c>
    </row>
    <row r="72">
      <c r="K72" t="str">
        <v>SPDD</v>
      </c>
      <c r="L72" t="str">
        <v>SHLD</v>
      </c>
      <c r="M72" t="str">
        <v>VMCF</v>
      </c>
    </row>
    <row r="73">
      <c r="K73" t="str">
        <v>SPDD</v>
      </c>
      <c r="L73" t="str">
        <v>TABD</v>
      </c>
      <c r="M73" t="str">
        <v>VTTK</v>
      </c>
    </row>
    <row r="74">
      <c r="K74" t="str">
        <v>SPDD</v>
      </c>
      <c r="L74" t="str">
        <v>TABD</v>
      </c>
      <c r="M74" t="str">
        <v>VBMTVZ</v>
      </c>
    </row>
    <row r="75">
      <c r="K75" t="str">
        <v>SPDD</v>
      </c>
      <c r="L75" t="str">
        <v>TABD</v>
      </c>
      <c r="M75" t="str">
        <v>PRODHS</v>
      </c>
    </row>
    <row r="76">
      <c r="K76" t="str">
        <v>SPDD</v>
      </c>
      <c r="L76" t="str">
        <v>TABD</v>
      </c>
      <c r="M76" t="str">
        <v>PPC_PROFILE</v>
      </c>
    </row>
    <row r="77">
      <c r="K77" t="str">
        <v>SPDD</v>
      </c>
      <c r="L77" t="str">
        <v>TABD</v>
      </c>
      <c r="M77" t="str">
        <v>KOMPAZ</v>
      </c>
    </row>
    <row r="78">
      <c r="K78" t="str">
        <v>SPDD</v>
      </c>
      <c r="L78" t="str">
        <v>TABD</v>
      </c>
      <c r="M78" t="str">
        <v>KOMKAZ</v>
      </c>
    </row>
    <row r="79">
      <c r="K79" t="str">
        <v>SPDD</v>
      </c>
      <c r="L79" t="str">
        <v>TABD</v>
      </c>
      <c r="M79" t="str">
        <v>BKPF_SUBST</v>
      </c>
    </row>
    <row r="80">
      <c r="K80" t="str">
        <v>SPDD</v>
      </c>
      <c r="L80" t="str">
        <v>TABD</v>
      </c>
      <c r="M80" t="str">
        <v>/RTC/TM_WTIME</v>
      </c>
    </row>
    <row r="81">
      <c r="K81" t="str">
        <v>SPDD</v>
      </c>
      <c r="L81" t="str">
        <v>TABD</v>
      </c>
      <c r="M81" t="str">
        <v>/RTC/TM_WLIST</v>
      </c>
    </row>
    <row r="82">
      <c r="K82" t="str">
        <v>SPDD</v>
      </c>
      <c r="L82" t="str">
        <v>TABD</v>
      </c>
      <c r="M82" t="str">
        <v>/RTC/TM_WF01</v>
      </c>
    </row>
    <row r="83">
      <c r="K83" t="str">
        <v>SPDD</v>
      </c>
      <c r="L83" t="str">
        <v>TABD</v>
      </c>
      <c r="M83" t="str">
        <v>/RTC/TM_WF00</v>
      </c>
    </row>
    <row r="84">
      <c r="K84" t="str">
        <v>SPDD</v>
      </c>
      <c r="L84" t="str">
        <v>TABD</v>
      </c>
      <c r="M84" t="str">
        <v>/RTC/TM_VERSIONS</v>
      </c>
    </row>
    <row r="85">
      <c r="K85" t="str">
        <v>SPDD</v>
      </c>
      <c r="L85" t="str">
        <v>TABD</v>
      </c>
      <c r="M85" t="str">
        <v>/RTC/TM_USRPROXY</v>
      </c>
    </row>
    <row r="86">
      <c r="K86" t="str">
        <v>SPDD</v>
      </c>
      <c r="L86" t="str">
        <v>TABD</v>
      </c>
      <c r="M86" t="str">
        <v>/RTC/TM_USRGRST</v>
      </c>
    </row>
    <row r="87">
      <c r="K87" t="str">
        <v>SPDD</v>
      </c>
      <c r="L87" t="str">
        <v>TABD</v>
      </c>
      <c r="M87" t="str">
        <v>/RTC/TM_USRGR</v>
      </c>
    </row>
    <row r="88">
      <c r="K88" t="str">
        <v>SPDD</v>
      </c>
      <c r="L88" t="str">
        <v>TABD</v>
      </c>
      <c r="M88" t="str">
        <v>/RTC/TM_USERST</v>
      </c>
    </row>
    <row r="89">
      <c r="K89" t="str">
        <v>SPDD</v>
      </c>
      <c r="L89" t="str">
        <v>TABD</v>
      </c>
      <c r="M89" t="str">
        <v>/RTC/TM_TRINFO_COLL</v>
      </c>
    </row>
    <row r="90">
      <c r="K90" t="str">
        <v>SPDD</v>
      </c>
      <c r="L90" t="str">
        <v>TABD</v>
      </c>
      <c r="M90" t="str">
        <v>/RTC/TM_TREEITEM</v>
      </c>
    </row>
    <row r="91">
      <c r="K91" t="str">
        <v>SPDD</v>
      </c>
      <c r="L91" t="str">
        <v>TABD</v>
      </c>
      <c r="M91" t="str">
        <v>/RTC/TM_TMC</v>
      </c>
    </row>
    <row r="92">
      <c r="K92" t="str">
        <v>SPDD</v>
      </c>
      <c r="L92" t="str">
        <v>TABD</v>
      </c>
      <c r="M92" t="str">
        <v>/RTC/TM_TIM</v>
      </c>
    </row>
    <row r="93">
      <c r="K93" t="str">
        <v>SPDD</v>
      </c>
      <c r="L93" t="str">
        <v>TABD</v>
      </c>
      <c r="M93" t="str">
        <v>/RTC/TM_SYSTEM</v>
      </c>
    </row>
    <row r="94">
      <c r="K94" t="str">
        <v>SPDD</v>
      </c>
      <c r="L94" t="str">
        <v>TABD</v>
      </c>
      <c r="M94" t="str">
        <v>/RTC/TM_SQUEUE01</v>
      </c>
    </row>
    <row r="95">
      <c r="K95" t="str">
        <v>SPDD</v>
      </c>
      <c r="L95" t="str">
        <v>TABD</v>
      </c>
      <c r="M95" t="str">
        <v>/RTC/TM_SERIAL</v>
      </c>
    </row>
    <row r="96">
      <c r="K96" t="str">
        <v>SPDD</v>
      </c>
      <c r="L96" t="str">
        <v>TABD</v>
      </c>
      <c r="M96" t="str">
        <v>/RTC/TM_RESULT</v>
      </c>
    </row>
    <row r="97">
      <c r="K97" t="str">
        <v>SPDD</v>
      </c>
      <c r="L97" t="str">
        <v>TABD</v>
      </c>
      <c r="M97" t="str">
        <v>/RTC/TM_PWD</v>
      </c>
    </row>
    <row r="98">
      <c r="K98" t="str">
        <v>SPDD</v>
      </c>
      <c r="L98" t="str">
        <v>TABD</v>
      </c>
      <c r="M98" t="str">
        <v>/RTC/TM_PROXY</v>
      </c>
    </row>
    <row r="99">
      <c r="K99" t="str">
        <v>SPDD</v>
      </c>
      <c r="L99" t="str">
        <v>TABD</v>
      </c>
      <c r="M99" t="str">
        <v>/RTC/TM_PASS</v>
      </c>
    </row>
    <row r="100">
      <c r="K100" t="str">
        <v>SPDD</v>
      </c>
      <c r="L100" t="str">
        <v>TABD</v>
      </c>
      <c r="M100" t="str">
        <v>/RTC/TM_NEWS</v>
      </c>
    </row>
    <row r="101">
      <c r="K101" t="str">
        <v>SPDD</v>
      </c>
      <c r="L101" t="str">
        <v>TABD</v>
      </c>
      <c r="M101" t="str">
        <v>/RTC/TM_NARCHIVE</v>
      </c>
    </row>
    <row r="102">
      <c r="K102" t="str">
        <v>SPDD</v>
      </c>
      <c r="L102" t="str">
        <v>TABD</v>
      </c>
      <c r="M102" t="str">
        <v>/RTC/TM_MSGINFO</v>
      </c>
    </row>
    <row r="103">
      <c r="K103" t="str">
        <v>SPDD</v>
      </c>
      <c r="L103" t="str">
        <v>TABD</v>
      </c>
      <c r="M103" t="str">
        <v>/RTC/TM_LO92</v>
      </c>
    </row>
    <row r="104">
      <c r="K104" t="str">
        <v>SPDD</v>
      </c>
      <c r="L104" t="str">
        <v>TABD</v>
      </c>
      <c r="M104" t="str">
        <v>/RTC/TM_HPACKS</v>
      </c>
    </row>
    <row r="105">
      <c r="K105" t="str">
        <v>SPDD</v>
      </c>
      <c r="L105" t="str">
        <v>TABD</v>
      </c>
      <c r="M105" t="str">
        <v>/RTC/TM_DUAL_CON</v>
      </c>
    </row>
    <row r="106">
      <c r="K106" t="str">
        <v>SPDD</v>
      </c>
      <c r="L106" t="str">
        <v>TABD</v>
      </c>
      <c r="M106" t="str">
        <v>/RTC/TM_DESTS</v>
      </c>
    </row>
    <row r="107">
      <c r="K107" t="str">
        <v>SPDD</v>
      </c>
      <c r="L107" t="str">
        <v>TABD</v>
      </c>
      <c r="M107" t="str">
        <v>/RTC/TM_COLLISIONS</v>
      </c>
    </row>
    <row r="108">
      <c r="K108" t="str">
        <v>SPDD</v>
      </c>
      <c r="L108" t="str">
        <v>TABD</v>
      </c>
      <c r="M108" t="str">
        <v>/RTC/TM_000</v>
      </c>
    </row>
    <row r="109">
      <c r="K109" t="str">
        <v>SPDD</v>
      </c>
      <c r="L109" t="str">
        <v>TABD</v>
      </c>
      <c r="M109" t="str">
        <v>/DCT/W575_ORGMAP</v>
      </c>
    </row>
    <row r="110">
      <c r="K110" t="str">
        <v>SPDD</v>
      </c>
      <c r="L110" t="str">
        <v>TABD</v>
      </c>
      <c r="M110" t="str">
        <v>/DCT/W575_MAT_SA</v>
      </c>
    </row>
    <row r="111">
      <c r="K111" t="str">
        <v>SPDD</v>
      </c>
      <c r="L111" t="str">
        <v>TABD</v>
      </c>
      <c r="M111" t="str">
        <v>/DCT/W575_JOBMAS</v>
      </c>
    </row>
    <row r="112">
      <c r="K112" t="str">
        <v>SPDD</v>
      </c>
      <c r="L112" t="str">
        <v>TABD</v>
      </c>
      <c r="M112" t="str">
        <v>/DCT/W575_JOBLOG</v>
      </c>
    </row>
    <row r="113">
      <c r="K113" t="str">
        <v>SPDD</v>
      </c>
      <c r="L113" t="str">
        <v>TABD</v>
      </c>
      <c r="M113" t="str">
        <v>/DCT/W575_JOB_ER</v>
      </c>
    </row>
    <row r="114">
      <c r="K114" t="str">
        <v>SPDD</v>
      </c>
      <c r="L114" t="str">
        <v>TABD</v>
      </c>
      <c r="M114" t="str">
        <v>/DCT/W575_IFMAP</v>
      </c>
    </row>
    <row r="115">
      <c r="K115" t="str">
        <v>SPDD</v>
      </c>
      <c r="L115" t="str">
        <v>TABD</v>
      </c>
      <c r="M115" t="str">
        <v>/DCT/W575_BUS_RU</v>
      </c>
    </row>
    <row r="116">
      <c r="K116" t="str">
        <v>SPDD</v>
      </c>
      <c r="L116" t="str">
        <v>TABD</v>
      </c>
      <c r="M116" t="str">
        <v>/DCT/W575_2091_C</v>
      </c>
    </row>
    <row r="117">
      <c r="K117" t="str">
        <v>SPDD</v>
      </c>
      <c r="L117" t="str">
        <v>TABL</v>
      </c>
      <c r="M117" t="str">
        <v>/RTC/TM_WTIME</v>
      </c>
    </row>
    <row r="118">
      <c r="K118" t="str">
        <v>SPDD</v>
      </c>
      <c r="L118" t="str">
        <v>TABL</v>
      </c>
      <c r="M118" t="str">
        <v>/RTC/TM_WLIST</v>
      </c>
    </row>
    <row r="119">
      <c r="K119" t="str">
        <v>SPDD</v>
      </c>
      <c r="L119" t="str">
        <v>TABL</v>
      </c>
      <c r="M119" t="str">
        <v>/RTC/TM_WF01</v>
      </c>
    </row>
    <row r="120">
      <c r="K120" t="str">
        <v>SPDD</v>
      </c>
      <c r="L120" t="str">
        <v>TABL</v>
      </c>
      <c r="M120" t="str">
        <v>/RTC/TM_WF00</v>
      </c>
    </row>
    <row r="121">
      <c r="K121" t="str">
        <v>SPDD</v>
      </c>
      <c r="L121" t="str">
        <v>TABL</v>
      </c>
      <c r="M121" t="str">
        <v>/RTC/TM_VERSIONS</v>
      </c>
    </row>
    <row r="122">
      <c r="K122" t="str">
        <v>SPDD</v>
      </c>
      <c r="L122" t="str">
        <v>TABL</v>
      </c>
      <c r="M122" t="str">
        <v>/RTC/TM_USRPROXY</v>
      </c>
    </row>
    <row r="123">
      <c r="K123" t="str">
        <v>SPDD</v>
      </c>
      <c r="L123" t="str">
        <v>TABL</v>
      </c>
      <c r="M123" t="str">
        <v>/RTC/TM_USRGRST</v>
      </c>
    </row>
    <row r="124">
      <c r="K124" t="str">
        <v>SPDD</v>
      </c>
      <c r="L124" t="str">
        <v>TABL</v>
      </c>
      <c r="M124" t="str">
        <v>/RTC/TM_USRGR</v>
      </c>
    </row>
    <row r="125">
      <c r="K125" t="str">
        <v>SPDD</v>
      </c>
      <c r="L125" t="str">
        <v>TABL</v>
      </c>
      <c r="M125" t="str">
        <v>/RTC/TM_USERST</v>
      </c>
    </row>
    <row r="126">
      <c r="K126" t="str">
        <v>SPDD</v>
      </c>
      <c r="L126" t="str">
        <v>TABL</v>
      </c>
      <c r="M126" t="str">
        <v>/RTC/TM_TRINFO_COLL</v>
      </c>
    </row>
    <row r="127">
      <c r="K127" t="str">
        <v>SPDD</v>
      </c>
      <c r="L127" t="str">
        <v>TABL</v>
      </c>
      <c r="M127" t="str">
        <v>/RTC/TM_TREEITEM</v>
      </c>
    </row>
    <row r="128">
      <c r="K128" t="str">
        <v>SPDD</v>
      </c>
      <c r="L128" t="str">
        <v>TABL</v>
      </c>
      <c r="M128" t="str">
        <v>/RTC/TM_TMC</v>
      </c>
    </row>
    <row r="129">
      <c r="K129" t="str">
        <v>SPDD</v>
      </c>
      <c r="L129" t="str">
        <v>TABL</v>
      </c>
      <c r="M129" t="str">
        <v>/RTC/TM_TIM</v>
      </c>
    </row>
    <row r="130">
      <c r="K130" t="str">
        <v>SPDD</v>
      </c>
      <c r="L130" t="str">
        <v>TABL</v>
      </c>
      <c r="M130" t="str">
        <v>/RTC/TM_SYSTEM</v>
      </c>
    </row>
    <row r="131">
      <c r="K131" t="str">
        <v>SPDD</v>
      </c>
      <c r="L131" t="str">
        <v>TABL</v>
      </c>
      <c r="M131" t="str">
        <v>/RTC/TM_SQUEUE01</v>
      </c>
    </row>
    <row r="132">
      <c r="K132" t="str">
        <v>SPDD</v>
      </c>
      <c r="L132" t="str">
        <v>TABL</v>
      </c>
      <c r="M132" t="str">
        <v>/RTC/TM_SERIAL</v>
      </c>
    </row>
    <row r="133">
      <c r="K133" t="str">
        <v>SPDD</v>
      </c>
      <c r="L133" t="str">
        <v>TABL</v>
      </c>
      <c r="M133" t="str">
        <v>/RTC/TM_RESULT</v>
      </c>
    </row>
    <row r="134">
      <c r="K134" t="str">
        <v>SPDD</v>
      </c>
      <c r="L134" t="str">
        <v>TABL</v>
      </c>
      <c r="M134" t="str">
        <v>/RTC/TM_PWD</v>
      </c>
    </row>
    <row r="135">
      <c r="K135" t="str">
        <v>SPDD</v>
      </c>
      <c r="L135" t="str">
        <v>TABL</v>
      </c>
      <c r="M135" t="str">
        <v>/RTC/TM_PROXY</v>
      </c>
    </row>
    <row r="136">
      <c r="K136" t="str">
        <v>SPDD</v>
      </c>
      <c r="L136" t="str">
        <v>TABL</v>
      </c>
      <c r="M136" t="str">
        <v>/RTC/TM_PASS</v>
      </c>
    </row>
    <row r="137">
      <c r="K137" t="str">
        <v>SPDD</v>
      </c>
      <c r="L137" t="str">
        <v>TABL</v>
      </c>
      <c r="M137" t="str">
        <v>/RTC/TM_NEWS</v>
      </c>
    </row>
    <row r="138">
      <c r="K138" t="str">
        <v>SPDD</v>
      </c>
      <c r="L138" t="str">
        <v>TABL</v>
      </c>
      <c r="M138" t="str">
        <v>/RTC/TM_NARCHIVE</v>
      </c>
    </row>
    <row r="139">
      <c r="K139" t="str">
        <v>SPDD</v>
      </c>
      <c r="L139" t="str">
        <v>TABL</v>
      </c>
      <c r="M139" t="str">
        <v>/RTC/TM_MSGINFO</v>
      </c>
    </row>
    <row r="140">
      <c r="K140" t="str">
        <v>SPDD</v>
      </c>
      <c r="L140" t="str">
        <v>TABL</v>
      </c>
      <c r="M140" t="str">
        <v>/RTC/TM_LO92</v>
      </c>
    </row>
    <row r="141">
      <c r="K141" t="str">
        <v>SPDD</v>
      </c>
      <c r="L141" t="str">
        <v>TABL</v>
      </c>
      <c r="M141" t="str">
        <v>/RTC/TM_HPACKS</v>
      </c>
    </row>
    <row r="142">
      <c r="K142" t="str">
        <v>SPDD</v>
      </c>
      <c r="L142" t="str">
        <v>TABL</v>
      </c>
      <c r="M142" t="str">
        <v>/RTC/TM_DUAL_CON</v>
      </c>
    </row>
    <row r="143">
      <c r="K143" t="str">
        <v>SPDD</v>
      </c>
      <c r="L143" t="str">
        <v>TABL</v>
      </c>
      <c r="M143" t="str">
        <v>/RTC/TM_DESTS</v>
      </c>
    </row>
    <row r="144">
      <c r="K144" t="str">
        <v>SPDD</v>
      </c>
      <c r="L144" t="str">
        <v>TABL</v>
      </c>
      <c r="M144" t="str">
        <v>/RTC/TM_COLLISIONS</v>
      </c>
    </row>
    <row r="145">
      <c r="K145" t="str">
        <v>SPDD</v>
      </c>
      <c r="L145" t="str">
        <v>TABL</v>
      </c>
      <c r="M145" t="str">
        <v>/RTC/TM_000</v>
      </c>
    </row>
    <row r="146">
      <c r="K146" t="str">
        <v>SPDD</v>
      </c>
      <c r="L146" t="str">
        <v>TABL</v>
      </c>
      <c r="M146" t="str">
        <v>/DCT/W575_ORGMAP</v>
      </c>
    </row>
    <row r="147">
      <c r="K147" t="str">
        <v>SPDD</v>
      </c>
      <c r="L147" t="str">
        <v>TABL</v>
      </c>
      <c r="M147" t="str">
        <v>/DCT/W575_MAT_SA</v>
      </c>
    </row>
    <row r="148">
      <c r="K148" t="str">
        <v>SPDD</v>
      </c>
      <c r="L148" t="str">
        <v>TABL</v>
      </c>
      <c r="M148" t="str">
        <v>/DCT/W575_JOBMAS</v>
      </c>
    </row>
    <row r="149">
      <c r="K149" t="str">
        <v>SPDD</v>
      </c>
      <c r="L149" t="str">
        <v>TABL</v>
      </c>
      <c r="M149" t="str">
        <v>/DCT/W575_JOBLOG</v>
      </c>
    </row>
    <row r="150">
      <c r="K150" t="str">
        <v>SPDD</v>
      </c>
      <c r="L150" t="str">
        <v>TABL</v>
      </c>
      <c r="M150" t="str">
        <v>/DCT/W575_IFMAP</v>
      </c>
    </row>
    <row r="151">
      <c r="K151" t="str">
        <v>SPDD</v>
      </c>
      <c r="L151" t="str">
        <v>TABL</v>
      </c>
      <c r="M151" t="str">
        <v>/DCT/W575_BUS_RU</v>
      </c>
    </row>
    <row r="152">
      <c r="K152" t="str">
        <v>SPDD</v>
      </c>
      <c r="L152" t="str">
        <v>TABL</v>
      </c>
      <c r="M152" t="str">
        <v>/DCT/W575_2091_C</v>
      </c>
    </row>
    <row r="153">
      <c r="K153" t="str">
        <v>SPDD</v>
      </c>
      <c r="L153" t="str">
        <v>TABT</v>
      </c>
      <c r="M153" t="str">
        <v>TCUREFC</v>
      </c>
    </row>
    <row r="154">
      <c r="K154" t="str">
        <v>SPDD</v>
      </c>
      <c r="L154" t="str">
        <v>TABT</v>
      </c>
      <c r="M154" t="str">
        <v>TADIR</v>
      </c>
    </row>
    <row r="155">
      <c r="K155" t="str">
        <v>SPDD</v>
      </c>
      <c r="L155" t="str">
        <v>TABT</v>
      </c>
      <c r="M155" t="str">
        <v>T169T</v>
      </c>
    </row>
    <row r="156">
      <c r="K156" t="str">
        <v>SPDD</v>
      </c>
      <c r="L156" t="str">
        <v>TABT</v>
      </c>
      <c r="M156" t="str">
        <v>T169O</v>
      </c>
    </row>
    <row r="157">
      <c r="K157" t="str">
        <v>SPDD</v>
      </c>
      <c r="L157" t="str">
        <v>TABT</v>
      </c>
      <c r="M157" t="str">
        <v>T042ZDT</v>
      </c>
    </row>
    <row r="158">
      <c r="K158" t="str">
        <v>SPDD</v>
      </c>
      <c r="L158" t="str">
        <v>TABT</v>
      </c>
      <c r="M158" t="str">
        <v>T042ZD</v>
      </c>
    </row>
    <row r="159">
      <c r="K159" t="str">
        <v>SPDD</v>
      </c>
      <c r="L159" t="str">
        <v>TABT</v>
      </c>
      <c r="M159" t="str">
        <v>T042X</v>
      </c>
    </row>
    <row r="160">
      <c r="K160" t="str">
        <v>SPDD</v>
      </c>
      <c r="L160" t="str">
        <v>TABT</v>
      </c>
      <c r="M160" t="str">
        <v>T042U</v>
      </c>
    </row>
    <row r="161">
      <c r="K161" t="str">
        <v>SPDD</v>
      </c>
      <c r="L161" t="str">
        <v>TABT</v>
      </c>
      <c r="M161" t="str">
        <v>T042FSL</v>
      </c>
    </row>
    <row r="162">
      <c r="K162" t="str">
        <v>SPDD</v>
      </c>
      <c r="L162" t="str">
        <v>TABT</v>
      </c>
      <c r="M162" t="str">
        <v>T042F_FMFG_TC</v>
      </c>
    </row>
    <row r="163">
      <c r="K163" t="str">
        <v>SPDD</v>
      </c>
      <c r="L163" t="str">
        <v>TABT</v>
      </c>
      <c r="M163" t="str">
        <v>T030HB</v>
      </c>
    </row>
    <row r="164">
      <c r="K164" t="str">
        <v>SPDD</v>
      </c>
      <c r="L164" t="str">
        <v>TABT</v>
      </c>
      <c r="M164" t="str">
        <v>T030E</v>
      </c>
    </row>
    <row r="165">
      <c r="K165" t="str">
        <v>SPDD</v>
      </c>
      <c r="L165" t="str">
        <v>TABT</v>
      </c>
      <c r="M165" t="str">
        <v>T012O</v>
      </c>
    </row>
    <row r="166">
      <c r="K166" t="str">
        <v>SPDD</v>
      </c>
      <c r="L166" t="str">
        <v>TABT</v>
      </c>
      <c r="M166" t="str">
        <v>T007M</v>
      </c>
    </row>
    <row r="167">
      <c r="K167" t="str">
        <v>SPDD</v>
      </c>
      <c r="L167" t="str">
        <v>TABT</v>
      </c>
      <c r="M167" t="str">
        <v>T001URL</v>
      </c>
    </row>
    <row r="168">
      <c r="K168" t="str">
        <v>SPDD</v>
      </c>
      <c r="L168" t="str">
        <v>TABT</v>
      </c>
      <c r="M168" t="str">
        <v>/RTC/TM_WTIME</v>
      </c>
    </row>
    <row r="169">
      <c r="K169" t="str">
        <v>SPDD</v>
      </c>
      <c r="L169" t="str">
        <v>TABT</v>
      </c>
      <c r="M169" t="str">
        <v>/RTC/TM_USRGR</v>
      </c>
    </row>
    <row r="170">
      <c r="K170" t="str">
        <v>SPDD</v>
      </c>
      <c r="L170" t="str">
        <v>TABT</v>
      </c>
      <c r="M170" t="str">
        <v>/RTC/TM_TMC</v>
      </c>
    </row>
    <row r="171">
      <c r="K171" t="str">
        <v>SPDD</v>
      </c>
      <c r="L171" t="str">
        <v>TABT</v>
      </c>
      <c r="M171" t="str">
        <v>/RTC/TM_PWD</v>
      </c>
    </row>
    <row r="172">
      <c r="K172" t="str">
        <v>SPDD</v>
      </c>
      <c r="L172" t="str">
        <v>TABT</v>
      </c>
      <c r="M172" t="str">
        <v>/RTC/TM_PROXY</v>
      </c>
    </row>
    <row r="173">
      <c r="K173" t="str">
        <v>SPDD</v>
      </c>
      <c r="L173" t="str">
        <v>TABT</v>
      </c>
      <c r="M173" t="str">
        <v>/RTC/TM_PASS</v>
      </c>
    </row>
    <row r="174">
      <c r="K174" t="str">
        <v>SPDD</v>
      </c>
      <c r="L174" t="str">
        <v>TABT</v>
      </c>
      <c r="M174" t="str">
        <v>/RTC/TM_NEWS</v>
      </c>
    </row>
    <row r="175">
      <c r="K175" t="str">
        <v>SPDD</v>
      </c>
      <c r="L175" t="str">
        <v>TABT</v>
      </c>
      <c r="M175" t="str">
        <v>/RTC/TM_NARCHIVE</v>
      </c>
    </row>
    <row r="176">
      <c r="K176" t="str">
        <v>SPDD</v>
      </c>
      <c r="L176" t="str">
        <v>TABT</v>
      </c>
      <c r="M176" t="str">
        <v>/RTC/TM_HPACKS</v>
      </c>
    </row>
    <row r="177">
      <c r="K177" t="str">
        <v>SPDD</v>
      </c>
      <c r="L177" t="str">
        <v>TABT</v>
      </c>
      <c r="M177" t="str">
        <v>/RTC/TM_DUAL_CON</v>
      </c>
    </row>
    <row r="178">
      <c r="K178" t="str">
        <v>SPDD</v>
      </c>
      <c r="L178" t="str">
        <v>TABT</v>
      </c>
      <c r="M178" t="str">
        <v>/RTC/TM_000</v>
      </c>
    </row>
    <row r="179">
      <c r="K179" t="str">
        <v>SPDD</v>
      </c>
      <c r="L179" t="str">
        <v>TABT</v>
      </c>
      <c r="M179" t="str">
        <v>/DCT/W575_ORGMAP</v>
      </c>
    </row>
    <row r="180">
      <c r="K180" t="str">
        <v>SPDD</v>
      </c>
      <c r="L180" t="str">
        <v>TABT</v>
      </c>
      <c r="M180" t="str">
        <v>/DCT/W575_MAT_SA</v>
      </c>
    </row>
    <row r="181">
      <c r="K181" t="str">
        <v>SPDD</v>
      </c>
      <c r="L181" t="str">
        <v>TABT</v>
      </c>
      <c r="M181" t="str">
        <v>/DCT/W575_JOBMAS</v>
      </c>
    </row>
    <row r="182">
      <c r="K182" t="str">
        <v>SPDD</v>
      </c>
      <c r="L182" t="str">
        <v>TABT</v>
      </c>
      <c r="M182" t="str">
        <v>/DCT/W575_JOBLOG</v>
      </c>
    </row>
    <row r="183">
      <c r="K183" t="str">
        <v>SPDD</v>
      </c>
      <c r="L183" t="str">
        <v>TABT</v>
      </c>
      <c r="M183" t="str">
        <v>/DCT/W575_JOB_ER</v>
      </c>
    </row>
    <row r="184">
      <c r="K184" t="str">
        <v>SPDD</v>
      </c>
      <c r="L184" t="str">
        <v>TABT</v>
      </c>
      <c r="M184" t="str">
        <v>/DCT/W575_IFMAP</v>
      </c>
    </row>
    <row r="185">
      <c r="K185" t="str">
        <v>SPDD</v>
      </c>
      <c r="L185" t="str">
        <v>TABT</v>
      </c>
      <c r="M185" t="str">
        <v>/DCT/W575_BUS_RU</v>
      </c>
    </row>
    <row r="186">
      <c r="K186" t="str">
        <v>SPDD</v>
      </c>
      <c r="L186" t="str">
        <v>TABT</v>
      </c>
      <c r="M186" t="str">
        <v>/DCT/W575_2091_C</v>
      </c>
    </row>
    <row r="187">
      <c r="K187" t="str">
        <v>SPDD</v>
      </c>
      <c r="L187" t="str">
        <v>TOBJ</v>
      </c>
      <c r="M187" t="str">
        <v>V_PPC_PROFILEV</v>
      </c>
    </row>
    <row r="188">
      <c r="K188" t="str">
        <v>SPDD</v>
      </c>
      <c r="L188" t="str">
        <v>TOBJ</v>
      </c>
      <c r="M188" t="str">
        <v>/HITRYVAL/GNT010S</v>
      </c>
    </row>
    <row r="189">
      <c r="K189" t="str">
        <v>SPDD</v>
      </c>
      <c r="L189" t="str">
        <v>TOBJ</v>
      </c>
      <c r="M189" t="str">
        <v>/DCT/W575_ORGMAPS</v>
      </c>
    </row>
    <row r="190">
      <c r="K190" t="str">
        <v>SPDD</v>
      </c>
      <c r="L190" t="str">
        <v>TOBJ</v>
      </c>
      <c r="M190" t="str">
        <v>/DCT/W575_MAT_SAS</v>
      </c>
    </row>
    <row r="191">
      <c r="K191" t="str">
        <v>SPDD</v>
      </c>
      <c r="L191" t="str">
        <v>TOBJ</v>
      </c>
      <c r="M191" t="str">
        <v>/DCT/W575_JOBMASS</v>
      </c>
    </row>
    <row r="192">
      <c r="K192" t="str">
        <v>SPDD</v>
      </c>
      <c r="L192" t="str">
        <v>TOBJ</v>
      </c>
      <c r="M192" t="str">
        <v>/DCT/W575_JOBLOGS</v>
      </c>
    </row>
    <row r="193">
      <c r="K193" t="str">
        <v>SPDD</v>
      </c>
      <c r="L193" t="str">
        <v>TOBJ</v>
      </c>
      <c r="M193" t="str">
        <v>/DCT/W575_JOB_ERS</v>
      </c>
    </row>
    <row r="194">
      <c r="K194" t="str">
        <v>SPDD</v>
      </c>
      <c r="L194" t="str">
        <v>TOBJ</v>
      </c>
      <c r="M194" t="str">
        <v>/DCT/W575_IFMAPS</v>
      </c>
    </row>
    <row r="195">
      <c r="K195" t="str">
        <v>SPDD</v>
      </c>
      <c r="L195" t="str">
        <v>TOBJ</v>
      </c>
      <c r="M195" t="str">
        <v>/DCT/W575_BUS_RUS</v>
      </c>
    </row>
    <row r="196">
      <c r="K196" t="str">
        <v>SPDD</v>
      </c>
      <c r="L196" t="str">
        <v>TTYD</v>
      </c>
      <c r="M196" t="str">
        <v>LB_T_BIL_IT_KOND</v>
      </c>
    </row>
    <row r="197">
      <c r="K197" t="str">
        <v>SPDD</v>
      </c>
      <c r="L197" t="str">
        <v>TTYD</v>
      </c>
      <c r="M197" t="str">
        <v>LB_T_BIL_HD_KOND</v>
      </c>
    </row>
    <row r="198">
      <c r="K198" t="str">
        <v>SPDD</v>
      </c>
      <c r="L198" t="str">
        <v>TYPD</v>
      </c>
      <c r="M198" t="str">
        <v>/RTC/</v>
      </c>
    </row>
    <row r="199">
      <c r="K199" t="str">
        <v>SPDD</v>
      </c>
      <c r="L199" t="str">
        <v>TYPE</v>
      </c>
      <c r="M199" t="str">
        <v>/RTC/</v>
      </c>
    </row>
    <row r="200">
      <c r="K200" t="str">
        <v>SPDD</v>
      </c>
      <c r="L200" t="str">
        <v>VIED</v>
      </c>
      <c r="M200" t="str">
        <v>V_PPC_PROFILE</v>
      </c>
    </row>
    <row r="201">
      <c r="K201" t="str">
        <v>SPDD</v>
      </c>
      <c r="L201" t="str">
        <v>VIED</v>
      </c>
      <c r="M201" t="str">
        <v>/RTC/TM_WFV00</v>
      </c>
    </row>
    <row r="202">
      <c r="K202" t="str">
        <v>SPDD</v>
      </c>
      <c r="L202" t="str">
        <v>VIEW</v>
      </c>
      <c r="M202" t="str">
        <v>/RTC/TM_WFV00</v>
      </c>
    </row>
    <row r="203">
      <c r="K203" t="str">
        <v>SPAU</v>
      </c>
      <c r="L203" t="str">
        <v>CPUB</v>
      </c>
      <c r="M203" t="str">
        <v>/RTC/TM_CL_TIMER</v>
      </c>
    </row>
    <row r="204">
      <c r="K204" t="str">
        <v>SPAU</v>
      </c>
      <c r="L204" t="str">
        <v>CUAD</v>
      </c>
      <c r="M204" t="str">
        <v>/RTC/TM_UE_ADMIN</v>
      </c>
    </row>
    <row r="205">
      <c r="K205" t="str">
        <v>SPAU</v>
      </c>
      <c r="L205" t="str">
        <v>CUAD</v>
      </c>
      <c r="M205" t="str">
        <v>/RTC/SAPLTM_SELECTION</v>
      </c>
    </row>
    <row r="206">
      <c r="K206" t="str">
        <v>SPAU</v>
      </c>
      <c r="L206" t="str">
        <v>CUAD</v>
      </c>
      <c r="M206" t="str">
        <v>/RTC/SAPLTM_CHECK</v>
      </c>
    </row>
    <row r="207">
      <c r="K207" t="str">
        <v>SPAU</v>
      </c>
      <c r="L207" t="str">
        <v>DEVC</v>
      </c>
      <c r="M207" t="str">
        <v>V56UCHCO</v>
      </c>
    </row>
    <row r="208">
      <c r="K208" t="str">
        <v>SPAU</v>
      </c>
      <c r="L208" t="str">
        <v>DEVC</v>
      </c>
      <c r="M208" t="str">
        <v>J1O1_TWS</v>
      </c>
    </row>
    <row r="209">
      <c r="K209" t="str">
        <v>SPAU</v>
      </c>
      <c r="L209" t="str">
        <v>DEVC</v>
      </c>
      <c r="M209" t="str">
        <v>/DCT/W575_TEST</v>
      </c>
    </row>
    <row r="210">
      <c r="K210" t="str">
        <v>SPAU</v>
      </c>
      <c r="L210" t="str">
        <v>DEVC</v>
      </c>
      <c r="M210" t="str">
        <v>/DCT/W575_SD_BUSINESS_RULE</v>
      </c>
    </row>
    <row r="211">
      <c r="K211" t="str">
        <v>SPAU</v>
      </c>
      <c r="L211" t="str">
        <v>DEVC</v>
      </c>
      <c r="M211" t="str">
        <v>/DCT/W575_SD_2671_DS_STAT_SEND</v>
      </c>
    </row>
    <row r="212">
      <c r="K212" t="str">
        <v>SPAU</v>
      </c>
      <c r="L212" t="str">
        <v>DEVC</v>
      </c>
      <c r="M212" t="str">
        <v>/DCT/W575_SD</v>
      </c>
    </row>
    <row r="213">
      <c r="K213" t="str">
        <v>SPAU</v>
      </c>
      <c r="L213" t="str">
        <v>DEVC</v>
      </c>
      <c r="M213" t="str">
        <v>/DCT/W575_QA_TEST</v>
      </c>
    </row>
    <row r="214">
      <c r="K214" t="str">
        <v>SPAU</v>
      </c>
      <c r="L214" t="str">
        <v>DEVC</v>
      </c>
      <c r="M214" t="str">
        <v>/DCT/W575_INTF_TOOL</v>
      </c>
    </row>
    <row r="215">
      <c r="K215" t="str">
        <v>SPAU</v>
      </c>
      <c r="L215" t="str">
        <v>DEVC</v>
      </c>
      <c r="M215" t="str">
        <v>/DCT/W575_IF_BASELOGIC</v>
      </c>
    </row>
    <row r="216">
      <c r="K216" t="str">
        <v>SPAU</v>
      </c>
      <c r="L216" t="str">
        <v>DEVC</v>
      </c>
      <c r="M216" t="str">
        <v>/DCT/W575_FI_01_NOTE_597283</v>
      </c>
    </row>
    <row r="217">
      <c r="K217" t="str">
        <v>SPAU</v>
      </c>
      <c r="L217" t="str">
        <v>DEVC</v>
      </c>
      <c r="M217" t="str">
        <v>/DCT/W575_CORE_BC_AUTH</v>
      </c>
    </row>
    <row r="218">
      <c r="K218" t="str">
        <v>SPAU</v>
      </c>
      <c r="L218" t="str">
        <v>DEVC</v>
      </c>
      <c r="M218" t="str">
        <v>/DCT/W575_CORE_BC</v>
      </c>
    </row>
    <row r="219">
      <c r="K219" t="str">
        <v>SPAU</v>
      </c>
      <c r="L219" t="str">
        <v>DEVC</v>
      </c>
      <c r="M219" t="str">
        <v>/DCT/W575_AUTH</v>
      </c>
    </row>
    <row r="220">
      <c r="K220" t="str">
        <v>SPAU</v>
      </c>
      <c r="L220" t="str">
        <v>DEVC</v>
      </c>
      <c r="M220" t="str">
        <v>/DCT/W575_2091_KD</v>
      </c>
    </row>
    <row r="221">
      <c r="K221" t="str">
        <v>SPAU</v>
      </c>
      <c r="L221" t="str">
        <v>DEVC</v>
      </c>
      <c r="M221" t="str">
        <v>/DCT/W575_2030_KD_HS_SUMMARY</v>
      </c>
    </row>
    <row r="222">
      <c r="K222" t="str">
        <v>SPAU</v>
      </c>
      <c r="L222" t="str">
        <v>DEVC</v>
      </c>
      <c r="M222" t="str">
        <v>/DCT/W575_2007_SHIPPING_INSTR</v>
      </c>
    </row>
    <row r="223">
      <c r="K223" t="str">
        <v>SPAU</v>
      </c>
      <c r="L223" t="str">
        <v>DEVC</v>
      </c>
      <c r="M223" t="str">
        <v>/DCT/W575_0451_ORG_MAPPING_MAS</v>
      </c>
    </row>
    <row r="224">
      <c r="K224" t="str">
        <v>SPAU</v>
      </c>
      <c r="L224" t="str">
        <v>DEVC</v>
      </c>
      <c r="M224" t="str">
        <v>/DCT/W575_0431_MATMAST_SUPAREA</v>
      </c>
    </row>
    <row r="225">
      <c r="K225" t="str">
        <v>SPAU</v>
      </c>
      <c r="L225" t="str">
        <v>DEVC</v>
      </c>
      <c r="M225" t="str">
        <v>/DCT/W575_0321_VEHICLE_PO_CRE</v>
      </c>
    </row>
    <row r="226">
      <c r="K226" t="str">
        <v>SPAU</v>
      </c>
      <c r="L226" t="str">
        <v>DEVC</v>
      </c>
      <c r="M226" t="str">
        <v>/DCT/W575_0106_KANBAN_PROG</v>
      </c>
    </row>
    <row r="227">
      <c r="K227" t="str">
        <v>SPAU</v>
      </c>
      <c r="L227" t="str">
        <v>DEVC</v>
      </c>
      <c r="M227" t="str">
        <v>/DCT/W575_0021_SWI_CAP_INFOMAT</v>
      </c>
    </row>
    <row r="228">
      <c r="K228" t="str">
        <v>SPAU</v>
      </c>
      <c r="L228" t="str">
        <v>DYNP</v>
      </c>
      <c r="M228" t="str">
        <v>SAPMV56A                                9025</v>
      </c>
    </row>
    <row r="229">
      <c r="K229" t="str">
        <v>SPAU</v>
      </c>
      <c r="L229" t="str">
        <v>DYNP</v>
      </c>
      <c r="M229" t="str">
        <v>SAPMV45A                                8459</v>
      </c>
    </row>
    <row r="230">
      <c r="K230" t="str">
        <v>SPAU</v>
      </c>
      <c r="L230" t="str">
        <v>DYNP</v>
      </c>
      <c r="M230" t="str">
        <v>SAPMF02D                                7310</v>
      </c>
    </row>
    <row r="231">
      <c r="K231" t="str">
        <v>SPAU</v>
      </c>
      <c r="L231" t="str">
        <v>DYNP</v>
      </c>
      <c r="M231" t="str">
        <v>SAPLVELO15                              9100</v>
      </c>
    </row>
    <row r="232">
      <c r="K232" t="str">
        <v>SPAU</v>
      </c>
      <c r="L232" t="str">
        <v>DYNP</v>
      </c>
      <c r="M232" t="str">
        <v>SAPLSAPLPPC1CU                          5000</v>
      </c>
    </row>
    <row r="233">
      <c r="K233" t="str">
        <v>SPAU</v>
      </c>
      <c r="L233" t="str">
        <v>DYNP</v>
      </c>
      <c r="M233" t="str">
        <v>SAPLCIFI                                8004</v>
      </c>
    </row>
    <row r="234">
      <c r="K234" t="str">
        <v>SPAU</v>
      </c>
      <c r="L234" t="str">
        <v>DYNP</v>
      </c>
      <c r="M234" t="str">
        <v>SAPLCIFI                                8003</v>
      </c>
    </row>
    <row r="235">
      <c r="K235" t="str">
        <v>SPAU</v>
      </c>
      <c r="L235" t="str">
        <v>DYNP</v>
      </c>
      <c r="M235" t="str">
        <v>SAPLCIFI                                8000</v>
      </c>
    </row>
    <row r="236">
      <c r="K236" t="str">
        <v>SPAU</v>
      </c>
      <c r="L236" t="str">
        <v>DYNP</v>
      </c>
      <c r="M236" t="str">
        <v>SAPLCIFI                                7007</v>
      </c>
    </row>
    <row r="237">
      <c r="K237" t="str">
        <v>SPAU</v>
      </c>
      <c r="L237" t="str">
        <v>DYNP</v>
      </c>
      <c r="M237" t="str">
        <v>SAPLCIFI                                7006</v>
      </c>
    </row>
    <row r="238">
      <c r="K238" t="str">
        <v>SPAU</v>
      </c>
      <c r="L238" t="str">
        <v>DYNP</v>
      </c>
      <c r="M238" t="str">
        <v>SAPLCIFI                                7005</v>
      </c>
    </row>
    <row r="239">
      <c r="K239" t="str">
        <v>SPAU</v>
      </c>
      <c r="L239" t="str">
        <v>DYNP</v>
      </c>
      <c r="M239" t="str">
        <v>SAPLCIFI                                7004</v>
      </c>
    </row>
    <row r="240">
      <c r="K240" t="str">
        <v>SPAU</v>
      </c>
      <c r="L240" t="str">
        <v>DYNP</v>
      </c>
      <c r="M240" t="str">
        <v>SAPLCIFI                                7003</v>
      </c>
    </row>
    <row r="241">
      <c r="K241" t="str">
        <v>SPAU</v>
      </c>
      <c r="L241" t="str">
        <v>DYNP</v>
      </c>
      <c r="M241" t="str">
        <v>SAPLCIFI                                7002</v>
      </c>
    </row>
    <row r="242">
      <c r="K242" t="str">
        <v>SPAU</v>
      </c>
      <c r="L242" t="str">
        <v>DYNP</v>
      </c>
      <c r="M242" t="str">
        <v>SAPLCIFI                                7000</v>
      </c>
    </row>
    <row r="243">
      <c r="K243" t="str">
        <v>SPAU</v>
      </c>
      <c r="L243" t="str">
        <v>DYNP</v>
      </c>
      <c r="M243" t="str">
        <v>SAPLCIFI                                6999</v>
      </c>
    </row>
    <row r="244">
      <c r="K244" t="str">
        <v>SPAU</v>
      </c>
      <c r="L244" t="str">
        <v>DYNP</v>
      </c>
      <c r="M244" t="str">
        <v>SAPLCIFI                                6997</v>
      </c>
    </row>
    <row r="245">
      <c r="K245" t="str">
        <v>SPAU</v>
      </c>
      <c r="L245" t="str">
        <v>DYNP</v>
      </c>
      <c r="M245" t="str">
        <v>SAPLCIFI                                6996</v>
      </c>
    </row>
    <row r="246">
      <c r="K246" t="str">
        <v>SPAU</v>
      </c>
      <c r="L246" t="str">
        <v>DYNP</v>
      </c>
      <c r="M246" t="str">
        <v>SAPLCIFI                                6994</v>
      </c>
    </row>
    <row r="247">
      <c r="K247" t="str">
        <v>SPAU</v>
      </c>
      <c r="L247" t="str">
        <v>DYNP</v>
      </c>
      <c r="M247" t="str">
        <v>SAPLCIFI                                6993</v>
      </c>
    </row>
    <row r="248">
      <c r="K248" t="str">
        <v>SPAU</v>
      </c>
      <c r="L248" t="str">
        <v>DYNP</v>
      </c>
      <c r="M248" t="str">
        <v>SAPLCIFI                                6992</v>
      </c>
    </row>
    <row r="249">
      <c r="K249" t="str">
        <v>SPAU</v>
      </c>
      <c r="L249" t="str">
        <v>DYNP</v>
      </c>
      <c r="M249" t="str">
        <v>SAPLCIFI                                6991</v>
      </c>
    </row>
    <row r="250">
      <c r="K250" t="str">
        <v>SPAU</v>
      </c>
      <c r="L250" t="str">
        <v>DYNP</v>
      </c>
      <c r="M250" t="str">
        <v>SAPLCIFI                                6990</v>
      </c>
    </row>
    <row r="251">
      <c r="K251" t="str">
        <v>SPAU</v>
      </c>
      <c r="L251" t="str">
        <v>DYNP</v>
      </c>
      <c r="M251" t="str">
        <v>SAPLCIFI                                6989</v>
      </c>
    </row>
    <row r="252">
      <c r="K252" t="str">
        <v>SPAU</v>
      </c>
      <c r="L252" t="str">
        <v>DYNP</v>
      </c>
      <c r="M252" t="str">
        <v>SAPLCIFI                                6988</v>
      </c>
    </row>
    <row r="253">
      <c r="K253" t="str">
        <v>SPAU</v>
      </c>
      <c r="L253" t="str">
        <v>DYNP</v>
      </c>
      <c r="M253" t="str">
        <v>SAPLCIFI                                6987</v>
      </c>
    </row>
    <row r="254">
      <c r="K254" t="str">
        <v>SPAU</v>
      </c>
      <c r="L254" t="str">
        <v>DYNP</v>
      </c>
      <c r="M254" t="str">
        <v>SAPLCIFI                                6986</v>
      </c>
    </row>
    <row r="255">
      <c r="K255" t="str">
        <v>SPAU</v>
      </c>
      <c r="L255" t="str">
        <v>DYNP</v>
      </c>
      <c r="M255" t="str">
        <v>SAPLCIFI                                6985</v>
      </c>
    </row>
    <row r="256">
      <c r="K256" t="str">
        <v>SPAU</v>
      </c>
      <c r="L256" t="str">
        <v>DYNP</v>
      </c>
      <c r="M256" t="str">
        <v>SAPLCIFI                                6984</v>
      </c>
    </row>
    <row r="257">
      <c r="K257" t="str">
        <v>SPAU</v>
      </c>
      <c r="L257" t="str">
        <v>DYNP</v>
      </c>
      <c r="M257" t="str">
        <v>SAPLCIFI                                6983</v>
      </c>
    </row>
    <row r="258">
      <c r="K258" t="str">
        <v>SPAU</v>
      </c>
      <c r="L258" t="str">
        <v>DYNP</v>
      </c>
      <c r="M258" t="str">
        <v>SAPLCIFI                                6982</v>
      </c>
    </row>
    <row r="259">
      <c r="K259" t="str">
        <v>SPAU</v>
      </c>
      <c r="L259" t="str">
        <v>DYNP</v>
      </c>
      <c r="M259" t="str">
        <v>SAPLCIFI                                6981</v>
      </c>
    </row>
    <row r="260">
      <c r="K260" t="str">
        <v>SPAU</v>
      </c>
      <c r="L260" t="str">
        <v>DYNP</v>
      </c>
      <c r="M260" t="str">
        <v>SAPLCIFI                                6980</v>
      </c>
    </row>
    <row r="261">
      <c r="K261" t="str">
        <v>SPAU</v>
      </c>
      <c r="L261" t="str">
        <v>DYNP</v>
      </c>
      <c r="M261" t="str">
        <v>FSTST_ACCESS_CHECK                      0100</v>
      </c>
    </row>
    <row r="262">
      <c r="K262" t="str">
        <v>SPAU</v>
      </c>
      <c r="L262" t="str">
        <v>DYNP</v>
      </c>
      <c r="M262" t="str">
        <v>/RTC/TM_USERGROUPS                      0100</v>
      </c>
    </row>
    <row r="263">
      <c r="K263" t="str">
        <v>SPAU</v>
      </c>
      <c r="L263" t="str">
        <v>DYNP</v>
      </c>
      <c r="M263" t="str">
        <v>/RTC/TM_UE_ADMIN                        0110</v>
      </c>
    </row>
    <row r="264">
      <c r="K264" t="str">
        <v>SPAU</v>
      </c>
      <c r="L264" t="str">
        <v>DYNP</v>
      </c>
      <c r="M264" t="str">
        <v>/RTC/TM_UE_ADMIN                        0100</v>
      </c>
    </row>
    <row r="265">
      <c r="K265" t="str">
        <v>SPAU</v>
      </c>
      <c r="L265" t="str">
        <v>DYNP</v>
      </c>
      <c r="M265" t="str">
        <v>/RTC/TM_SETTINGS                        0106</v>
      </c>
    </row>
    <row r="266">
      <c r="K266" t="str">
        <v>SPAU</v>
      </c>
      <c r="L266" t="str">
        <v>DYNP</v>
      </c>
      <c r="M266" t="str">
        <v>/RTC/TM_SETTINGS                        0104</v>
      </c>
    </row>
    <row r="267">
      <c r="K267" t="str">
        <v>SPAU</v>
      </c>
      <c r="L267" t="str">
        <v>DYNP</v>
      </c>
      <c r="M267" t="str">
        <v>/RTC/TM_SETTINGS                        0102</v>
      </c>
    </row>
    <row r="268">
      <c r="K268" t="str">
        <v>SPAU</v>
      </c>
      <c r="L268" t="str">
        <v>DYNP</v>
      </c>
      <c r="M268" t="str">
        <v>/RTC/TM_SETTINGS                        0101</v>
      </c>
    </row>
    <row r="269">
      <c r="K269" t="str">
        <v>SPAU</v>
      </c>
      <c r="L269" t="str">
        <v>DYNP</v>
      </c>
      <c r="M269" t="str">
        <v>/RTC/TM_SETTINGS                        0100</v>
      </c>
    </row>
    <row r="270">
      <c r="K270" t="str">
        <v>SPAU</v>
      </c>
      <c r="L270" t="str">
        <v>DYNP</v>
      </c>
      <c r="M270" t="str">
        <v>/RTC/TM_PROJECT                         0120</v>
      </c>
    </row>
    <row r="271">
      <c r="K271" t="str">
        <v>SPAU</v>
      </c>
      <c r="L271" t="str">
        <v>DYNP</v>
      </c>
      <c r="M271" t="str">
        <v>/RTC/TM_PROJECT                         0110</v>
      </c>
    </row>
    <row r="272">
      <c r="K272" t="str">
        <v>SPAU</v>
      </c>
      <c r="L272" t="str">
        <v>DYNP</v>
      </c>
      <c r="M272" t="str">
        <v>/RTC/TM_PROJECT                         0100</v>
      </c>
    </row>
    <row r="273">
      <c r="K273" t="str">
        <v>SPAU</v>
      </c>
      <c r="L273" t="str">
        <v>DYNP</v>
      </c>
      <c r="M273" t="str">
        <v>/RTC/TM_LEVEL                           0100</v>
      </c>
    </row>
    <row r="274">
      <c r="K274" t="str">
        <v>SPAU</v>
      </c>
      <c r="L274" t="str">
        <v>DYNP</v>
      </c>
      <c r="M274" t="str">
        <v>/RTC/TM_BADI                            0100</v>
      </c>
    </row>
    <row r="275">
      <c r="K275" t="str">
        <v>SPAU</v>
      </c>
      <c r="L275" t="str">
        <v>DYNP</v>
      </c>
      <c r="M275" t="str">
        <v>/RTC/SAPLTM_WZ                          0220</v>
      </c>
    </row>
    <row r="276">
      <c r="K276" t="str">
        <v>SPAU</v>
      </c>
      <c r="L276" t="str">
        <v>DYNP</v>
      </c>
      <c r="M276" t="str">
        <v>/RTC/SAPLTM_WZ                          0210</v>
      </c>
    </row>
    <row r="277">
      <c r="K277" t="str">
        <v>SPAU</v>
      </c>
      <c r="L277" t="str">
        <v>DYNP</v>
      </c>
      <c r="M277" t="str">
        <v>/RTC/SAPLTM_WZ                          0200</v>
      </c>
    </row>
    <row r="278">
      <c r="K278" t="str">
        <v>SPAU</v>
      </c>
      <c r="L278" t="str">
        <v>DYNP</v>
      </c>
      <c r="M278" t="str">
        <v>/RTC/SAPLTM_WFF                         0100</v>
      </c>
    </row>
    <row r="279">
      <c r="K279" t="str">
        <v>SPAU</v>
      </c>
      <c r="L279" t="str">
        <v>DYNP</v>
      </c>
      <c r="M279" t="str">
        <v>/RTC/SAPLTM_SYS_WZ                      0220</v>
      </c>
    </row>
    <row r="280">
      <c r="K280" t="str">
        <v>SPAU</v>
      </c>
      <c r="L280" t="str">
        <v>DYNP</v>
      </c>
      <c r="M280" t="str">
        <v>/RTC/SAPLTM_SYS_WZ                      0210</v>
      </c>
    </row>
    <row r="281">
      <c r="K281" t="str">
        <v>SPAU</v>
      </c>
      <c r="L281" t="str">
        <v>DYNP</v>
      </c>
      <c r="M281" t="str">
        <v>/RTC/SAPLTM_SYS_WZ                      0200</v>
      </c>
    </row>
    <row r="282">
      <c r="K282" t="str">
        <v>SPAU</v>
      </c>
      <c r="L282" t="str">
        <v>DYNP</v>
      </c>
      <c r="M282" t="str">
        <v>/RTC/SAPLTM_SERIAL                      0110</v>
      </c>
    </row>
    <row r="283">
      <c r="K283" t="str">
        <v>SPAU</v>
      </c>
      <c r="L283" t="str">
        <v>DYNP</v>
      </c>
      <c r="M283" t="str">
        <v>/RTC/SAPLTM_SERIAL                      0100</v>
      </c>
    </row>
    <row r="284">
      <c r="K284" t="str">
        <v>SPAU</v>
      </c>
      <c r="L284" t="str">
        <v>DYNP</v>
      </c>
      <c r="M284" t="str">
        <v>/RTC/SAPLTM_SELECTION                   0100</v>
      </c>
    </row>
    <row r="285">
      <c r="K285" t="str">
        <v>SPAU</v>
      </c>
      <c r="L285" t="str">
        <v>DYNP</v>
      </c>
      <c r="M285" t="str">
        <v>/RTC/SAPLTM_CONFIG                      0100</v>
      </c>
    </row>
    <row r="286">
      <c r="K286" t="str">
        <v>SPAU</v>
      </c>
      <c r="L286" t="str">
        <v>DYNP</v>
      </c>
      <c r="M286" t="str">
        <v>/RTC/SAPLTM_CHECK                       0100</v>
      </c>
    </row>
    <row r="287">
      <c r="K287" t="str">
        <v>SPAU</v>
      </c>
      <c r="L287" t="str">
        <v>DYNP</v>
      </c>
      <c r="M287" t="str">
        <v>/RTC/SAPLTM_BADI                        0100</v>
      </c>
    </row>
    <row r="288">
      <c r="K288" t="str">
        <v>SPAU</v>
      </c>
      <c r="L288" t="str">
        <v>DYNP</v>
      </c>
      <c r="M288" t="str">
        <v>/DCT/SAPLW575_BUS_RU                    0020</v>
      </c>
    </row>
    <row r="289">
      <c r="K289" t="str">
        <v>SPAU</v>
      </c>
      <c r="L289" t="str">
        <v>DYNP</v>
      </c>
      <c r="M289" t="str">
        <v>/DCT/SAPLW575_BUS_RU                    0010</v>
      </c>
    </row>
    <row r="290">
      <c r="K290" t="str">
        <v>SPAU</v>
      </c>
      <c r="L290" t="str">
        <v>FUGR</v>
      </c>
      <c r="M290" t="str">
        <v>SAPLPPC1CU</v>
      </c>
    </row>
    <row r="291">
      <c r="K291" t="str">
        <v>SPAU</v>
      </c>
      <c r="L291" t="str">
        <v>FUGR</v>
      </c>
      <c r="M291" t="str">
        <v>/RTC/TM_WZ</v>
      </c>
    </row>
    <row r="292">
      <c r="K292" t="str">
        <v>SPAU</v>
      </c>
      <c r="L292" t="str">
        <v>FUGR</v>
      </c>
      <c r="M292" t="str">
        <v>/RTC/TM_WFF</v>
      </c>
    </row>
    <row r="293">
      <c r="K293" t="str">
        <v>SPAU</v>
      </c>
      <c r="L293" t="str">
        <v>FUGR</v>
      </c>
      <c r="M293" t="str">
        <v>/RTC/TM_TOOLS</v>
      </c>
    </row>
    <row r="294">
      <c r="K294" t="str">
        <v>SPAU</v>
      </c>
      <c r="L294" t="str">
        <v>FUGR</v>
      </c>
      <c r="M294" t="str">
        <v>/RTC/TM_SYS_WZ</v>
      </c>
    </row>
    <row r="295">
      <c r="K295" t="str">
        <v>SPAU</v>
      </c>
      <c r="L295" t="str">
        <v>FUGR</v>
      </c>
      <c r="M295" t="str">
        <v>/RTC/TM_SERIAL</v>
      </c>
    </row>
    <row r="296">
      <c r="K296" t="str">
        <v>SPAU</v>
      </c>
      <c r="L296" t="str">
        <v>FUGR</v>
      </c>
      <c r="M296" t="str">
        <v>/RTC/TM_SELECTION</v>
      </c>
    </row>
    <row r="297">
      <c r="K297" t="str">
        <v>SPAU</v>
      </c>
      <c r="L297" t="str">
        <v>FUGR</v>
      </c>
      <c r="M297" t="str">
        <v>/RTC/TM_PACKAGE</v>
      </c>
    </row>
    <row r="298">
      <c r="K298" t="str">
        <v>SPAU</v>
      </c>
      <c r="L298" t="str">
        <v>FUGR</v>
      </c>
      <c r="M298" t="str">
        <v>/RTC/TM_CONFIG</v>
      </c>
    </row>
    <row r="299">
      <c r="K299" t="str">
        <v>SPAU</v>
      </c>
      <c r="L299" t="str">
        <v>FUGR</v>
      </c>
      <c r="M299" t="str">
        <v>/RTC/TM_COLLISIONS</v>
      </c>
    </row>
    <row r="300">
      <c r="K300" t="str">
        <v>SPAU</v>
      </c>
      <c r="L300" t="str">
        <v>FUGR</v>
      </c>
      <c r="M300" t="str">
        <v>/RTC/TM_CHECK</v>
      </c>
    </row>
    <row r="301">
      <c r="K301" t="str">
        <v>SPAU</v>
      </c>
      <c r="L301" t="str">
        <v>FUGR</v>
      </c>
      <c r="M301" t="str">
        <v>/RTC/TM_BADI</v>
      </c>
    </row>
    <row r="302">
      <c r="K302" t="str">
        <v>SPAU</v>
      </c>
      <c r="L302" t="str">
        <v>FUGR</v>
      </c>
      <c r="M302" t="str">
        <v>/HITRYVAL/C_GN02</v>
      </c>
    </row>
    <row r="303">
      <c r="K303" t="str">
        <v>SPAU</v>
      </c>
      <c r="L303" t="str">
        <v>FUGR</v>
      </c>
      <c r="M303" t="str">
        <v>/DCT/W575_SD_COND</v>
      </c>
    </row>
    <row r="304">
      <c r="K304" t="str">
        <v>SPAU</v>
      </c>
      <c r="L304" t="str">
        <v>FUGR</v>
      </c>
      <c r="M304" t="str">
        <v>/DCT/W575_SD_BUSINESS_RULE</v>
      </c>
    </row>
    <row r="305">
      <c r="K305" t="str">
        <v>SPAU</v>
      </c>
      <c r="L305" t="str">
        <v>FUGR</v>
      </c>
      <c r="M305" t="str">
        <v>/DCT/W575_ORGMAP</v>
      </c>
    </row>
    <row r="306">
      <c r="K306" t="str">
        <v>SPAU</v>
      </c>
      <c r="L306" t="str">
        <v>FUGR</v>
      </c>
      <c r="M306" t="str">
        <v>/DCT/W575_MAT_SA</v>
      </c>
    </row>
    <row r="307">
      <c r="K307" t="str">
        <v>SPAU</v>
      </c>
      <c r="L307" t="str">
        <v>FUGR</v>
      </c>
      <c r="M307" t="str">
        <v>/DCT/W575_JOBMAS</v>
      </c>
    </row>
    <row r="308">
      <c r="K308" t="str">
        <v>SPAU</v>
      </c>
      <c r="L308" t="str">
        <v>FUGR</v>
      </c>
      <c r="M308" t="str">
        <v>/DCT/W575_JOBLOG</v>
      </c>
    </row>
    <row r="309">
      <c r="K309" t="str">
        <v>SPAU</v>
      </c>
      <c r="L309" t="str">
        <v>FUGR</v>
      </c>
      <c r="M309" t="str">
        <v>/DCT/W575_JOB_ER</v>
      </c>
    </row>
    <row r="310">
      <c r="K310" t="str">
        <v>SPAU</v>
      </c>
      <c r="L310" t="str">
        <v>FUGR</v>
      </c>
      <c r="M310" t="str">
        <v>/DCT/W575_BUS_RU</v>
      </c>
    </row>
    <row r="311">
      <c r="K311" t="str">
        <v>SPAU</v>
      </c>
      <c r="L311" t="str">
        <v>FUGT</v>
      </c>
      <c r="M311" t="str">
        <v>/HITRYVAL/C_GN02</v>
      </c>
    </row>
    <row r="312">
      <c r="K312" t="str">
        <v>SPAU</v>
      </c>
      <c r="L312" t="str">
        <v>FUGT</v>
      </c>
      <c r="M312" t="str">
        <v>/DCT/W575_JOB_ER</v>
      </c>
    </row>
    <row r="313">
      <c r="K313" t="str">
        <v>SPAU</v>
      </c>
      <c r="L313" t="str">
        <v>FUNC</v>
      </c>
      <c r="M313" t="str">
        <v>SD_DELIVERY_FOR_TRANSPORT_SCRN</v>
      </c>
    </row>
    <row r="314">
      <c r="K314" t="str">
        <v>SPAU</v>
      </c>
      <c r="L314" t="str">
        <v>FUNC</v>
      </c>
      <c r="M314" t="str">
        <v>/RTC/TM_SERIAL_READ</v>
      </c>
    </row>
    <row r="315">
      <c r="K315" t="str">
        <v>SPAU</v>
      </c>
      <c r="L315" t="str">
        <v>FUNC</v>
      </c>
      <c r="M315" t="str">
        <v>/RTC/TM_SERIAL_GET_STD_DEP</v>
      </c>
    </row>
    <row r="316">
      <c r="K316" t="str">
        <v>SPAU</v>
      </c>
      <c r="L316" t="str">
        <v>FUNC</v>
      </c>
      <c r="M316" t="str">
        <v>/RTC/TM_SERIAL_GET_PRED</v>
      </c>
    </row>
    <row r="317">
      <c r="K317" t="str">
        <v>SPAU</v>
      </c>
      <c r="L317" t="str">
        <v>FUNC</v>
      </c>
      <c r="M317" t="str">
        <v>/RTC/TM_SERIAL_GET_COMPANIONS</v>
      </c>
    </row>
    <row r="318">
      <c r="K318" t="str">
        <v>SPAU</v>
      </c>
      <c r="L318" t="str">
        <v>METH</v>
      </c>
      <c r="M318" t="str">
        <v>/RTC/CL_IM_TM_BEFORE_EXP_1    IF_EX_CTS_REQUEST_CHECK~CHECK_BEFORE_RELEASE</v>
      </c>
    </row>
    <row r="319">
      <c r="K319" t="str">
        <v>SPAU</v>
      </c>
      <c r="L319" t="str">
        <v>NOTE</v>
      </c>
      <c r="M319" t="str">
        <v>991391</v>
      </c>
    </row>
    <row r="320">
      <c r="K320" t="str">
        <v>SPAU</v>
      </c>
      <c r="L320" t="str">
        <v>NOTE</v>
      </c>
      <c r="M320" t="str">
        <v>962152</v>
      </c>
    </row>
    <row r="321">
      <c r="K321" t="str">
        <v>SPAU</v>
      </c>
      <c r="L321" t="str">
        <v>NOTE</v>
      </c>
      <c r="M321" t="str">
        <v>951389</v>
      </c>
    </row>
    <row r="322">
      <c r="K322" t="str">
        <v>SPAU</v>
      </c>
      <c r="L322" t="str">
        <v>NOTE</v>
      </c>
      <c r="M322" t="str">
        <v>950466</v>
      </c>
    </row>
    <row r="323">
      <c r="K323" t="str">
        <v>SPAU</v>
      </c>
      <c r="L323" t="str">
        <v>NOTE</v>
      </c>
      <c r="M323" t="str">
        <v>943680</v>
      </c>
    </row>
    <row r="324">
      <c r="K324" t="str">
        <v>SPAU</v>
      </c>
      <c r="L324" t="str">
        <v>NOTE</v>
      </c>
      <c r="M324" t="str">
        <v>939092</v>
      </c>
    </row>
    <row r="325">
      <c r="K325" t="str">
        <v>SPAU</v>
      </c>
      <c r="L325" t="str">
        <v>NOTE</v>
      </c>
      <c r="M325" t="str">
        <v>928381</v>
      </c>
    </row>
    <row r="326">
      <c r="K326" t="str">
        <v>SPAU</v>
      </c>
      <c r="L326" t="str">
        <v>NOTE</v>
      </c>
      <c r="M326" t="str">
        <v>900852</v>
      </c>
    </row>
    <row r="327">
      <c r="K327" t="str">
        <v>SPAU</v>
      </c>
      <c r="L327" t="str">
        <v>NOTE</v>
      </c>
      <c r="M327" t="str">
        <v>898959</v>
      </c>
    </row>
    <row r="328">
      <c r="K328" t="str">
        <v>SPAU</v>
      </c>
      <c r="L328" t="str">
        <v>NOTE</v>
      </c>
      <c r="M328" t="str">
        <v>897279</v>
      </c>
    </row>
    <row r="329">
      <c r="K329" t="str">
        <v>SPAU</v>
      </c>
      <c r="L329" t="str">
        <v>NOTE</v>
      </c>
      <c r="M329" t="str">
        <v>888889</v>
      </c>
    </row>
    <row r="330">
      <c r="K330" t="str">
        <v>SPAU</v>
      </c>
      <c r="L330" t="str">
        <v>NOTE</v>
      </c>
      <c r="M330" t="str">
        <v>888469</v>
      </c>
    </row>
    <row r="331">
      <c r="K331" t="str">
        <v>SPAU</v>
      </c>
      <c r="L331" t="str">
        <v>NOTE</v>
      </c>
      <c r="M331" t="str">
        <v>873328</v>
      </c>
    </row>
    <row r="332">
      <c r="K332" t="str">
        <v>SPAU</v>
      </c>
      <c r="L332" t="str">
        <v>NOTE</v>
      </c>
      <c r="M332" t="str">
        <v>868959</v>
      </c>
    </row>
    <row r="333">
      <c r="K333" t="str">
        <v>SPAU</v>
      </c>
      <c r="L333" t="str">
        <v>NOTE</v>
      </c>
      <c r="M333" t="str">
        <v>851040</v>
      </c>
    </row>
    <row r="334">
      <c r="K334" t="str">
        <v>SPAU</v>
      </c>
      <c r="L334" t="str">
        <v>NOTE</v>
      </c>
      <c r="M334" t="str">
        <v>584219</v>
      </c>
    </row>
    <row r="335">
      <c r="K335" t="str">
        <v>SPAU</v>
      </c>
      <c r="L335" t="str">
        <v>NOTE</v>
      </c>
      <c r="M335" t="str">
        <v>366621</v>
      </c>
    </row>
    <row r="336">
      <c r="K336" t="str">
        <v>SPAU</v>
      </c>
      <c r="L336" t="str">
        <v>NOTE</v>
      </c>
      <c r="M336" t="str">
        <v>2835979</v>
      </c>
    </row>
    <row r="337">
      <c r="K337" t="str">
        <v>SPAU</v>
      </c>
      <c r="L337" t="str">
        <v>NOTE</v>
      </c>
      <c r="M337" t="str">
        <v>1698528</v>
      </c>
    </row>
    <row r="338">
      <c r="K338" t="str">
        <v>SPAU</v>
      </c>
      <c r="L338" t="str">
        <v>NOTE</v>
      </c>
      <c r="M338" t="str">
        <v>1660075</v>
      </c>
    </row>
    <row r="339">
      <c r="K339" t="str">
        <v>SPAU</v>
      </c>
      <c r="L339" t="str">
        <v>NOTE</v>
      </c>
      <c r="M339" t="str">
        <v>1601021</v>
      </c>
    </row>
    <row r="340">
      <c r="K340" t="str">
        <v>SPAU</v>
      </c>
      <c r="L340" t="str">
        <v>NOTE</v>
      </c>
      <c r="M340" t="str">
        <v>1532825</v>
      </c>
    </row>
    <row r="341">
      <c r="K341" t="str">
        <v>SPAU</v>
      </c>
      <c r="L341" t="str">
        <v>NOTE</v>
      </c>
      <c r="M341" t="str">
        <v>1443908</v>
      </c>
    </row>
    <row r="342">
      <c r="K342" t="str">
        <v>SPAU</v>
      </c>
      <c r="L342" t="str">
        <v>NOTE</v>
      </c>
      <c r="M342" t="str">
        <v>1304803</v>
      </c>
    </row>
    <row r="343">
      <c r="K343" t="str">
        <v>SPAU</v>
      </c>
      <c r="L343" t="str">
        <v>NOTE</v>
      </c>
      <c r="M343" t="str">
        <v>1284753</v>
      </c>
    </row>
    <row r="344">
      <c r="K344" t="str">
        <v>SPAU</v>
      </c>
      <c r="L344" t="str">
        <v>NOTE</v>
      </c>
      <c r="M344" t="str">
        <v>1281607</v>
      </c>
    </row>
    <row r="345">
      <c r="K345" t="str">
        <v>SPAU</v>
      </c>
      <c r="L345" t="str">
        <v>NOTE</v>
      </c>
      <c r="M345" t="str">
        <v>1156099</v>
      </c>
    </row>
    <row r="346">
      <c r="K346" t="str">
        <v>SPAU</v>
      </c>
      <c r="L346" t="str">
        <v>NOTE</v>
      </c>
      <c r="M346" t="str">
        <v>1123703</v>
      </c>
    </row>
    <row r="347">
      <c r="K347" t="str">
        <v>SPAU</v>
      </c>
      <c r="L347" t="str">
        <v>NOTE</v>
      </c>
      <c r="M347" t="str">
        <v>1103050</v>
      </c>
    </row>
    <row r="348">
      <c r="K348" t="str">
        <v>SPAU</v>
      </c>
      <c r="L348" t="str">
        <v>NOTE</v>
      </c>
      <c r="M348" t="str">
        <v>1062702</v>
      </c>
    </row>
    <row r="349">
      <c r="K349" t="str">
        <v>SPAU</v>
      </c>
      <c r="L349" t="str">
        <v>NOTE</v>
      </c>
      <c r="M349" t="str">
        <v>1058784</v>
      </c>
    </row>
    <row r="350">
      <c r="K350" t="str">
        <v>SPAU</v>
      </c>
      <c r="L350" t="str">
        <v>NOTE</v>
      </c>
      <c r="M350" t="str">
        <v>1046706</v>
      </c>
    </row>
    <row r="351">
      <c r="K351" t="str">
        <v>SPAU</v>
      </c>
      <c r="L351" t="str">
        <v>NOTE</v>
      </c>
      <c r="M351" t="str">
        <v>1019342</v>
      </c>
    </row>
    <row r="352">
      <c r="K352" t="str">
        <v>SPAU</v>
      </c>
      <c r="L352" t="str">
        <v>NOTE</v>
      </c>
      <c r="M352" t="str">
        <v>1014824</v>
      </c>
    </row>
    <row r="353">
      <c r="K353" t="str">
        <v>SPAU</v>
      </c>
      <c r="L353" t="str">
        <v>NOTE</v>
      </c>
      <c r="M353" t="str">
        <v>1001682</v>
      </c>
    </row>
    <row r="354">
      <c r="K354" t="str">
        <v>SPAU</v>
      </c>
      <c r="L354" t="str">
        <v>PROG</v>
      </c>
      <c r="M354" t="str">
        <v>/RTC/TM_TOOLSTOP</v>
      </c>
    </row>
    <row r="355">
      <c r="K355" t="str">
        <v>SPAU</v>
      </c>
      <c r="L355" t="str">
        <v>PROG</v>
      </c>
      <c r="M355" t="str">
        <v>/RTC/TM_TOOLSO01</v>
      </c>
    </row>
    <row r="356">
      <c r="K356" t="str">
        <v>SPAU</v>
      </c>
      <c r="L356" t="str">
        <v>PROG</v>
      </c>
      <c r="M356" t="str">
        <v>/RTC/TM_TOOLSI01</v>
      </c>
    </row>
    <row r="357">
      <c r="K357" t="str">
        <v>SPAU</v>
      </c>
      <c r="L357" t="str">
        <v>PROG</v>
      </c>
      <c r="M357" t="str">
        <v>/RTC/TM_TOOLSF01</v>
      </c>
    </row>
    <row r="358">
      <c r="K358" t="str">
        <v>SPAU</v>
      </c>
      <c r="L358" t="str">
        <v>PROG</v>
      </c>
      <c r="M358" t="str">
        <v>/RTC/TM_TOOLSCL1</v>
      </c>
    </row>
    <row r="359">
      <c r="K359" t="str">
        <v>SPAU</v>
      </c>
      <c r="L359" t="str">
        <v>PROG</v>
      </c>
      <c r="M359" t="str">
        <v>/RTC/TM_TOOLS</v>
      </c>
    </row>
    <row r="360">
      <c r="K360" t="str">
        <v>SPAU</v>
      </c>
      <c r="L360" t="str">
        <v>PROG</v>
      </c>
      <c r="M360" t="str">
        <v>/DCT/W575_SD_RV16ACHD_TOP_BAK</v>
      </c>
    </row>
    <row r="361">
      <c r="K361" t="str">
        <v>SPAU</v>
      </c>
      <c r="L361" t="str">
        <v>PROG</v>
      </c>
      <c r="M361" t="str">
        <v>/DCT/W575_SD_RV16ACHD_FRM_BAK</v>
      </c>
    </row>
    <row r="362">
      <c r="K362" t="str">
        <v>SPAU</v>
      </c>
      <c r="L362" t="str">
        <v>PROG</v>
      </c>
      <c r="M362" t="str">
        <v>/DCT/W575_SD_RV16ACHD_BAK</v>
      </c>
    </row>
    <row r="363">
      <c r="K363" t="str">
        <v>SPAU</v>
      </c>
      <c r="L363" t="str">
        <v>PROG</v>
      </c>
      <c r="M363" t="str">
        <v>/DCT/W575_SD_2640_MFTE_SD_COPY</v>
      </c>
    </row>
    <row r="364">
      <c r="K364" t="str">
        <v>SPAU</v>
      </c>
      <c r="L364" t="str">
        <v>PROG</v>
      </c>
      <c r="M364" t="str">
        <v>/DCT/W575_PRISMA_JOB_ERROR_TOP</v>
      </c>
    </row>
    <row r="365">
      <c r="K365" t="str">
        <v>SPAU</v>
      </c>
      <c r="L365" t="str">
        <v>PROG</v>
      </c>
      <c r="M365" t="str">
        <v>/DCT/W575_PRISMA_JOB_ERROR_FRM</v>
      </c>
    </row>
    <row r="366">
      <c r="K366" t="str">
        <v>SPAU</v>
      </c>
      <c r="L366" t="str">
        <v>PROG</v>
      </c>
      <c r="M366" t="str">
        <v>/DCT/W575_PRISMA_JOB_ERROR</v>
      </c>
    </row>
    <row r="367">
      <c r="K367" t="str">
        <v>SPAU</v>
      </c>
      <c r="L367" t="str">
        <v>PROG</v>
      </c>
      <c r="M367" t="str">
        <v>/DCT/W575_PP_0431_MIG_MAT_SA</v>
      </c>
    </row>
    <row r="368">
      <c r="K368" t="str">
        <v>SPAU</v>
      </c>
      <c r="L368" t="str">
        <v>REPS</v>
      </c>
      <c r="M368" t="str">
        <v>V50R_USEREXIT_PREPARE</v>
      </c>
    </row>
    <row r="369">
      <c r="K369" t="str">
        <v>SPAU</v>
      </c>
      <c r="L369" t="str">
        <v>REPS</v>
      </c>
      <c r="M369" t="str">
        <v>V05IEXIT</v>
      </c>
    </row>
    <row r="370">
      <c r="K370" t="str">
        <v>SPAU</v>
      </c>
      <c r="L370" t="str">
        <v>REPS</v>
      </c>
      <c r="M370" t="str">
        <v>RVCOMFZZ</v>
      </c>
    </row>
    <row r="371">
      <c r="K371" t="str">
        <v>SPAU</v>
      </c>
      <c r="L371" t="str">
        <v>REPS</v>
      </c>
      <c r="M371" t="str">
        <v>RVCOMFZ2</v>
      </c>
    </row>
    <row r="372">
      <c r="K372" t="str">
        <v>SPAU</v>
      </c>
      <c r="L372" t="str">
        <v>REPS</v>
      </c>
      <c r="M372" t="str">
        <v>RV64A992</v>
      </c>
    </row>
    <row r="373">
      <c r="K373" t="str">
        <v>SPAU</v>
      </c>
      <c r="L373" t="str">
        <v>REPS</v>
      </c>
      <c r="M373" t="str">
        <v>RV64A991</v>
      </c>
    </row>
    <row r="374">
      <c r="K374" t="str">
        <v>SPAU</v>
      </c>
      <c r="L374" t="str">
        <v>REPS</v>
      </c>
      <c r="M374" t="str">
        <v>RV64A973</v>
      </c>
    </row>
    <row r="375">
      <c r="K375" t="str">
        <v>SPAU</v>
      </c>
      <c r="L375" t="str">
        <v>REPS</v>
      </c>
      <c r="M375" t="str">
        <v>RV64A972</v>
      </c>
    </row>
    <row r="376">
      <c r="K376" t="str">
        <v>SPAU</v>
      </c>
      <c r="L376" t="str">
        <v>REPS</v>
      </c>
      <c r="M376" t="str">
        <v>RV64A971</v>
      </c>
    </row>
    <row r="377">
      <c r="K377" t="str">
        <v>SPAU</v>
      </c>
      <c r="L377" t="str">
        <v>REPS</v>
      </c>
      <c r="M377" t="str">
        <v>RV64A970</v>
      </c>
    </row>
    <row r="378">
      <c r="K378" t="str">
        <v>SPAU</v>
      </c>
      <c r="L378" t="str">
        <v>REPS</v>
      </c>
      <c r="M378" t="str">
        <v>RV64A969</v>
      </c>
    </row>
    <row r="379">
      <c r="K379" t="str">
        <v>SPAU</v>
      </c>
      <c r="L379" t="str">
        <v>REPS</v>
      </c>
      <c r="M379" t="str">
        <v>RV64A968</v>
      </c>
    </row>
    <row r="380">
      <c r="K380" t="str">
        <v>SPAU</v>
      </c>
      <c r="L380" t="str">
        <v>REPS</v>
      </c>
      <c r="M380" t="str">
        <v>RV64A966</v>
      </c>
    </row>
    <row r="381">
      <c r="K381" t="str">
        <v>SPAU</v>
      </c>
      <c r="L381" t="str">
        <v>REPS</v>
      </c>
      <c r="M381" t="str">
        <v>RV64A965</v>
      </c>
    </row>
    <row r="382">
      <c r="K382" t="str">
        <v>SPAU</v>
      </c>
      <c r="L382" t="str">
        <v>REPS</v>
      </c>
      <c r="M382" t="str">
        <v>RV64A964</v>
      </c>
    </row>
    <row r="383">
      <c r="K383" t="str">
        <v>SPAU</v>
      </c>
      <c r="L383" t="str">
        <v>REPS</v>
      </c>
      <c r="M383" t="str">
        <v>RV64A963</v>
      </c>
    </row>
    <row r="384">
      <c r="K384" t="str">
        <v>SPAU</v>
      </c>
      <c r="L384" t="str">
        <v>REPS</v>
      </c>
      <c r="M384" t="str">
        <v>RV64A962</v>
      </c>
    </row>
    <row r="385">
      <c r="K385" t="str">
        <v>SPAU</v>
      </c>
      <c r="L385" t="str">
        <v>REPS</v>
      </c>
      <c r="M385" t="str">
        <v>RV64A961</v>
      </c>
    </row>
    <row r="386">
      <c r="K386" t="str">
        <v>SPAU</v>
      </c>
      <c r="L386" t="str">
        <v>REPS</v>
      </c>
      <c r="M386" t="str">
        <v>RV64A960</v>
      </c>
    </row>
    <row r="387">
      <c r="K387" t="str">
        <v>SPAU</v>
      </c>
      <c r="L387" t="str">
        <v>REPS</v>
      </c>
      <c r="M387" t="str">
        <v>RV64A959</v>
      </c>
    </row>
    <row r="388">
      <c r="K388" t="str">
        <v>SPAU</v>
      </c>
      <c r="L388" t="str">
        <v>REPS</v>
      </c>
      <c r="M388" t="str">
        <v>RV64A958</v>
      </c>
    </row>
    <row r="389">
      <c r="K389" t="str">
        <v>SPAU</v>
      </c>
      <c r="L389" t="str">
        <v>REPS</v>
      </c>
      <c r="M389" t="str">
        <v>RV64A957</v>
      </c>
    </row>
    <row r="390">
      <c r="K390" t="str">
        <v>SPAU</v>
      </c>
      <c r="L390" t="str">
        <v>REPS</v>
      </c>
      <c r="M390" t="str">
        <v>RV64A956</v>
      </c>
    </row>
    <row r="391">
      <c r="K391" t="str">
        <v>SPAU</v>
      </c>
      <c r="L391" t="str">
        <v>REPS</v>
      </c>
      <c r="M391" t="str">
        <v>RV64A955</v>
      </c>
    </row>
    <row r="392">
      <c r="K392" t="str">
        <v>SPAU</v>
      </c>
      <c r="L392" t="str">
        <v>REPS</v>
      </c>
      <c r="M392" t="str">
        <v>RV64A954</v>
      </c>
    </row>
    <row r="393">
      <c r="K393" t="str">
        <v>SPAU</v>
      </c>
      <c r="L393" t="str">
        <v>REPS</v>
      </c>
      <c r="M393" t="str">
        <v>RV64A953</v>
      </c>
    </row>
    <row r="394">
      <c r="K394" t="str">
        <v>SPAU</v>
      </c>
      <c r="L394" t="str">
        <v>REPS</v>
      </c>
      <c r="M394" t="str">
        <v>RV64A952</v>
      </c>
    </row>
    <row r="395">
      <c r="K395" t="str">
        <v>SPAU</v>
      </c>
      <c r="L395" t="str">
        <v>REPS</v>
      </c>
      <c r="M395" t="str">
        <v>RV64A951</v>
      </c>
    </row>
    <row r="396">
      <c r="K396" t="str">
        <v>SPAU</v>
      </c>
      <c r="L396" t="str">
        <v>REPS</v>
      </c>
      <c r="M396" t="str">
        <v>RV64A907</v>
      </c>
    </row>
    <row r="397">
      <c r="K397" t="str">
        <v>SPAU</v>
      </c>
      <c r="L397" t="str">
        <v>REPS</v>
      </c>
      <c r="M397" t="str">
        <v>RV64A906</v>
      </c>
    </row>
    <row r="398">
      <c r="K398" t="str">
        <v>SPAU</v>
      </c>
      <c r="L398" t="str">
        <v>REPS</v>
      </c>
      <c r="M398" t="str">
        <v>RV64A904</v>
      </c>
    </row>
    <row r="399">
      <c r="K399" t="str">
        <v>SPAU</v>
      </c>
      <c r="L399" t="str">
        <v>REPS</v>
      </c>
      <c r="M399" t="str">
        <v>RV64A901</v>
      </c>
    </row>
    <row r="400">
      <c r="K400" t="str">
        <v>SPAU</v>
      </c>
      <c r="L400" t="str">
        <v>REPS</v>
      </c>
      <c r="M400" t="str">
        <v>RV63A920</v>
      </c>
    </row>
    <row r="401">
      <c r="K401" t="str">
        <v>SPAU</v>
      </c>
      <c r="L401" t="str">
        <v>REPS</v>
      </c>
      <c r="M401" t="str">
        <v>RV61B958</v>
      </c>
    </row>
    <row r="402">
      <c r="K402" t="str">
        <v>SPAU</v>
      </c>
      <c r="L402" t="str">
        <v>REPS</v>
      </c>
      <c r="M402" t="str">
        <v>RV61B957</v>
      </c>
    </row>
    <row r="403">
      <c r="K403" t="str">
        <v>SPAU</v>
      </c>
      <c r="L403" t="str">
        <v>REPS</v>
      </c>
      <c r="M403" t="str">
        <v>RV61B956</v>
      </c>
    </row>
    <row r="404">
      <c r="K404" t="str">
        <v>SPAU</v>
      </c>
      <c r="L404" t="str">
        <v>REPS</v>
      </c>
      <c r="M404" t="str">
        <v>RV61B955</v>
      </c>
    </row>
    <row r="405">
      <c r="K405" t="str">
        <v>SPAU</v>
      </c>
      <c r="L405" t="str">
        <v>REPS</v>
      </c>
      <c r="M405" t="str">
        <v>RV61B954</v>
      </c>
    </row>
    <row r="406">
      <c r="K406" t="str">
        <v>SPAU</v>
      </c>
      <c r="L406" t="str">
        <v>REPS</v>
      </c>
      <c r="M406" t="str">
        <v>RV61B951</v>
      </c>
    </row>
    <row r="407">
      <c r="K407" t="str">
        <v>SPAU</v>
      </c>
      <c r="L407" t="str">
        <v>REPS</v>
      </c>
      <c r="M407" t="str">
        <v>RV61B950</v>
      </c>
    </row>
    <row r="408">
      <c r="K408" t="str">
        <v>SPAU</v>
      </c>
      <c r="L408" t="str">
        <v>REPS</v>
      </c>
      <c r="M408" t="str">
        <v>RV61B949</v>
      </c>
    </row>
    <row r="409">
      <c r="K409" t="str">
        <v>SPAU</v>
      </c>
      <c r="L409" t="str">
        <v>REPS</v>
      </c>
      <c r="M409" t="str">
        <v>RV61B948</v>
      </c>
    </row>
    <row r="410">
      <c r="K410" t="str">
        <v>SPAU</v>
      </c>
      <c r="L410" t="str">
        <v>REPS</v>
      </c>
      <c r="M410" t="str">
        <v>RV61B947</v>
      </c>
    </row>
    <row r="411">
      <c r="K411" t="str">
        <v>SPAU</v>
      </c>
      <c r="L411" t="str">
        <v>REPS</v>
      </c>
      <c r="M411" t="str">
        <v>RV61B945</v>
      </c>
    </row>
    <row r="412">
      <c r="K412" t="str">
        <v>SPAU</v>
      </c>
      <c r="L412" t="str">
        <v>REPS</v>
      </c>
      <c r="M412" t="str">
        <v>RV61B943</v>
      </c>
    </row>
    <row r="413">
      <c r="K413" t="str">
        <v>SPAU</v>
      </c>
      <c r="L413" t="str">
        <v>REPS</v>
      </c>
      <c r="M413" t="str">
        <v>RV61B942</v>
      </c>
    </row>
    <row r="414">
      <c r="K414" t="str">
        <v>SPAU</v>
      </c>
      <c r="L414" t="str">
        <v>REPS</v>
      </c>
      <c r="M414" t="str">
        <v>RV61B941</v>
      </c>
    </row>
    <row r="415">
      <c r="K415" t="str">
        <v>SPAU</v>
      </c>
      <c r="L415" t="str">
        <v>REPS</v>
      </c>
      <c r="M415" t="str">
        <v>RV61B940</v>
      </c>
    </row>
    <row r="416">
      <c r="K416" t="str">
        <v>SPAU</v>
      </c>
      <c r="L416" t="str">
        <v>REPS</v>
      </c>
      <c r="M416" t="str">
        <v>RV61B939</v>
      </c>
    </row>
    <row r="417">
      <c r="K417" t="str">
        <v>SPAU</v>
      </c>
      <c r="L417" t="str">
        <v>REPS</v>
      </c>
      <c r="M417" t="str">
        <v>RV61B938</v>
      </c>
    </row>
    <row r="418">
      <c r="K418" t="str">
        <v>SPAU</v>
      </c>
      <c r="L418" t="str">
        <v>REPS</v>
      </c>
      <c r="M418" t="str">
        <v>RV61B937</v>
      </c>
    </row>
    <row r="419">
      <c r="K419" t="str">
        <v>SPAU</v>
      </c>
      <c r="L419" t="str">
        <v>REPS</v>
      </c>
      <c r="M419" t="str">
        <v>RV61B936</v>
      </c>
    </row>
    <row r="420">
      <c r="K420" t="str">
        <v>SPAU</v>
      </c>
      <c r="L420" t="str">
        <v>REPS</v>
      </c>
      <c r="M420" t="str">
        <v>RV61B935</v>
      </c>
    </row>
    <row r="421">
      <c r="K421" t="str">
        <v>SPAU</v>
      </c>
      <c r="L421" t="str">
        <v>REPS</v>
      </c>
      <c r="M421" t="str">
        <v>RV61B934</v>
      </c>
    </row>
    <row r="422">
      <c r="K422" t="str">
        <v>SPAU</v>
      </c>
      <c r="L422" t="str">
        <v>REPS</v>
      </c>
      <c r="M422" t="str">
        <v>RV61B933</v>
      </c>
    </row>
    <row r="423">
      <c r="K423" t="str">
        <v>SPAU</v>
      </c>
      <c r="L423" t="str">
        <v>REPS</v>
      </c>
      <c r="M423" t="str">
        <v>RV61B931</v>
      </c>
    </row>
    <row r="424">
      <c r="K424" t="str">
        <v>SPAU</v>
      </c>
      <c r="L424" t="str">
        <v>REPS</v>
      </c>
      <c r="M424" t="str">
        <v>RV61B930</v>
      </c>
    </row>
    <row r="425">
      <c r="K425" t="str">
        <v>SPAU</v>
      </c>
      <c r="L425" t="str">
        <v>REPS</v>
      </c>
      <c r="M425" t="str">
        <v>RV61B929</v>
      </c>
    </row>
    <row r="426">
      <c r="K426" t="str">
        <v>SPAU</v>
      </c>
      <c r="L426" t="str">
        <v>REPS</v>
      </c>
      <c r="M426" t="str">
        <v>RV61B928</v>
      </c>
    </row>
    <row r="427">
      <c r="K427" t="str">
        <v>SPAU</v>
      </c>
      <c r="L427" t="str">
        <v>REPS</v>
      </c>
      <c r="M427" t="str">
        <v>RV61B927</v>
      </c>
    </row>
    <row r="428">
      <c r="K428" t="str">
        <v>SPAU</v>
      </c>
      <c r="L428" t="str">
        <v>REPS</v>
      </c>
      <c r="M428" t="str">
        <v>RV61B926</v>
      </c>
    </row>
    <row r="429">
      <c r="K429" t="str">
        <v>SPAU</v>
      </c>
      <c r="L429" t="str">
        <v>REPS</v>
      </c>
      <c r="M429" t="str">
        <v>RV61B925</v>
      </c>
    </row>
    <row r="430">
      <c r="K430" t="str">
        <v>SPAU</v>
      </c>
      <c r="L430" t="str">
        <v>REPS</v>
      </c>
      <c r="M430" t="str">
        <v>RV61B924</v>
      </c>
    </row>
    <row r="431">
      <c r="K431" t="str">
        <v>SPAU</v>
      </c>
      <c r="L431" t="str">
        <v>REPS</v>
      </c>
      <c r="M431" t="str">
        <v>RV61B922</v>
      </c>
    </row>
    <row r="432">
      <c r="K432" t="str">
        <v>SPAU</v>
      </c>
      <c r="L432" t="str">
        <v>REPS</v>
      </c>
      <c r="M432" t="str">
        <v>RV61B921</v>
      </c>
    </row>
    <row r="433">
      <c r="K433" t="str">
        <v>SPAU</v>
      </c>
      <c r="L433" t="str">
        <v>REPS</v>
      </c>
      <c r="M433" t="str">
        <v>RV61B916</v>
      </c>
    </row>
    <row r="434">
      <c r="K434" t="str">
        <v>SPAU</v>
      </c>
      <c r="L434" t="str">
        <v>REPS</v>
      </c>
      <c r="M434" t="str">
        <v>RV61B915</v>
      </c>
    </row>
    <row r="435">
      <c r="K435" t="str">
        <v>SPAU</v>
      </c>
      <c r="L435" t="str">
        <v>REPS</v>
      </c>
      <c r="M435" t="str">
        <v>RV61B914</v>
      </c>
    </row>
    <row r="436">
      <c r="K436" t="str">
        <v>SPAU</v>
      </c>
      <c r="L436" t="str">
        <v>REPS</v>
      </c>
      <c r="M436" t="str">
        <v>RV61B913</v>
      </c>
    </row>
    <row r="437">
      <c r="K437" t="str">
        <v>SPAU</v>
      </c>
      <c r="L437" t="str">
        <v>REPS</v>
      </c>
      <c r="M437" t="str">
        <v>RV61B912</v>
      </c>
    </row>
    <row r="438">
      <c r="K438" t="str">
        <v>SPAU</v>
      </c>
      <c r="L438" t="str">
        <v>REPS</v>
      </c>
      <c r="M438" t="str">
        <v>RV61B904</v>
      </c>
    </row>
    <row r="439">
      <c r="K439" t="str">
        <v>SPAU</v>
      </c>
      <c r="L439" t="str">
        <v>REPS</v>
      </c>
      <c r="M439" t="str">
        <v>RV61B903</v>
      </c>
    </row>
    <row r="440">
      <c r="K440" t="str">
        <v>SPAU</v>
      </c>
      <c r="L440" t="str">
        <v>REPS</v>
      </c>
      <c r="M440" t="str">
        <v>RV61B902</v>
      </c>
    </row>
    <row r="441">
      <c r="K441" t="str">
        <v>SPAU</v>
      </c>
      <c r="L441" t="str">
        <v>REPS</v>
      </c>
      <c r="M441" t="str">
        <v>RV61B901</v>
      </c>
    </row>
    <row r="442">
      <c r="K442" t="str">
        <v>SPAU</v>
      </c>
      <c r="L442" t="str">
        <v>REPS</v>
      </c>
      <c r="M442" t="str">
        <v>RV61A996</v>
      </c>
    </row>
    <row r="443">
      <c r="K443" t="str">
        <v>SPAU</v>
      </c>
      <c r="L443" t="str">
        <v>REPS</v>
      </c>
      <c r="M443" t="str">
        <v>RV61A995</v>
      </c>
    </row>
    <row r="444">
      <c r="K444" t="str">
        <v>SPAU</v>
      </c>
      <c r="L444" t="str">
        <v>REPS</v>
      </c>
      <c r="M444" t="str">
        <v>RV61A994</v>
      </c>
    </row>
    <row r="445">
      <c r="K445" t="str">
        <v>SPAU</v>
      </c>
      <c r="L445" t="str">
        <v>REPS</v>
      </c>
      <c r="M445" t="str">
        <v>RV61A993</v>
      </c>
    </row>
    <row r="446">
      <c r="K446" t="str">
        <v>SPAU</v>
      </c>
      <c r="L446" t="str">
        <v>REPS</v>
      </c>
      <c r="M446" t="str">
        <v>RV61A992</v>
      </c>
    </row>
    <row r="447">
      <c r="K447" t="str">
        <v>SPAU</v>
      </c>
      <c r="L447" t="str">
        <v>REPS</v>
      </c>
      <c r="M447" t="str">
        <v>RV61A991</v>
      </c>
    </row>
    <row r="448">
      <c r="K448" t="str">
        <v>SPAU</v>
      </c>
      <c r="L448" t="str">
        <v>REPS</v>
      </c>
      <c r="M448" t="str">
        <v>RV61A930</v>
      </c>
    </row>
    <row r="449">
      <c r="K449" t="str">
        <v>SPAU</v>
      </c>
      <c r="L449" t="str">
        <v>REPS</v>
      </c>
      <c r="M449" t="str">
        <v>RV61A921</v>
      </c>
    </row>
    <row r="450">
      <c r="K450" t="str">
        <v>SPAU</v>
      </c>
      <c r="L450" t="str">
        <v>REPS</v>
      </c>
      <c r="M450" t="str">
        <v>RV61A920</v>
      </c>
    </row>
    <row r="451">
      <c r="K451" t="str">
        <v>SPAU</v>
      </c>
      <c r="L451" t="str">
        <v>REPS</v>
      </c>
      <c r="M451" t="str">
        <v>RV61A919</v>
      </c>
    </row>
    <row r="452">
      <c r="K452" t="str">
        <v>SPAU</v>
      </c>
      <c r="L452" t="str">
        <v>REPS</v>
      </c>
      <c r="M452" t="str">
        <v>RV61A918</v>
      </c>
    </row>
    <row r="453">
      <c r="K453" t="str">
        <v>SPAU</v>
      </c>
      <c r="L453" t="str">
        <v>REPS</v>
      </c>
      <c r="M453" t="str">
        <v>RV61A917</v>
      </c>
    </row>
    <row r="454">
      <c r="K454" t="str">
        <v>SPAU</v>
      </c>
      <c r="L454" t="str">
        <v>REPS</v>
      </c>
      <c r="M454" t="str">
        <v>RV61A916</v>
      </c>
    </row>
    <row r="455">
      <c r="K455" t="str">
        <v>SPAU</v>
      </c>
      <c r="L455" t="str">
        <v>REPS</v>
      </c>
      <c r="M455" t="str">
        <v>RV61A915</v>
      </c>
    </row>
    <row r="456">
      <c r="K456" t="str">
        <v>SPAU</v>
      </c>
      <c r="L456" t="str">
        <v>REPS</v>
      </c>
      <c r="M456" t="str">
        <v>RV61A914</v>
      </c>
    </row>
    <row r="457">
      <c r="K457" t="str">
        <v>SPAU</v>
      </c>
      <c r="L457" t="str">
        <v>REPS</v>
      </c>
      <c r="M457" t="str">
        <v>RV61A913</v>
      </c>
    </row>
    <row r="458">
      <c r="K458" t="str">
        <v>SPAU</v>
      </c>
      <c r="L458" t="str">
        <v>REPS</v>
      </c>
      <c r="M458" t="str">
        <v>RV61A912</v>
      </c>
    </row>
    <row r="459">
      <c r="K459" t="str">
        <v>SPAU</v>
      </c>
      <c r="L459" t="str">
        <v>REPS</v>
      </c>
      <c r="M459" t="str">
        <v>RV61A911</v>
      </c>
    </row>
    <row r="460">
      <c r="K460" t="str">
        <v>SPAU</v>
      </c>
      <c r="L460" t="str">
        <v>REPS</v>
      </c>
      <c r="M460" t="str">
        <v>RV61A910</v>
      </c>
    </row>
    <row r="461">
      <c r="K461" t="str">
        <v>SPAU</v>
      </c>
      <c r="L461" t="str">
        <v>REPS</v>
      </c>
      <c r="M461" t="str">
        <v>RV60C912</v>
      </c>
    </row>
    <row r="462">
      <c r="K462" t="str">
        <v>SPAU</v>
      </c>
      <c r="L462" t="str">
        <v>REPS</v>
      </c>
      <c r="M462" t="str">
        <v>RV60C911</v>
      </c>
    </row>
    <row r="463">
      <c r="K463" t="str">
        <v>SPAU</v>
      </c>
      <c r="L463" t="str">
        <v>REPS</v>
      </c>
      <c r="M463" t="str">
        <v>RV60AFZZ</v>
      </c>
    </row>
    <row r="464">
      <c r="K464" t="str">
        <v>SPAU</v>
      </c>
      <c r="L464" t="str">
        <v>REPS</v>
      </c>
      <c r="M464" t="str">
        <v>RV60AFZC</v>
      </c>
    </row>
    <row r="465">
      <c r="K465" t="str">
        <v>SPAU</v>
      </c>
      <c r="L465" t="str">
        <v>REPS</v>
      </c>
      <c r="M465" t="str">
        <v>RV50C909</v>
      </c>
    </row>
    <row r="466">
      <c r="K466" t="str">
        <v>SPAU</v>
      </c>
      <c r="L466" t="str">
        <v>REPS</v>
      </c>
      <c r="M466" t="str">
        <v>RV50C908</v>
      </c>
    </row>
    <row r="467">
      <c r="K467" t="str">
        <v>SPAU</v>
      </c>
      <c r="L467" t="str">
        <v>REPS</v>
      </c>
      <c r="M467" t="str">
        <v>RV50C907</v>
      </c>
    </row>
    <row r="468">
      <c r="K468" t="str">
        <v>SPAU</v>
      </c>
      <c r="L468" t="str">
        <v>REPS</v>
      </c>
      <c r="M468" t="str">
        <v>RV50C906</v>
      </c>
    </row>
    <row r="469">
      <c r="K469" t="str">
        <v>SPAU</v>
      </c>
      <c r="L469" t="str">
        <v>REPS</v>
      </c>
      <c r="M469" t="str">
        <v>RV50C902</v>
      </c>
    </row>
    <row r="470">
      <c r="K470" t="str">
        <v>SPAU</v>
      </c>
      <c r="L470" t="str">
        <v>REPS</v>
      </c>
      <c r="M470" t="str">
        <v>RV45PFZA</v>
      </c>
    </row>
    <row r="471">
      <c r="K471" t="str">
        <v>SPAU</v>
      </c>
      <c r="L471" t="str">
        <v>REPS</v>
      </c>
      <c r="M471" t="str">
        <v>RV45C953</v>
      </c>
    </row>
    <row r="472">
      <c r="K472" t="str">
        <v>SPAU</v>
      </c>
      <c r="L472" t="str">
        <v>REPS</v>
      </c>
      <c r="M472" t="str">
        <v>MV56ATZZ</v>
      </c>
    </row>
    <row r="473">
      <c r="K473" t="str">
        <v>SPAU</v>
      </c>
      <c r="L473" t="str">
        <v>REPS</v>
      </c>
      <c r="M473" t="str">
        <v>MV56AOZZ</v>
      </c>
    </row>
    <row r="474">
      <c r="K474" t="str">
        <v>SPAU</v>
      </c>
      <c r="L474" t="str">
        <v>REPS</v>
      </c>
      <c r="M474" t="str">
        <v>MV56AIZZ</v>
      </c>
    </row>
    <row r="475">
      <c r="K475" t="str">
        <v>SPAU</v>
      </c>
      <c r="L475" t="str">
        <v>REPS</v>
      </c>
      <c r="M475" t="str">
        <v>MV56AFZZ</v>
      </c>
    </row>
    <row r="476">
      <c r="K476" t="str">
        <v>SPAU</v>
      </c>
      <c r="L476" t="str">
        <v>REPS</v>
      </c>
      <c r="M476" t="str">
        <v>MV56AF99N_OVW</v>
      </c>
    </row>
    <row r="477">
      <c r="K477" t="str">
        <v>SPAU</v>
      </c>
      <c r="L477" t="str">
        <v>REPS</v>
      </c>
      <c r="M477" t="str">
        <v>MV45ATZZ</v>
      </c>
    </row>
    <row r="478">
      <c r="K478" t="str">
        <v>SPAU</v>
      </c>
      <c r="L478" t="str">
        <v>REPS</v>
      </c>
      <c r="M478" t="str">
        <v>MV45AIZZ</v>
      </c>
    </row>
    <row r="479">
      <c r="K479" t="str">
        <v>SPAU</v>
      </c>
      <c r="L479" t="str">
        <v>REPS</v>
      </c>
      <c r="M479" t="str">
        <v>MV45AFFE_FELDAUSWAHL_STATUS</v>
      </c>
    </row>
    <row r="480">
      <c r="K480" t="str">
        <v>SPAU</v>
      </c>
      <c r="L480" t="str">
        <v>REPS</v>
      </c>
      <c r="M480" t="str">
        <v>LVED4TOP</v>
      </c>
    </row>
    <row r="481">
      <c r="K481" t="str">
        <v>SPAU</v>
      </c>
      <c r="L481" t="str">
        <v>REPS</v>
      </c>
      <c r="M481" t="str">
        <v>LVED4FZZ</v>
      </c>
    </row>
    <row r="482">
      <c r="K482" t="str">
        <v>SPAU</v>
      </c>
      <c r="L482" t="str">
        <v>REPS</v>
      </c>
      <c r="M482" t="str">
        <v>LVED4F0Z</v>
      </c>
    </row>
    <row r="483">
      <c r="K483" t="str">
        <v>SPAU</v>
      </c>
      <c r="L483" t="str">
        <v>REPS</v>
      </c>
      <c r="M483" t="str">
        <v>LVED4F0D</v>
      </c>
    </row>
    <row r="484">
      <c r="K484" t="str">
        <v>SPAU</v>
      </c>
      <c r="L484" t="str">
        <v>REPS</v>
      </c>
      <c r="M484" t="str">
        <v>LV69AFZZ</v>
      </c>
    </row>
    <row r="485">
      <c r="K485" t="str">
        <v>SPAU</v>
      </c>
      <c r="L485" t="str">
        <v>REPS</v>
      </c>
      <c r="M485" t="str">
        <v>LV56LSCR</v>
      </c>
    </row>
    <row r="486">
      <c r="K486" t="str">
        <v>SPAU</v>
      </c>
      <c r="L486" t="str">
        <v>REPS</v>
      </c>
      <c r="M486" t="str">
        <v>LV56LF01</v>
      </c>
    </row>
    <row r="487">
      <c r="K487" t="str">
        <v>SPAU</v>
      </c>
      <c r="L487" t="str">
        <v>REPS</v>
      </c>
      <c r="M487" t="str">
        <v>LV56KTOP</v>
      </c>
    </row>
    <row r="488">
      <c r="K488" t="str">
        <v>SPAU</v>
      </c>
      <c r="L488" t="str">
        <v>REPS</v>
      </c>
      <c r="M488" t="str">
        <v>LV56KF7E</v>
      </c>
    </row>
    <row r="489">
      <c r="K489" t="str">
        <v>SPAU</v>
      </c>
      <c r="L489" t="str">
        <v>REPS</v>
      </c>
      <c r="M489" t="str">
        <v>LV56KF6W</v>
      </c>
    </row>
    <row r="490">
      <c r="K490" t="str">
        <v>SPAU</v>
      </c>
      <c r="L490" t="str">
        <v>REPS</v>
      </c>
      <c r="M490" t="str">
        <v>LV56KF66</v>
      </c>
    </row>
    <row r="491">
      <c r="K491" t="str">
        <v>SPAU</v>
      </c>
      <c r="L491" t="str">
        <v>REPS</v>
      </c>
      <c r="M491" t="str">
        <v>LV56KF62</v>
      </c>
    </row>
    <row r="492">
      <c r="K492" t="str">
        <v>SPAU</v>
      </c>
      <c r="L492" t="str">
        <v>REPS</v>
      </c>
      <c r="M492" t="str">
        <v>LV56KF5H</v>
      </c>
    </row>
    <row r="493">
      <c r="K493" t="str">
        <v>SPAU</v>
      </c>
      <c r="L493" t="str">
        <v>REPS</v>
      </c>
      <c r="M493" t="str">
        <v>LV56KF0P</v>
      </c>
    </row>
    <row r="494">
      <c r="K494" t="str">
        <v>SPAU</v>
      </c>
      <c r="L494" t="str">
        <v>REPS</v>
      </c>
      <c r="M494" t="str">
        <v>LV50R_VIEWF63</v>
      </c>
    </row>
    <row r="495">
      <c r="K495" t="str">
        <v>SPAU</v>
      </c>
      <c r="L495" t="str">
        <v>REPS</v>
      </c>
      <c r="M495" t="str">
        <v>FSTST_ACCESS_CHECK</v>
      </c>
    </row>
    <row r="496">
      <c r="K496" t="str">
        <v>SPAU</v>
      </c>
      <c r="L496" t="str">
        <v>REPS</v>
      </c>
      <c r="M496" t="str">
        <v>/RTC/TMSYSO01</v>
      </c>
    </row>
    <row r="497">
      <c r="K497" t="str">
        <v>SPAU</v>
      </c>
      <c r="L497" t="str">
        <v>REPS</v>
      </c>
      <c r="M497" t="str">
        <v>/RTC/TMSYSI01</v>
      </c>
    </row>
    <row r="498">
      <c r="K498" t="str">
        <v>SPAU</v>
      </c>
      <c r="L498" t="str">
        <v>REPS</v>
      </c>
      <c r="M498" t="str">
        <v>/RTC/TMSYSF01</v>
      </c>
    </row>
    <row r="499">
      <c r="K499" t="str">
        <v>SPAU</v>
      </c>
      <c r="L499" t="str">
        <v>REPS</v>
      </c>
      <c r="M499" t="str">
        <v>/RTC/TMSYSCL1</v>
      </c>
    </row>
    <row r="500">
      <c r="K500" t="str">
        <v>SPAU</v>
      </c>
      <c r="L500" t="str">
        <v>REPS</v>
      </c>
      <c r="M500" t="str">
        <v>/RTC/TMDESTIO01</v>
      </c>
    </row>
    <row r="501">
      <c r="K501" t="str">
        <v>SPAU</v>
      </c>
      <c r="L501" t="str">
        <v>REPS</v>
      </c>
      <c r="M501" t="str">
        <v>/RTC/TMDESTII01</v>
      </c>
    </row>
    <row r="502">
      <c r="K502" t="str">
        <v>SPAU</v>
      </c>
      <c r="L502" t="str">
        <v>REPS</v>
      </c>
      <c r="M502" t="str">
        <v>/RTC/TMDESTIF01</v>
      </c>
    </row>
    <row r="503">
      <c r="K503" t="str">
        <v>SPAU</v>
      </c>
      <c r="L503" t="str">
        <v>REPS</v>
      </c>
      <c r="M503" t="str">
        <v>/RTC/TM_TOOLSI01</v>
      </c>
    </row>
    <row r="504">
      <c r="K504" t="str">
        <v>SPAU</v>
      </c>
      <c r="L504" t="str">
        <v>REPS</v>
      </c>
      <c r="M504" t="str">
        <v>/RTC/SAPLTM_SELECTION</v>
      </c>
    </row>
    <row r="505">
      <c r="K505" t="str">
        <v>SPAU</v>
      </c>
      <c r="L505" t="str">
        <v>REPS</v>
      </c>
      <c r="M505" t="str">
        <v>/RTC/SAPLTM_CHECK</v>
      </c>
    </row>
    <row r="506">
      <c r="K506" t="str">
        <v>SPAU</v>
      </c>
      <c r="L506" t="str">
        <v>REPS</v>
      </c>
      <c r="M506" t="str">
        <v>/RTC/SAPLTM_BADI</v>
      </c>
    </row>
    <row r="507">
      <c r="K507" t="str">
        <v>SPAU</v>
      </c>
      <c r="L507" t="str">
        <v>REPS</v>
      </c>
      <c r="M507" t="str">
        <v>/RTC/LTM_WZO01</v>
      </c>
    </row>
    <row r="508">
      <c r="K508" t="str">
        <v>SPAU</v>
      </c>
      <c r="L508" t="str">
        <v>REPS</v>
      </c>
      <c r="M508" t="str">
        <v>/RTC/LTM_BADITOP</v>
      </c>
    </row>
    <row r="509">
      <c r="K509" t="str">
        <v>SPAU</v>
      </c>
      <c r="L509" t="str">
        <v>REPS</v>
      </c>
      <c r="M509" t="str">
        <v>/HITRYVAL/SAPLC_GN02</v>
      </c>
    </row>
    <row r="510">
      <c r="K510" t="str">
        <v>SPAU</v>
      </c>
      <c r="L510" t="str">
        <v>REPS</v>
      </c>
      <c r="M510" t="str">
        <v>/HITRYVAL/GNB0030</v>
      </c>
    </row>
    <row r="511">
      <c r="K511" t="str">
        <v>SPAU</v>
      </c>
      <c r="L511" t="str">
        <v>REPS</v>
      </c>
      <c r="M511" t="str">
        <v>/DCT/W575_SD_RV16ACHD</v>
      </c>
    </row>
    <row r="512">
      <c r="K512" t="str">
        <v>SPAU</v>
      </c>
      <c r="L512" t="str">
        <v>REPS</v>
      </c>
      <c r="M512" t="str">
        <v>/DCT/SAPLW575_SD_COND</v>
      </c>
    </row>
    <row r="513">
      <c r="K513" t="str">
        <v>SPAU</v>
      </c>
      <c r="L513" t="str">
        <v>REPS</v>
      </c>
      <c r="M513" t="str">
        <v>/DCT/SAPLW575_JOB_ER</v>
      </c>
    </row>
    <row r="514">
      <c r="K514" t="str">
        <v>SPAU</v>
      </c>
      <c r="L514" t="str">
        <v>REPT</v>
      </c>
      <c r="M514" t="str">
        <v>SAPMV50A</v>
      </c>
    </row>
    <row r="515">
      <c r="K515" t="str">
        <v>SPAU</v>
      </c>
      <c r="L515" t="str">
        <v>REPT</v>
      </c>
      <c r="M515" t="str">
        <v>SAPMV45A</v>
      </c>
    </row>
    <row r="516">
      <c r="K516" t="str">
        <v>SPAU</v>
      </c>
      <c r="L516" t="str">
        <v>REPT</v>
      </c>
      <c r="M516" t="str">
        <v>SAPLVED4</v>
      </c>
    </row>
    <row r="517">
      <c r="K517" t="str">
        <v>SPAU</v>
      </c>
      <c r="L517" t="str">
        <v>REPT</v>
      </c>
      <c r="M517" t="str">
        <v>SAPLV56L</v>
      </c>
    </row>
    <row r="518">
      <c r="K518" t="str">
        <v>SPAU</v>
      </c>
      <c r="L518" t="str">
        <v>REPT</v>
      </c>
      <c r="M518" t="str">
        <v>RV56TRSL</v>
      </c>
    </row>
    <row r="519">
      <c r="K519" t="str">
        <v>SPAU</v>
      </c>
      <c r="L519" t="str">
        <v>REPT</v>
      </c>
      <c r="M519" t="str">
        <v>/RTC/TM_UE_ADMIN</v>
      </c>
    </row>
    <row r="520">
      <c r="K520" t="str">
        <v>SPAU</v>
      </c>
      <c r="L520" t="str">
        <v>REPT</v>
      </c>
      <c r="M520" t="str">
        <v>/RTC/TM_SETTINGS</v>
      </c>
    </row>
    <row r="521">
      <c r="K521" t="str">
        <v>SPAU</v>
      </c>
      <c r="L521" t="str">
        <v>REPT</v>
      </c>
      <c r="M521" t="str">
        <v>/RTC/TM_LD_081</v>
      </c>
    </row>
    <row r="522">
      <c r="K522" t="str">
        <v>SPAU</v>
      </c>
      <c r="L522" t="str">
        <v>REPT</v>
      </c>
      <c r="M522" t="str">
        <v>/RTC/SAPLTM_WZ</v>
      </c>
    </row>
    <row r="523">
      <c r="K523" t="str">
        <v>SPAU</v>
      </c>
      <c r="L523" t="str">
        <v>REPT</v>
      </c>
      <c r="M523" t="str">
        <v>/RTC/SAPLTM_SYS_WZ</v>
      </c>
    </row>
    <row r="524">
      <c r="K524" t="str">
        <v>SPAU</v>
      </c>
      <c r="L524" t="str">
        <v>REPT</v>
      </c>
      <c r="M524" t="str">
        <v>/RTC/SAPLTM_CHECK</v>
      </c>
    </row>
    <row r="525">
      <c r="K525" t="str">
        <v>SPAU</v>
      </c>
      <c r="L525" t="str">
        <v>REPT</v>
      </c>
      <c r="M525" t="str">
        <v>/DCT/W575_SD_RV16ACHD</v>
      </c>
    </row>
    <row r="526">
      <c r="K526" t="str">
        <v>SPAU</v>
      </c>
      <c r="L526" t="str">
        <v>REPT</v>
      </c>
      <c r="M526" t="str">
        <v>/DCT/W575_PP_0431_MIG_MAT_SA</v>
      </c>
    </row>
    <row r="527">
      <c r="K527" t="str">
        <v>SPAU</v>
      </c>
      <c r="L527" t="str">
        <v>REPT</v>
      </c>
      <c r="M527" t="str">
        <v>/DCT/W575_DISP_IDOC_FRM_ARC</v>
      </c>
    </row>
    <row r="528">
      <c r="K528" t="str">
        <v>SPAU</v>
      </c>
      <c r="L528" t="str">
        <v>REPT</v>
      </c>
      <c r="M528" t="str">
        <v>/DCT/W575_CA_INTF_REP_TOOL</v>
      </c>
    </row>
    <row r="529">
      <c r="K529" t="str">
        <v>SPAU</v>
      </c>
      <c r="L529" t="str">
        <v>REPT</v>
      </c>
      <c r="M529" t="str">
        <v>/DCT/SAPLW575_SD_COND</v>
      </c>
    </row>
    <row r="530">
      <c r="K530" t="str">
        <v>SPAU</v>
      </c>
      <c r="L530" t="str">
        <v>SCVI</v>
      </c>
      <c r="M530" t="str">
        <v>SMALL_SALES_VARIANT_7905</v>
      </c>
    </row>
    <row r="531">
      <c r="K531" t="str">
        <v>SPAU</v>
      </c>
      <c r="L531" t="str">
        <v>SCVI</v>
      </c>
      <c r="M531" t="str">
        <v>SMALL_SALES_VARIANT_7901</v>
      </c>
    </row>
    <row r="532">
      <c r="K532" t="str">
        <v>SPAU</v>
      </c>
      <c r="L532" t="str">
        <v>SCVI</v>
      </c>
      <c r="M532" t="str">
        <v>SMALL_SALES_VARIANT_4900</v>
      </c>
    </row>
    <row r="533">
      <c r="K533" t="str">
        <v>SPAU</v>
      </c>
      <c r="L533" t="str">
        <v>SCVI</v>
      </c>
      <c r="M533" t="str">
        <v>SMALL_SALES_VARIANT_4701</v>
      </c>
    </row>
    <row r="534">
      <c r="K534" t="str">
        <v>SPAU</v>
      </c>
      <c r="L534" t="str">
        <v>SCVI</v>
      </c>
      <c r="M534" t="str">
        <v>SMALL_SALES_VARIANT_4453</v>
      </c>
    </row>
    <row r="535">
      <c r="K535" t="str">
        <v>SPAU</v>
      </c>
      <c r="L535" t="str">
        <v>SCVI</v>
      </c>
      <c r="M535" t="str">
        <v>SMALL_SALES_VARIANT_4303</v>
      </c>
    </row>
    <row r="536">
      <c r="K536" t="str">
        <v>SPAU</v>
      </c>
      <c r="L536" t="str">
        <v>SCVI</v>
      </c>
      <c r="M536" t="str">
        <v>SMALL_SALES_VARIANT_4301</v>
      </c>
    </row>
    <row r="537">
      <c r="K537" t="str">
        <v>SPAU</v>
      </c>
      <c r="L537" t="str">
        <v>SCVI</v>
      </c>
      <c r="M537" t="str">
        <v>SMALL_SALES_VARIANT_4050</v>
      </c>
    </row>
    <row r="538">
      <c r="K538" t="str">
        <v>SPAU</v>
      </c>
      <c r="L538" t="str">
        <v>SCVI</v>
      </c>
      <c r="M538" t="str">
        <v>SMALL_SALES_VARIANT_4021</v>
      </c>
    </row>
    <row r="539">
      <c r="K539" t="str">
        <v>SPAU</v>
      </c>
      <c r="L539" t="str">
        <v>SCVI</v>
      </c>
      <c r="M539" t="str">
        <v>SMALL_SALES_VARIANT_4001</v>
      </c>
    </row>
    <row r="540">
      <c r="K540" t="str">
        <v>SPAU</v>
      </c>
      <c r="L540" t="str">
        <v>SCVI</v>
      </c>
      <c r="M540" t="str">
        <v>SMALL_SALES_VARIANT_0102</v>
      </c>
    </row>
    <row r="541">
      <c r="K541" t="str">
        <v>SPAU</v>
      </c>
      <c r="L541" t="str">
        <v>SCVI</v>
      </c>
      <c r="M541" t="str">
        <v>SMALL_SALES_VARIANT_0100</v>
      </c>
    </row>
    <row r="542">
      <c r="K542" t="str">
        <v>SPAU</v>
      </c>
      <c r="L542" t="str">
        <v>STVI</v>
      </c>
      <c r="M542" t="str">
        <v>SMALL_SALES_VARIANT</v>
      </c>
    </row>
    <row r="543">
      <c r="K543" t="str">
        <v>SPAU</v>
      </c>
      <c r="L543" t="str">
        <v>SXSD</v>
      </c>
      <c r="M543" t="str">
        <v>BADI_SD_SALES_ITEM</v>
      </c>
    </row>
    <row r="544">
      <c r="K544" t="str">
        <v>SPAU</v>
      </c>
      <c r="L544" t="str">
        <v>SXSD</v>
      </c>
      <c r="M544" t="str">
        <v>BADI_SD_SALES_BASIC</v>
      </c>
    </row>
    <row r="545">
      <c r="K545" t="str">
        <v>SPAU</v>
      </c>
      <c r="L545" t="str">
        <v>SXSD</v>
      </c>
      <c r="M545" t="str">
        <v>BADI_SD_DOCUMENTFLOW</v>
      </c>
    </row>
    <row r="546">
      <c r="K546" t="str">
        <v>SPAU</v>
      </c>
      <c r="L546" t="str">
        <v>SXSD</v>
      </c>
      <c r="M546" t="str">
        <v>BADI_SD_BILLING</v>
      </c>
    </row>
    <row r="547">
      <c r="K547" t="str">
        <v>SPAU</v>
      </c>
      <c r="L547" t="str">
        <v>TRAN</v>
      </c>
      <c r="M547" t="str">
        <v>VK13</v>
      </c>
    </row>
    <row r="548">
      <c r="K548" t="str">
        <v>SPAU</v>
      </c>
      <c r="L548" t="str">
        <v>TRAN</v>
      </c>
      <c r="M548" t="str">
        <v>/RTC/TM_INI</v>
      </c>
    </row>
    <row r="549">
      <c r="K549" t="str">
        <v>SPAU</v>
      </c>
      <c r="L549" t="str">
        <v>VARI</v>
      </c>
      <c r="M549" t="str">
        <v>/1SDBF12L/RV14AKZM                      CUS&amp;ZM</v>
      </c>
    </row>
    <row r="550">
      <c r="K550" t="str">
        <v>SPAU</v>
      </c>
      <c r="L550" t="str">
        <v>VARI</v>
      </c>
      <c r="M550" t="str">
        <v>/1SDBF12L/RV14AKZL                      CUS&amp;ZL</v>
      </c>
    </row>
    <row r="551">
      <c r="K551" t="str">
        <v>SPAU</v>
      </c>
      <c r="L551" t="str">
        <v>VARI</v>
      </c>
      <c r="M551" t="str">
        <v>/1SDBF12L/RV14AKZK                      CUS&amp;ZK</v>
      </c>
    </row>
    <row r="552">
      <c r="K552" t="str">
        <v>SPAU</v>
      </c>
      <c r="L552" t="str">
        <v>VARI</v>
      </c>
      <c r="M552" t="str">
        <v>/1SDBF12L/RV14AKZE                      CUS&amp;ZE</v>
      </c>
    </row>
    <row r="553">
      <c r="K553" t="str">
        <v>SPAU</v>
      </c>
      <c r="L553" t="str">
        <v>VARI</v>
      </c>
      <c r="M553" t="str">
        <v>/1SDBF12L/RV14AKZB                      CUS&amp;ZB</v>
      </c>
    </row>
    <row r="554">
      <c r="K554" t="str">
        <v>Grand Total</v>
      </c>
    </row>
  </sheetData>
  <pageMargins left="0.7" right="0.7" top="0.75" bottom="0.75" header="0.3" footer="0.3"/>
  <ignoredErrors>
    <ignoredError numberStoredAsText="1" sqref="A1:N5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K1406"/>
  <sheetViews>
    <sheetView workbookViewId="0" rightToLeft="0"/>
  </sheetViews>
  <sheetData>
    <row r="1">
      <c r="A1" t="str">
        <v>OBJ_TYPE</v>
      </c>
      <c r="B1" t="str">
        <v>OBJ_NAME</v>
      </c>
      <c r="C1" t="str">
        <v>SUB_TYPE</v>
      </c>
      <c r="D1" t="str">
        <v>SUB_NAME</v>
      </c>
      <c r="E1" t="str">
        <v>INT_TYPE</v>
      </c>
      <c r="F1" t="str">
        <v>INT_NAME</v>
      </c>
      <c r="G1" t="str">
        <v>OPERATION</v>
      </c>
      <c r="H1" t="str">
        <v>MAIN_PROG</v>
      </c>
      <c r="I1" t="str">
        <v>INCLUDE</v>
      </c>
      <c r="J1" t="str">
        <v>MOD_NAME</v>
      </c>
      <c r="K1" t="str">
        <v>MOD_LANGU</v>
      </c>
      <c r="L1" t="str">
        <v>MOD_USER</v>
      </c>
      <c r="M1" t="str">
        <v>MOD_DATE</v>
      </c>
      <c r="N1" t="str">
        <v>MOD_TIME</v>
      </c>
      <c r="O1" t="str">
        <v>ACTIVE</v>
      </c>
      <c r="P1" t="str">
        <v>INACTIVE</v>
      </c>
      <c r="Q1" t="str">
        <v>UPGRADE</v>
      </c>
      <c r="R1" t="str">
        <v>PRE_CORR</v>
      </c>
      <c r="S1" t="str">
        <v>PROT_ONLY</v>
      </c>
      <c r="T1" t="str">
        <v>UPG_MODE</v>
      </c>
      <c r="U1" t="str">
        <v>MARK</v>
      </c>
      <c r="V1" t="str">
        <v>SPAU</v>
      </c>
      <c r="W1" t="str">
        <v>TRKORR</v>
      </c>
      <c r="X1" t="str">
        <v>SPAU_CODE</v>
      </c>
      <c r="Y1" t="str">
        <v>Final Obj Type</v>
      </c>
      <c r="Z1" t="str">
        <v>Final Obj Name</v>
      </c>
      <c r="AA1" t="str">
        <v>Concat</v>
      </c>
      <c r="AB1" t="str">
        <v>Category</v>
      </c>
      <c r="AC1" t="str">
        <v>Revelant</v>
      </c>
      <c r="AD1" t="str">
        <v>/* Object</v>
      </c>
      <c r="AE1" t="str">
        <v>Owner</v>
      </c>
      <c r="AF1" t="str">
        <v>SSCRFLAG</v>
      </c>
      <c r="AG1" t="str">
        <v>SAPFLAG</v>
      </c>
      <c r="AH1" t="str">
        <v>GEN_ONLY</v>
      </c>
      <c r="AI1" t="str">
        <v>Position 1</v>
      </c>
      <c r="AJ1" t="str">
        <v>Position 2</v>
      </c>
      <c r="AK1" t="str">
        <v>Old /* Object</v>
      </c>
    </row>
    <row r="2">
      <c r="A2" t="str">
        <v>CLAS</v>
      </c>
      <c r="B2" t="str">
        <v>ZCL_AMDP_PTP_ASN_RCV_GR_DATA</v>
      </c>
      <c r="C2" t="str">
        <v>CPRI</v>
      </c>
      <c r="D2" t="str">
        <v>ZCL_AMDP_PTP_ASN_RCV_GR_DATA</v>
      </c>
      <c r="E2" t="str">
        <v>XXXX</v>
      </c>
      <c r="G2" t="str">
        <v>ALL</v>
      </c>
      <c r="K2" t="str">
        <v>E</v>
      </c>
      <c r="L2">
        <v>50116557</v>
      </c>
      <c r="M2">
        <v>45099</v>
      </c>
      <c r="N2">
        <v>0.84596064814815</v>
      </c>
      <c r="O2" t="str">
        <v>W</v>
      </c>
      <c r="P2" t="str">
        <v>D</v>
      </c>
      <c r="V2" t="str">
        <v>X</v>
      </c>
      <c r="W2" t="str">
        <v>S01K916738</v>
      </c>
      <c r="X2" t="str">
        <v>D</v>
      </c>
      <c r="Y2">
        <f>IF(Table1[[#This Row],[OPERATION]]="NOTE","NOTE",Table1[[#This Row],[SUB_TYPE]])</f>
        <v>0</v>
      </c>
      <c r="Z2">
        <f>IF(Table1[[#This Row],[OPERATION]]="NOTE",NUMBERVALUE(LEFT(Table1[[#This Row],[MOD_NAME]],LEN(Table1[[#This Row],[MOD_NAME]])-4)),Table1[[#This Row],[SUB_NAME]])</f>
        <v>0</v>
      </c>
      <c r="AA2" t="str">
        <f>CONCAT(Table1[[#This Row],[Final Obj Type]],"|",Table1[[#This Row],[Final Obj Name]])</f>
        <v>0|0</v>
      </c>
      <c r="AB2" t="e">
        <f>VLOOKUP(Table1[[#This Row],[Final Obj Type]],Classification!B:E,3,FALSE)</f>
        <v>#N/A</v>
      </c>
      <c r="AC2" t="e">
        <f>VLOOKUP(Table1[[#This Row],[Final Obj Type]],Classification!B:E,4,FALSE)</f>
        <v>#N/A</v>
      </c>
      <c r="AD2" t="str">
        <f>IF(Table1[[#This Row],[Position 1]]=0,"/0SAP/",MID(Table1[[#This Row],[Final Obj Name]],Table1[[#This Row],[Position 1]],Table1[[#This Row],[Position 2]]-Table1[[#This Row],[Position 1]]+1))</f>
        <v>/0SAP/</v>
      </c>
      <c r="AE2" t="str">
        <f>VLOOKUP(Table1[[#This Row],[/* Object]],Namespace!A:J,10,FALSE)</f>
        <v>SAP AG</v>
      </c>
      <c r="AF2" t="str">
        <f>IF(VLOOKUP(Table1[[#This Row],[/* Object]],Namespace!A:J,4,FALSE)=0,"",VLOOKUP(Table1[[#This Row],[/* Object]],Namespace!A:J,4,FALSE))</f>
        <v>X</v>
      </c>
      <c r="AG2" t="str">
        <f>IF(VLOOKUP(Table1[[#This Row],[/* Object]],Namespace!A:J,5,FALSE)=0,"",VLOOKUP(Table1[[#This Row],[/* Object]],Namespace!A:J,5,FALSE))</f>
        <v>X</v>
      </c>
      <c r="AH2" t="str">
        <f>IF(VLOOKUP(Table1[[#This Row],[/* Object]],Namespace!A:J,6,FALSE)=0,"",VLOOKUP(Table1[[#This Row],[/* Object]],Namespace!A:J,6,FALSE))</f>
        <v/>
      </c>
      <c r="AI2">
        <f>IFERROR(FIND("/",Table1[[#This Row],[Final Obj Name]],1),0)</f>
        <v>0</v>
      </c>
      <c r="AJ2">
        <f>IF(Table1[[#This Row],[Position 1]]=0,0,FIND("/",Table1[[#This Row],[Final Obj Name]],Table1[[#This Row],[Position 1]]+1))</f>
        <v>0</v>
      </c>
      <c r="AK2" t="str">
        <f>IF(LEFT(Table1[[#This Row],[Final Obj Name]],1)="/",LEFT(Table1[[#This Row],[Final Obj Name]],FIND("/",Table1[[#This Row],[Final Obj Name]],2)),"/0SAP/")</f>
        <v>/0SAP/</v>
      </c>
    </row>
    <row r="3">
      <c r="A3" t="str">
        <v>CLAS</v>
      </c>
      <c r="B3" t="str">
        <v>ZCL_AMDP_PTP_ASN_RCV_GR_DATA</v>
      </c>
      <c r="C3" t="str">
        <v>CPRO</v>
      </c>
      <c r="D3" t="str">
        <v>ZCL_AMDP_PTP_ASN_RCV_GR_DATA</v>
      </c>
      <c r="E3" t="str">
        <v>XXXX</v>
      </c>
      <c r="G3" t="str">
        <v>ALL</v>
      </c>
      <c r="K3" t="str">
        <v>E</v>
      </c>
      <c r="L3">
        <v>50116557</v>
      </c>
      <c r="M3">
        <v>45099</v>
      </c>
      <c r="N3">
        <v>0.84596064814815</v>
      </c>
      <c r="O3" t="str">
        <v>W</v>
      </c>
      <c r="P3" t="str">
        <v>D</v>
      </c>
      <c r="V3" t="str">
        <v>X</v>
      </c>
      <c r="W3" t="str">
        <v>S01K916738</v>
      </c>
      <c r="X3" t="str">
        <v>D</v>
      </c>
      <c r="Y3">
        <f>IF(Table1[[#This Row],[OPERATION]]="NOTE","NOTE",Table1[[#This Row],[SUB_TYPE]])</f>
        <v>0</v>
      </c>
      <c r="Z3">
        <f>IF(Table1[[#This Row],[OPERATION]]="NOTE",NUMBERVALUE(LEFT(Table1[[#This Row],[MOD_NAME]],LEN(Table1[[#This Row],[MOD_NAME]])-4)),Table1[[#This Row],[SUB_NAME]])</f>
        <v>0</v>
      </c>
      <c r="AA3" t="str">
        <f>CONCAT(Table1[[#This Row],[Final Obj Type]],"|",Table1[[#This Row],[Final Obj Name]])</f>
        <v>0|0</v>
      </c>
      <c r="AB3" t="e">
        <f>VLOOKUP(Table1[[#This Row],[Final Obj Type]],Classification!B:E,3,FALSE)</f>
        <v>#N/A</v>
      </c>
      <c r="AC3" t="e">
        <f>VLOOKUP(Table1[[#This Row],[Final Obj Type]],Classification!B:E,4,FALSE)</f>
        <v>#N/A</v>
      </c>
      <c r="AD3" t="str">
        <f>IF(Table1[[#This Row],[Position 1]]=0,"/0SAP/",MID(Table1[[#This Row],[Final Obj Name]],Table1[[#This Row],[Position 1]],Table1[[#This Row],[Position 2]]-Table1[[#This Row],[Position 1]]+1))</f>
        <v>/0SAP/</v>
      </c>
      <c r="AE3" t="str">
        <f>VLOOKUP(Table1[[#This Row],[/* Object]],Namespace!A:J,10,FALSE)</f>
        <v>SAP AG</v>
      </c>
      <c r="AF3" t="str">
        <f>IF(VLOOKUP(Table1[[#This Row],[/* Object]],Namespace!A:J,4,FALSE)=0,"",VLOOKUP(Table1[[#This Row],[/* Object]],Namespace!A:J,4,FALSE))</f>
        <v>X</v>
      </c>
      <c r="AG3" t="str">
        <f>IF(VLOOKUP(Table1[[#This Row],[/* Object]],Namespace!A:J,5,FALSE)=0,"",VLOOKUP(Table1[[#This Row],[/* Object]],Namespace!A:J,5,FALSE))</f>
        <v>X</v>
      </c>
      <c r="AH3" t="str">
        <f>IF(VLOOKUP(Table1[[#This Row],[/* Object]],Namespace!A:J,6,FALSE)=0,"",VLOOKUP(Table1[[#This Row],[/* Object]],Namespace!A:J,6,FALSE))</f>
        <v/>
      </c>
      <c r="AI3">
        <f>IFERROR(FIND("/",Table1[[#This Row],[Final Obj Name]],1),0)</f>
        <v>0</v>
      </c>
      <c r="AJ3">
        <f>IF(Table1[[#This Row],[Position 1]]=0,0,FIND("/",Table1[[#This Row],[Final Obj Name]],Table1[[#This Row],[Position 1]]+1))</f>
        <v>0</v>
      </c>
      <c r="AK3" t="str">
        <f>IF(LEFT(Table1[[#This Row],[Final Obj Name]],1)="/",LEFT(Table1[[#This Row],[Final Obj Name]],FIND("/",Table1[[#This Row],[Final Obj Name]],2)),"/0SAP/")</f>
        <v>/0SAP/</v>
      </c>
    </row>
    <row r="4">
      <c r="A4" t="str">
        <v>CLAS</v>
      </c>
      <c r="B4" t="str">
        <v>ZCL_AMDP_PTP_ASN_RCV_GR_DATA</v>
      </c>
      <c r="C4" t="str">
        <v>CPUB</v>
      </c>
      <c r="D4" t="str">
        <v>ZCL_AMDP_PTP_ASN_RCV_GR_DATA</v>
      </c>
      <c r="E4" t="str">
        <v>XXXX</v>
      </c>
      <c r="G4" t="str">
        <v>ALL</v>
      </c>
      <c r="K4" t="str">
        <v>E</v>
      </c>
      <c r="L4">
        <v>50116557</v>
      </c>
      <c r="M4">
        <v>45099</v>
      </c>
      <c r="N4">
        <v>0.84596064814815</v>
      </c>
      <c r="O4" t="str">
        <v>W</v>
      </c>
      <c r="P4" t="str">
        <v>D</v>
      </c>
      <c r="V4" t="str">
        <v>X</v>
      </c>
      <c r="W4" t="str">
        <v>S01K916738</v>
      </c>
      <c r="X4" t="str">
        <v>D</v>
      </c>
      <c r="Y4">
        <f>IF(Table1[[#This Row],[OPERATION]]="NOTE","NOTE",Table1[[#This Row],[SUB_TYPE]])</f>
        <v>0</v>
      </c>
      <c r="Z4">
        <f>IF(Table1[[#This Row],[OPERATION]]="NOTE",NUMBERVALUE(LEFT(Table1[[#This Row],[MOD_NAME]],LEN(Table1[[#This Row],[MOD_NAME]])-4)),Table1[[#This Row],[SUB_NAME]])</f>
        <v>0</v>
      </c>
      <c r="AA4" t="str">
        <f>CONCAT(Table1[[#This Row],[Final Obj Type]],"|",Table1[[#This Row],[Final Obj Name]])</f>
        <v>0|0</v>
      </c>
      <c r="AB4" t="e">
        <f>VLOOKUP(Table1[[#This Row],[Final Obj Type]],Classification!B:E,3,FALSE)</f>
        <v>#N/A</v>
      </c>
      <c r="AC4" t="e">
        <f>VLOOKUP(Table1[[#This Row],[Final Obj Type]],Classification!B:E,4,FALSE)</f>
        <v>#N/A</v>
      </c>
      <c r="AD4" t="str">
        <f>IF(Table1[[#This Row],[Position 1]]=0,"/0SAP/",MID(Table1[[#This Row],[Final Obj Name]],Table1[[#This Row],[Position 1]],Table1[[#This Row],[Position 2]]-Table1[[#This Row],[Position 1]]+1))</f>
        <v>/0SAP/</v>
      </c>
      <c r="AE4" t="str">
        <f>VLOOKUP(Table1[[#This Row],[/* Object]],Namespace!A:J,10,FALSE)</f>
        <v>SAP AG</v>
      </c>
      <c r="AF4" t="str">
        <f>IF(VLOOKUP(Table1[[#This Row],[/* Object]],Namespace!A:J,4,FALSE)=0,"",VLOOKUP(Table1[[#This Row],[/* Object]],Namespace!A:J,4,FALSE))</f>
        <v>X</v>
      </c>
      <c r="AG4" t="str">
        <f>IF(VLOOKUP(Table1[[#This Row],[/* Object]],Namespace!A:J,5,FALSE)=0,"",VLOOKUP(Table1[[#This Row],[/* Object]],Namespace!A:J,5,FALSE))</f>
        <v>X</v>
      </c>
      <c r="AH4" t="str">
        <f>IF(VLOOKUP(Table1[[#This Row],[/* Object]],Namespace!A:J,6,FALSE)=0,"",VLOOKUP(Table1[[#This Row],[/* Object]],Namespace!A:J,6,FALSE))</f>
        <v/>
      </c>
      <c r="AI4">
        <f>IFERROR(FIND("/",Table1[[#This Row],[Final Obj Name]],1),0)</f>
        <v>0</v>
      </c>
      <c r="AJ4">
        <f>IF(Table1[[#This Row],[Position 1]]=0,0,FIND("/",Table1[[#This Row],[Final Obj Name]],Table1[[#This Row],[Position 1]]+1))</f>
        <v>0</v>
      </c>
      <c r="AK4" t="str">
        <f>IF(LEFT(Table1[[#This Row],[Final Obj Name]],1)="/",LEFT(Table1[[#This Row],[Final Obj Name]],FIND("/",Table1[[#This Row],[Final Obj Name]],2)),"/0SAP/")</f>
        <v>/0SAP/</v>
      </c>
    </row>
    <row r="5">
      <c r="A5" t="str">
        <v>CLAS</v>
      </c>
      <c r="B5" t="str">
        <v>ZCL_COMMON_UTILITY</v>
      </c>
      <c r="C5" t="str">
        <v>CPRI</v>
      </c>
      <c r="D5" t="str">
        <v>ZCL_COMMON_UTILITY</v>
      </c>
      <c r="E5" t="str">
        <v>INTF</v>
      </c>
      <c r="G5" t="str">
        <v>ALL</v>
      </c>
      <c r="K5" t="str">
        <v>E</v>
      </c>
      <c r="L5" t="str">
        <v>CST_VRAGHAV</v>
      </c>
      <c r="M5">
        <v>43783</v>
      </c>
      <c r="N5">
        <v>0.66486111111111</v>
      </c>
      <c r="W5" t="str">
        <v>SP1K903472</v>
      </c>
      <c r="Y5">
        <f>IF(Table1[[#This Row],[OPERATION]]="NOTE","NOTE",Table1[[#This Row],[SUB_TYPE]])</f>
        <v>0</v>
      </c>
      <c r="Z5">
        <f>IF(Table1[[#This Row],[OPERATION]]="NOTE",NUMBERVALUE(LEFT(Table1[[#This Row],[MOD_NAME]],LEN(Table1[[#This Row],[MOD_NAME]])-4)),Table1[[#This Row],[SUB_NAME]])</f>
        <v>0</v>
      </c>
      <c r="AA5" t="str">
        <f>CONCAT(Table1[[#This Row],[Final Obj Type]],"|",Table1[[#This Row],[Final Obj Name]])</f>
        <v>0|0</v>
      </c>
      <c r="AB5" t="e">
        <f>VLOOKUP(Table1[[#This Row],[Final Obj Type]],Classification!B:E,3,FALSE)</f>
        <v>#N/A</v>
      </c>
      <c r="AC5" t="e">
        <f>VLOOKUP(Table1[[#This Row],[Final Obj Type]],Classification!B:E,4,FALSE)</f>
        <v>#N/A</v>
      </c>
      <c r="AD5" t="str">
        <f>IF(Table1[[#This Row],[Position 1]]=0,"/0SAP/",MID(Table1[[#This Row],[Final Obj Name]],Table1[[#This Row],[Position 1]],Table1[[#This Row],[Position 2]]-Table1[[#This Row],[Position 1]]+1))</f>
        <v>/0SAP/</v>
      </c>
      <c r="AE5" t="str">
        <f>VLOOKUP(Table1[[#This Row],[/* Object]],Namespace!A:J,10,FALSE)</f>
        <v>SAP AG</v>
      </c>
      <c r="AF5" t="str">
        <f>IF(VLOOKUP(Table1[[#This Row],[/* Object]],Namespace!A:J,4,FALSE)=0,"",VLOOKUP(Table1[[#This Row],[/* Object]],Namespace!A:J,4,FALSE))</f>
        <v>X</v>
      </c>
      <c r="AG5" t="str">
        <f>IF(VLOOKUP(Table1[[#This Row],[/* Object]],Namespace!A:J,5,FALSE)=0,"",VLOOKUP(Table1[[#This Row],[/* Object]],Namespace!A:J,5,FALSE))</f>
        <v>X</v>
      </c>
      <c r="AH5" t="str">
        <f>IF(VLOOKUP(Table1[[#This Row],[/* Object]],Namespace!A:J,6,FALSE)=0,"",VLOOKUP(Table1[[#This Row],[/* Object]],Namespace!A:J,6,FALSE))</f>
        <v/>
      </c>
      <c r="AI5">
        <f>IFERROR(FIND("/",Table1[[#This Row],[Final Obj Name]],1),0)</f>
        <v>0</v>
      </c>
      <c r="AJ5">
        <f>IF(Table1[[#This Row],[Position 1]]=0,0,FIND("/",Table1[[#This Row],[Final Obj Name]],Table1[[#This Row],[Position 1]]+1))</f>
        <v>0</v>
      </c>
      <c r="AK5" t="str">
        <f>IF(LEFT(Table1[[#This Row],[Final Obj Name]],1)="/",LEFT(Table1[[#This Row],[Final Obj Name]],FIND("/",Table1[[#This Row],[Final Obj Name]],2)),"/0SAP/")</f>
        <v>/0SAP/</v>
      </c>
    </row>
    <row r="6">
      <c r="A6" t="str">
        <v>CLAS</v>
      </c>
      <c r="B6" t="str">
        <v>ZCL_COMMON_UTILITY</v>
      </c>
      <c r="C6" t="str">
        <v>CPUB</v>
      </c>
      <c r="D6" t="str">
        <v>ZCL_COMMON_UTILITY</v>
      </c>
      <c r="E6" t="str">
        <v>INTF</v>
      </c>
      <c r="G6" t="str">
        <v>ALL</v>
      </c>
      <c r="K6" t="str">
        <v>E</v>
      </c>
      <c r="L6" t="str">
        <v>CST_VRAGHAV</v>
      </c>
      <c r="M6">
        <v>43784</v>
      </c>
      <c r="N6">
        <v>0.2999537037037</v>
      </c>
      <c r="W6" t="str">
        <v>SP1K903472</v>
      </c>
      <c r="Y6">
        <f>IF(Table1[[#This Row],[OPERATION]]="NOTE","NOTE",Table1[[#This Row],[SUB_TYPE]])</f>
        <v>0</v>
      </c>
      <c r="Z6">
        <f>IF(Table1[[#This Row],[OPERATION]]="NOTE",NUMBERVALUE(LEFT(Table1[[#This Row],[MOD_NAME]],LEN(Table1[[#This Row],[MOD_NAME]])-4)),Table1[[#This Row],[SUB_NAME]])</f>
        <v>0</v>
      </c>
      <c r="AA6" t="str">
        <f>CONCAT(Table1[[#This Row],[Final Obj Type]],"|",Table1[[#This Row],[Final Obj Name]])</f>
        <v>0|0</v>
      </c>
      <c r="AB6" t="e">
        <f>VLOOKUP(Table1[[#This Row],[Final Obj Type]],Classification!B:E,3,FALSE)</f>
        <v>#N/A</v>
      </c>
      <c r="AC6" t="e">
        <f>VLOOKUP(Table1[[#This Row],[Final Obj Type]],Classification!B:E,4,FALSE)</f>
        <v>#N/A</v>
      </c>
      <c r="AD6" t="str">
        <f>IF(Table1[[#This Row],[Position 1]]=0,"/0SAP/",MID(Table1[[#This Row],[Final Obj Name]],Table1[[#This Row],[Position 1]],Table1[[#This Row],[Position 2]]-Table1[[#This Row],[Position 1]]+1))</f>
        <v>/0SAP/</v>
      </c>
      <c r="AE6" t="str">
        <f>VLOOKUP(Table1[[#This Row],[/* Object]],Namespace!A:J,10,FALSE)</f>
        <v>SAP AG</v>
      </c>
      <c r="AF6" t="str">
        <f>IF(VLOOKUP(Table1[[#This Row],[/* Object]],Namespace!A:J,4,FALSE)=0,"",VLOOKUP(Table1[[#This Row],[/* Object]],Namespace!A:J,4,FALSE))</f>
        <v>X</v>
      </c>
      <c r="AG6" t="str">
        <f>IF(VLOOKUP(Table1[[#This Row],[/* Object]],Namespace!A:J,5,FALSE)=0,"",VLOOKUP(Table1[[#This Row],[/* Object]],Namespace!A:J,5,FALSE))</f>
        <v>X</v>
      </c>
      <c r="AH6" t="str">
        <f>IF(VLOOKUP(Table1[[#This Row],[/* Object]],Namespace!A:J,6,FALSE)=0,"",VLOOKUP(Table1[[#This Row],[/* Object]],Namespace!A:J,6,FALSE))</f>
        <v/>
      </c>
      <c r="AI6">
        <f>IFERROR(FIND("/",Table1[[#This Row],[Final Obj Name]],1),0)</f>
        <v>0</v>
      </c>
      <c r="AJ6">
        <f>IF(Table1[[#This Row],[Position 1]]=0,0,FIND("/",Table1[[#This Row],[Final Obj Name]],Table1[[#This Row],[Position 1]]+1))</f>
        <v>0</v>
      </c>
      <c r="AK6" t="str">
        <f>IF(LEFT(Table1[[#This Row],[Final Obj Name]],1)="/",LEFT(Table1[[#This Row],[Final Obj Name]],FIND("/",Table1[[#This Row],[Final Obj Name]],2)),"/0SAP/")</f>
        <v>/0SAP/</v>
      </c>
    </row>
    <row r="7">
      <c r="A7" t="str">
        <v>CLAS</v>
      </c>
      <c r="B7" t="str">
        <v>ZCL_COMMON_UTILITY</v>
      </c>
      <c r="C7" t="str">
        <v>METH</v>
      </c>
      <c r="D7" t="str">
        <v>ZCL_COMMON_UTILITY            POPULATE_RESPONSE_IDOC_OUTB</v>
      </c>
      <c r="E7" t="str">
        <v>PN</v>
      </c>
      <c r="G7" t="str">
        <v>MOD</v>
      </c>
      <c r="H7" t="str">
        <v>ZCL_COMMON_UTILITY============CP</v>
      </c>
      <c r="K7" t="str">
        <v>E</v>
      </c>
      <c r="L7" t="str">
        <v>VKUNNAVAKAM</v>
      </c>
      <c r="M7">
        <v>45581</v>
      </c>
      <c r="N7">
        <v>0.24922453703704</v>
      </c>
      <c r="W7" t="str">
        <v>SP1K950374</v>
      </c>
      <c r="Y7">
        <f>IF(Table1[[#This Row],[OPERATION]]="NOTE","NOTE",Table1[[#This Row],[SUB_TYPE]])</f>
        <v>0</v>
      </c>
      <c r="Z7">
        <f>IF(Table1[[#This Row],[OPERATION]]="NOTE",NUMBERVALUE(LEFT(Table1[[#This Row],[MOD_NAME]],LEN(Table1[[#This Row],[MOD_NAME]])-4)),Table1[[#This Row],[SUB_NAME]])</f>
        <v>0</v>
      </c>
      <c r="AA7" t="str">
        <f>CONCAT(Table1[[#This Row],[Final Obj Type]],"|",Table1[[#This Row],[Final Obj Name]])</f>
        <v>0|0</v>
      </c>
      <c r="AB7" t="e">
        <f>VLOOKUP(Table1[[#This Row],[Final Obj Type]],Classification!B:E,3,FALSE)</f>
        <v>#N/A</v>
      </c>
      <c r="AC7" t="e">
        <f>VLOOKUP(Table1[[#This Row],[Final Obj Type]],Classification!B:E,4,FALSE)</f>
        <v>#N/A</v>
      </c>
      <c r="AD7" t="str">
        <f>IF(Table1[[#This Row],[Position 1]]=0,"/0SAP/",MID(Table1[[#This Row],[Final Obj Name]],Table1[[#This Row],[Position 1]],Table1[[#This Row],[Position 2]]-Table1[[#This Row],[Position 1]]+1))</f>
        <v>/0SAP/</v>
      </c>
      <c r="AE7" t="str">
        <f>VLOOKUP(Table1[[#This Row],[/* Object]],Namespace!A:J,10,FALSE)</f>
        <v>SAP AG</v>
      </c>
      <c r="AF7" t="str">
        <f>IF(VLOOKUP(Table1[[#This Row],[/* Object]],Namespace!A:J,4,FALSE)=0,"",VLOOKUP(Table1[[#This Row],[/* Object]],Namespace!A:J,4,FALSE))</f>
        <v>X</v>
      </c>
      <c r="AG7" t="str">
        <f>IF(VLOOKUP(Table1[[#This Row],[/* Object]],Namespace!A:J,5,FALSE)=0,"",VLOOKUP(Table1[[#This Row],[/* Object]],Namespace!A:J,5,FALSE))</f>
        <v>X</v>
      </c>
      <c r="AH7" t="str">
        <f>IF(VLOOKUP(Table1[[#This Row],[/* Object]],Namespace!A:J,6,FALSE)=0,"",VLOOKUP(Table1[[#This Row],[/* Object]],Namespace!A:J,6,FALSE))</f>
        <v/>
      </c>
      <c r="AI7">
        <f>IFERROR(FIND("/",Table1[[#This Row],[Final Obj Name]],1),0)</f>
        <v>0</v>
      </c>
      <c r="AJ7">
        <f>IF(Table1[[#This Row],[Position 1]]=0,0,FIND("/",Table1[[#This Row],[Final Obj Name]],Table1[[#This Row],[Position 1]]+1))</f>
        <v>0</v>
      </c>
      <c r="AK7" t="str">
        <f>IF(LEFT(Table1[[#This Row],[Final Obj Name]],1)="/",LEFT(Table1[[#This Row],[Final Obj Name]],FIND("/",Table1[[#This Row],[Final Obj Name]],2)),"/0SAP/")</f>
        <v>/0SAP/</v>
      </c>
    </row>
    <row r="8">
      <c r="A8" t="str">
        <v>CLAS</v>
      </c>
      <c r="B8" t="str">
        <v>ZCL_CS_ENH160_SEVICEORD_EXT</v>
      </c>
      <c r="C8" t="str">
        <v>CPUB</v>
      </c>
      <c r="D8" t="str">
        <v>ZCL_CS_ENH160_SEVICEORD_EXT</v>
      </c>
      <c r="E8" t="str">
        <v>INTF</v>
      </c>
      <c r="G8" t="str">
        <v>ALL</v>
      </c>
      <c r="K8" t="str">
        <v>E</v>
      </c>
      <c r="L8" t="str">
        <v>CST_SOURYA</v>
      </c>
      <c r="M8">
        <v>45832</v>
      </c>
      <c r="N8">
        <v>0.3737962962963</v>
      </c>
      <c r="W8" t="str">
        <v>S01K925068</v>
      </c>
      <c r="Y8">
        <f>IF(Table1[[#This Row],[OPERATION]]="NOTE","NOTE",Table1[[#This Row],[SUB_TYPE]])</f>
        <v>0</v>
      </c>
      <c r="Z8">
        <f>IF(Table1[[#This Row],[OPERATION]]="NOTE",NUMBERVALUE(LEFT(Table1[[#This Row],[MOD_NAME]],LEN(Table1[[#This Row],[MOD_NAME]])-4)),Table1[[#This Row],[SUB_NAME]])</f>
        <v>0</v>
      </c>
      <c r="AA8" t="str">
        <f>CONCAT(Table1[[#This Row],[Final Obj Type]],"|",Table1[[#This Row],[Final Obj Name]])</f>
        <v>0|0</v>
      </c>
      <c r="AB8" t="e">
        <f>VLOOKUP(Table1[[#This Row],[Final Obj Type]],Classification!B:E,3,FALSE)</f>
        <v>#N/A</v>
      </c>
      <c r="AC8" t="e">
        <f>VLOOKUP(Table1[[#This Row],[Final Obj Type]],Classification!B:E,4,FALSE)</f>
        <v>#N/A</v>
      </c>
      <c r="AD8" t="str">
        <f>IF(Table1[[#This Row],[Position 1]]=0,"/0SAP/",MID(Table1[[#This Row],[Final Obj Name]],Table1[[#This Row],[Position 1]],Table1[[#This Row],[Position 2]]-Table1[[#This Row],[Position 1]]+1))</f>
        <v>/0SAP/</v>
      </c>
      <c r="AE8" t="str">
        <f>VLOOKUP(Table1[[#This Row],[/* Object]],Namespace!A:J,10,FALSE)</f>
        <v>SAP AG</v>
      </c>
      <c r="AF8" t="str">
        <f>IF(VLOOKUP(Table1[[#This Row],[/* Object]],Namespace!A:J,4,FALSE)=0,"",VLOOKUP(Table1[[#This Row],[/* Object]],Namespace!A:J,4,FALSE))</f>
        <v>X</v>
      </c>
      <c r="AG8" t="str">
        <f>IF(VLOOKUP(Table1[[#This Row],[/* Object]],Namespace!A:J,5,FALSE)=0,"",VLOOKUP(Table1[[#This Row],[/* Object]],Namespace!A:J,5,FALSE))</f>
        <v>X</v>
      </c>
      <c r="AH8" t="str">
        <f>IF(VLOOKUP(Table1[[#This Row],[/* Object]],Namespace!A:J,6,FALSE)=0,"",VLOOKUP(Table1[[#This Row],[/* Object]],Namespace!A:J,6,FALSE))</f>
        <v/>
      </c>
      <c r="AI8">
        <f>IFERROR(FIND("/",Table1[[#This Row],[Final Obj Name]],1),0)</f>
        <v>0</v>
      </c>
      <c r="AJ8">
        <f>IF(Table1[[#This Row],[Position 1]]=0,0,FIND("/",Table1[[#This Row],[Final Obj Name]],Table1[[#This Row],[Position 1]]+1))</f>
        <v>0</v>
      </c>
      <c r="AK8" t="str">
        <f>IF(LEFT(Table1[[#This Row],[Final Obj Name]],1)="/",LEFT(Table1[[#This Row],[Final Obj Name]],FIND("/",Table1[[#This Row],[Final Obj Name]],2)),"/0SAP/")</f>
        <v>/0SAP/</v>
      </c>
    </row>
    <row r="9">
      <c r="A9" t="str">
        <v>CLAS</v>
      </c>
      <c r="B9" t="str">
        <v>ZCL_CS_ENH160_SEVICEORD_EXT</v>
      </c>
      <c r="C9" t="str">
        <v>METH</v>
      </c>
      <c r="D9" t="str">
        <v>ZCL_CS_ENH160_SEVICEORD_EXT   GET_KDAUF</v>
      </c>
      <c r="E9" t="str">
        <v>PN</v>
      </c>
      <c r="G9" t="str">
        <v>MOD</v>
      </c>
      <c r="H9" t="str">
        <v>ZCL_CS_ENH160_SEVICEORD_EXT===CP</v>
      </c>
      <c r="K9" t="str">
        <v>E</v>
      </c>
      <c r="L9" t="str">
        <v>CST_SOURYA</v>
      </c>
      <c r="M9">
        <v>45832</v>
      </c>
      <c r="N9">
        <v>0.46420138888889</v>
      </c>
      <c r="W9" t="str">
        <v>S01K925068</v>
      </c>
      <c r="Y9">
        <f>IF(Table1[[#This Row],[OPERATION]]="NOTE","NOTE",Table1[[#This Row],[SUB_TYPE]])</f>
        <v>0</v>
      </c>
      <c r="Z9">
        <f>IF(Table1[[#This Row],[OPERATION]]="NOTE",NUMBERVALUE(LEFT(Table1[[#This Row],[MOD_NAME]],LEN(Table1[[#This Row],[MOD_NAME]])-4)),Table1[[#This Row],[SUB_NAME]])</f>
        <v>0</v>
      </c>
      <c r="AA9" t="str">
        <f>CONCAT(Table1[[#This Row],[Final Obj Type]],"|",Table1[[#This Row],[Final Obj Name]])</f>
        <v>0|0</v>
      </c>
      <c r="AB9" t="e">
        <f>VLOOKUP(Table1[[#This Row],[Final Obj Type]],Classification!B:E,3,FALSE)</f>
        <v>#N/A</v>
      </c>
      <c r="AC9" t="e">
        <f>VLOOKUP(Table1[[#This Row],[Final Obj Type]],Classification!B:E,4,FALSE)</f>
        <v>#N/A</v>
      </c>
      <c r="AD9" t="str">
        <f>IF(Table1[[#This Row],[Position 1]]=0,"/0SAP/",MID(Table1[[#This Row],[Final Obj Name]],Table1[[#This Row],[Position 1]],Table1[[#This Row],[Position 2]]-Table1[[#This Row],[Position 1]]+1))</f>
        <v>/0SAP/</v>
      </c>
      <c r="AE9" t="str">
        <f>VLOOKUP(Table1[[#This Row],[/* Object]],Namespace!A:J,10,FALSE)</f>
        <v>SAP AG</v>
      </c>
      <c r="AF9" t="str">
        <f>IF(VLOOKUP(Table1[[#This Row],[/* Object]],Namespace!A:J,4,FALSE)=0,"",VLOOKUP(Table1[[#This Row],[/* Object]],Namespace!A:J,4,FALSE))</f>
        <v>X</v>
      </c>
      <c r="AG9" t="str">
        <f>IF(VLOOKUP(Table1[[#This Row],[/* Object]],Namespace!A:J,5,FALSE)=0,"",VLOOKUP(Table1[[#This Row],[/* Object]],Namespace!A:J,5,FALSE))</f>
        <v>X</v>
      </c>
      <c r="AH9" t="str">
        <f>IF(VLOOKUP(Table1[[#This Row],[/* Object]],Namespace!A:J,6,FALSE)=0,"",VLOOKUP(Table1[[#This Row],[/* Object]],Namespace!A:J,6,FALSE))</f>
        <v/>
      </c>
      <c r="AI9">
        <f>IFERROR(FIND("/",Table1[[#This Row],[Final Obj Name]],1),0)</f>
        <v>0</v>
      </c>
      <c r="AJ9">
        <f>IF(Table1[[#This Row],[Position 1]]=0,0,FIND("/",Table1[[#This Row],[Final Obj Name]],Table1[[#This Row],[Position 1]]+1))</f>
        <v>0</v>
      </c>
      <c r="AK9" t="str">
        <f>IF(LEFT(Table1[[#This Row],[Final Obj Name]],1)="/",LEFT(Table1[[#This Row],[Final Obj Name]],FIND("/",Table1[[#This Row],[Final Obj Name]],2)),"/0SAP/")</f>
        <v>/0SAP/</v>
      </c>
    </row>
    <row r="10">
      <c r="A10" t="str">
        <v>CLAS</v>
      </c>
      <c r="B10" t="str">
        <v>ZCL_FINS_CFIN_KEY_MAPPING_LOG</v>
      </c>
      <c r="C10" t="str">
        <v>CPRI</v>
      </c>
      <c r="D10" t="str">
        <v>ZCL_FINS_CFIN_KEY_MAPPING_LOG</v>
      </c>
      <c r="E10" t="str">
        <v>XXXX</v>
      </c>
      <c r="G10" t="str">
        <v>ALL</v>
      </c>
      <c r="K10" t="str">
        <v>E</v>
      </c>
      <c r="L10" t="str">
        <v>NSHAIK</v>
      </c>
      <c r="M10">
        <v>46032</v>
      </c>
      <c r="N10">
        <v>0.11768518518519</v>
      </c>
      <c r="Y10">
        <f>IF(Table1[[#This Row],[OPERATION]]="NOTE","NOTE",Table1[[#This Row],[SUB_TYPE]])</f>
        <v>0</v>
      </c>
      <c r="Z10">
        <f>IF(Table1[[#This Row],[OPERATION]]="NOTE",NUMBERVALUE(LEFT(Table1[[#This Row],[MOD_NAME]],LEN(Table1[[#This Row],[MOD_NAME]])-4)),Table1[[#This Row],[SUB_NAME]])</f>
        <v>0</v>
      </c>
      <c r="AA10" t="str">
        <f>CONCAT(Table1[[#This Row],[Final Obj Type]],"|",Table1[[#This Row],[Final Obj Name]])</f>
        <v>0|0</v>
      </c>
      <c r="AB10" t="e">
        <f>VLOOKUP(Table1[[#This Row],[Final Obj Type]],Classification!B:E,3,FALSE)</f>
        <v>#N/A</v>
      </c>
      <c r="AC10" t="e">
        <f>VLOOKUP(Table1[[#This Row],[Final Obj Type]],Classification!B:E,4,FALSE)</f>
        <v>#N/A</v>
      </c>
      <c r="AD10" t="str">
        <f>IF(Table1[[#This Row],[Position 1]]=0,"/0SAP/",MID(Table1[[#This Row],[Final Obj Name]],Table1[[#This Row],[Position 1]],Table1[[#This Row],[Position 2]]-Table1[[#This Row],[Position 1]]+1))</f>
        <v>/0SAP/</v>
      </c>
      <c r="AE10" t="str">
        <f>VLOOKUP(Table1[[#This Row],[/* Object]],Namespace!A:J,10,FALSE)</f>
        <v>SAP AG</v>
      </c>
      <c r="AF10" t="str">
        <f>IF(VLOOKUP(Table1[[#This Row],[/* Object]],Namespace!A:J,4,FALSE)=0,"",VLOOKUP(Table1[[#This Row],[/* Object]],Namespace!A:J,4,FALSE))</f>
        <v>X</v>
      </c>
      <c r="AG10" t="str">
        <f>IF(VLOOKUP(Table1[[#This Row],[/* Object]],Namespace!A:J,5,FALSE)=0,"",VLOOKUP(Table1[[#This Row],[/* Object]],Namespace!A:J,5,FALSE))</f>
        <v>X</v>
      </c>
      <c r="AH10" t="str">
        <f>IF(VLOOKUP(Table1[[#This Row],[/* Object]],Namespace!A:J,6,FALSE)=0,"",VLOOKUP(Table1[[#This Row],[/* Object]],Namespace!A:J,6,FALSE))</f>
        <v/>
      </c>
      <c r="AI10">
        <f>IFERROR(FIND("/",Table1[[#This Row],[Final Obj Name]],1),0)</f>
        <v>0</v>
      </c>
      <c r="AJ10">
        <f>IF(Table1[[#This Row],[Position 1]]=0,0,FIND("/",Table1[[#This Row],[Final Obj Name]],Table1[[#This Row],[Position 1]]+1))</f>
        <v>0</v>
      </c>
      <c r="AK10" t="str">
        <f>IF(LEFT(Table1[[#This Row],[Final Obj Name]],1)="/",LEFT(Table1[[#This Row],[Final Obj Name]],FIND("/",Table1[[#This Row],[Final Obj Name]],2)),"/0SAP/")</f>
        <v>/0SAP/</v>
      </c>
    </row>
    <row r="11">
      <c r="A11" t="str">
        <v>CLAS</v>
      </c>
      <c r="B11" t="str">
        <v>ZCL_FINS_CFIN_KEY_MAPPING_LOG</v>
      </c>
      <c r="C11" t="str">
        <v>CPRO</v>
      </c>
      <c r="D11" t="str">
        <v>ZCL_FINS_CFIN_KEY_MAPPING_LOG</v>
      </c>
      <c r="E11" t="str">
        <v>XXXX</v>
      </c>
      <c r="G11" t="str">
        <v>ALL</v>
      </c>
      <c r="K11" t="str">
        <v>E</v>
      </c>
      <c r="L11" t="str">
        <v>NSHAIK</v>
      </c>
      <c r="M11">
        <v>46032</v>
      </c>
      <c r="N11">
        <v>0.11768518518519</v>
      </c>
      <c r="Y11">
        <f>IF(Table1[[#This Row],[OPERATION]]="NOTE","NOTE",Table1[[#This Row],[SUB_TYPE]])</f>
        <v>0</v>
      </c>
      <c r="Z11">
        <f>IF(Table1[[#This Row],[OPERATION]]="NOTE",NUMBERVALUE(LEFT(Table1[[#This Row],[MOD_NAME]],LEN(Table1[[#This Row],[MOD_NAME]])-4)),Table1[[#This Row],[SUB_NAME]])</f>
        <v>0</v>
      </c>
      <c r="AA11" t="str">
        <f>CONCAT(Table1[[#This Row],[Final Obj Type]],"|",Table1[[#This Row],[Final Obj Name]])</f>
        <v>0|0</v>
      </c>
      <c r="AB11" t="e">
        <f>VLOOKUP(Table1[[#This Row],[Final Obj Type]],Classification!B:E,3,FALSE)</f>
        <v>#N/A</v>
      </c>
      <c r="AC11" t="e">
        <f>VLOOKUP(Table1[[#This Row],[Final Obj Type]],Classification!B:E,4,FALSE)</f>
        <v>#N/A</v>
      </c>
      <c r="AD11" t="str">
        <f>IF(Table1[[#This Row],[Position 1]]=0,"/0SAP/",MID(Table1[[#This Row],[Final Obj Name]],Table1[[#This Row],[Position 1]],Table1[[#This Row],[Position 2]]-Table1[[#This Row],[Position 1]]+1))</f>
        <v>/0SAP/</v>
      </c>
      <c r="AE11" t="str">
        <f>VLOOKUP(Table1[[#This Row],[/* Object]],Namespace!A:J,10,FALSE)</f>
        <v>SAP AG</v>
      </c>
      <c r="AF11" t="str">
        <f>IF(VLOOKUP(Table1[[#This Row],[/* Object]],Namespace!A:J,4,FALSE)=0,"",VLOOKUP(Table1[[#This Row],[/* Object]],Namespace!A:J,4,FALSE))</f>
        <v>X</v>
      </c>
      <c r="AG11" t="str">
        <f>IF(VLOOKUP(Table1[[#This Row],[/* Object]],Namespace!A:J,5,FALSE)=0,"",VLOOKUP(Table1[[#This Row],[/* Object]],Namespace!A:J,5,FALSE))</f>
        <v>X</v>
      </c>
      <c r="AH11" t="str">
        <f>IF(VLOOKUP(Table1[[#This Row],[/* Object]],Namespace!A:J,6,FALSE)=0,"",VLOOKUP(Table1[[#This Row],[/* Object]],Namespace!A:J,6,FALSE))</f>
        <v/>
      </c>
      <c r="AI11">
        <f>IFERROR(FIND("/",Table1[[#This Row],[Final Obj Name]],1),0)</f>
        <v>0</v>
      </c>
      <c r="AJ11">
        <f>IF(Table1[[#This Row],[Position 1]]=0,0,FIND("/",Table1[[#This Row],[Final Obj Name]],Table1[[#This Row],[Position 1]]+1))</f>
        <v>0</v>
      </c>
      <c r="AK11" t="str">
        <f>IF(LEFT(Table1[[#This Row],[Final Obj Name]],1)="/",LEFT(Table1[[#This Row],[Final Obj Name]],FIND("/",Table1[[#This Row],[Final Obj Name]],2)),"/0SAP/")</f>
        <v>/0SAP/</v>
      </c>
    </row>
    <row r="12">
      <c r="A12" t="str">
        <v>CLAS</v>
      </c>
      <c r="B12" t="str">
        <v>ZCL_FINS_CFIN_KEY_MAPPING_LOG</v>
      </c>
      <c r="C12" t="str">
        <v>CPUB</v>
      </c>
      <c r="D12" t="str">
        <v>ZCL_FINS_CFIN_KEY_MAPPING_LOG</v>
      </c>
      <c r="E12" t="str">
        <v>XXXX</v>
      </c>
      <c r="G12" t="str">
        <v>ALL</v>
      </c>
      <c r="K12" t="str">
        <v>E</v>
      </c>
      <c r="L12" t="str">
        <v>NSHAIK</v>
      </c>
      <c r="M12">
        <v>46032</v>
      </c>
      <c r="N12">
        <v>0.11768518518519</v>
      </c>
      <c r="Y12">
        <f>IF(Table1[[#This Row],[OPERATION]]="NOTE","NOTE",Table1[[#This Row],[SUB_TYPE]])</f>
        <v>0</v>
      </c>
      <c r="Z12">
        <f>IF(Table1[[#This Row],[OPERATION]]="NOTE",NUMBERVALUE(LEFT(Table1[[#This Row],[MOD_NAME]],LEN(Table1[[#This Row],[MOD_NAME]])-4)),Table1[[#This Row],[SUB_NAME]])</f>
        <v>0</v>
      </c>
      <c r="AA12" t="str">
        <f>CONCAT(Table1[[#This Row],[Final Obj Type]],"|",Table1[[#This Row],[Final Obj Name]])</f>
        <v>0|0</v>
      </c>
      <c r="AB12" t="e">
        <f>VLOOKUP(Table1[[#This Row],[Final Obj Type]],Classification!B:E,3,FALSE)</f>
        <v>#N/A</v>
      </c>
      <c r="AC12" t="e">
        <f>VLOOKUP(Table1[[#This Row],[Final Obj Type]],Classification!B:E,4,FALSE)</f>
        <v>#N/A</v>
      </c>
      <c r="AD12" t="str">
        <f>IF(Table1[[#This Row],[Position 1]]=0,"/0SAP/",MID(Table1[[#This Row],[Final Obj Name]],Table1[[#This Row],[Position 1]],Table1[[#This Row],[Position 2]]-Table1[[#This Row],[Position 1]]+1))</f>
        <v>/0SAP/</v>
      </c>
      <c r="AE12" t="str">
        <f>VLOOKUP(Table1[[#This Row],[/* Object]],Namespace!A:J,10,FALSE)</f>
        <v>SAP AG</v>
      </c>
      <c r="AF12" t="str">
        <f>IF(VLOOKUP(Table1[[#This Row],[/* Object]],Namespace!A:J,4,FALSE)=0,"",VLOOKUP(Table1[[#This Row],[/* Object]],Namespace!A:J,4,FALSE))</f>
        <v>X</v>
      </c>
      <c r="AG12" t="str">
        <f>IF(VLOOKUP(Table1[[#This Row],[/* Object]],Namespace!A:J,5,FALSE)=0,"",VLOOKUP(Table1[[#This Row],[/* Object]],Namespace!A:J,5,FALSE))</f>
        <v>X</v>
      </c>
      <c r="AH12" t="str">
        <f>IF(VLOOKUP(Table1[[#This Row],[/* Object]],Namespace!A:J,6,FALSE)=0,"",VLOOKUP(Table1[[#This Row],[/* Object]],Namespace!A:J,6,FALSE))</f>
        <v/>
      </c>
      <c r="AI12">
        <f>IFERROR(FIND("/",Table1[[#This Row],[Final Obj Name]],1),0)</f>
        <v>0</v>
      </c>
      <c r="AJ12">
        <f>IF(Table1[[#This Row],[Position 1]]=0,0,FIND("/",Table1[[#This Row],[Final Obj Name]],Table1[[#This Row],[Position 1]]+1))</f>
        <v>0</v>
      </c>
      <c r="AK12" t="str">
        <f>IF(LEFT(Table1[[#This Row],[Final Obj Name]],1)="/",LEFT(Table1[[#This Row],[Final Obj Name]],FIND("/",Table1[[#This Row],[Final Obj Name]],2)),"/0SAP/")</f>
        <v>/0SAP/</v>
      </c>
    </row>
    <row r="13">
      <c r="A13" t="str">
        <v>CLAS</v>
      </c>
      <c r="B13" t="str">
        <v>ZCL_GN_ABAP_UTILITIES</v>
      </c>
      <c r="C13" t="str">
        <v>CPUB</v>
      </c>
      <c r="D13" t="str">
        <v>ZCL_GN_ABAP_UTILITIES</v>
      </c>
      <c r="E13" t="str">
        <v>INTF</v>
      </c>
      <c r="G13" t="str">
        <v>ALL</v>
      </c>
      <c r="K13" t="str">
        <v>E</v>
      </c>
      <c r="L13" t="str">
        <v>CST_VRAGHAV</v>
      </c>
      <c r="M13">
        <v>43969</v>
      </c>
      <c r="N13">
        <v>0.27790509259259</v>
      </c>
      <c r="Y13">
        <f>IF(Table1[[#This Row],[OPERATION]]="NOTE","NOTE",Table1[[#This Row],[SUB_TYPE]])</f>
        <v>0</v>
      </c>
      <c r="Z13">
        <f>IF(Table1[[#This Row],[OPERATION]]="NOTE",NUMBERVALUE(LEFT(Table1[[#This Row],[MOD_NAME]],LEN(Table1[[#This Row],[MOD_NAME]])-4)),Table1[[#This Row],[SUB_NAME]])</f>
        <v>0</v>
      </c>
      <c r="AA13" t="str">
        <f>CONCAT(Table1[[#This Row],[Final Obj Type]],"|",Table1[[#This Row],[Final Obj Name]])</f>
        <v>0|0</v>
      </c>
      <c r="AB13" t="e">
        <f>VLOOKUP(Table1[[#This Row],[Final Obj Type]],Classification!B:E,3,FALSE)</f>
        <v>#N/A</v>
      </c>
      <c r="AC13" t="e">
        <f>VLOOKUP(Table1[[#This Row],[Final Obj Type]],Classification!B:E,4,FALSE)</f>
        <v>#N/A</v>
      </c>
      <c r="AD13" t="str">
        <f>IF(Table1[[#This Row],[Position 1]]=0,"/0SAP/",MID(Table1[[#This Row],[Final Obj Name]],Table1[[#This Row],[Position 1]],Table1[[#This Row],[Position 2]]-Table1[[#This Row],[Position 1]]+1))</f>
        <v>/0SAP/</v>
      </c>
      <c r="AE13" t="str">
        <f>VLOOKUP(Table1[[#This Row],[/* Object]],Namespace!A:J,10,FALSE)</f>
        <v>SAP AG</v>
      </c>
      <c r="AF13" t="str">
        <f>IF(VLOOKUP(Table1[[#This Row],[/* Object]],Namespace!A:J,4,FALSE)=0,"",VLOOKUP(Table1[[#This Row],[/* Object]],Namespace!A:J,4,FALSE))</f>
        <v>X</v>
      </c>
      <c r="AG13" t="str">
        <f>IF(VLOOKUP(Table1[[#This Row],[/* Object]],Namespace!A:J,5,FALSE)=0,"",VLOOKUP(Table1[[#This Row],[/* Object]],Namespace!A:J,5,FALSE))</f>
        <v>X</v>
      </c>
      <c r="AH13" t="str">
        <f>IF(VLOOKUP(Table1[[#This Row],[/* Object]],Namespace!A:J,6,FALSE)=0,"",VLOOKUP(Table1[[#This Row],[/* Object]],Namespace!A:J,6,FALSE))</f>
        <v/>
      </c>
      <c r="AI13">
        <f>IFERROR(FIND("/",Table1[[#This Row],[Final Obj Name]],1),0)</f>
        <v>0</v>
      </c>
      <c r="AJ13">
        <f>IF(Table1[[#This Row],[Position 1]]=0,0,FIND("/",Table1[[#This Row],[Final Obj Name]],Table1[[#This Row],[Position 1]]+1))</f>
        <v>0</v>
      </c>
      <c r="AK13" t="str">
        <f>IF(LEFT(Table1[[#This Row],[Final Obj Name]],1)="/",LEFT(Table1[[#This Row],[Final Obj Name]],FIND("/",Table1[[#This Row],[Final Obj Name]],2)),"/0SAP/")</f>
        <v>/0SAP/</v>
      </c>
    </row>
    <row r="14">
      <c r="A14" t="str">
        <v>CLAS</v>
      </c>
      <c r="B14" t="str">
        <v>ZCL_IM_BADI_MDGBP_ADRMAS_DATA</v>
      </c>
      <c r="C14" t="str">
        <v>CPRI</v>
      </c>
      <c r="D14" t="str">
        <v>ZCL_IM_BADI_MDGBP_ADRMAS_DATA</v>
      </c>
      <c r="E14" t="str">
        <v>XXXX</v>
      </c>
      <c r="G14" t="str">
        <v>ALL</v>
      </c>
      <c r="K14" t="str">
        <v>E</v>
      </c>
      <c r="L14" t="str">
        <v>NSHAIK</v>
      </c>
      <c r="M14">
        <v>46021</v>
      </c>
      <c r="N14">
        <v>0.16560185185185</v>
      </c>
      <c r="Y14">
        <f>IF(Table1[[#This Row],[OPERATION]]="NOTE","NOTE",Table1[[#This Row],[SUB_TYPE]])</f>
        <v>0</v>
      </c>
      <c r="Z14">
        <f>IF(Table1[[#This Row],[OPERATION]]="NOTE",NUMBERVALUE(LEFT(Table1[[#This Row],[MOD_NAME]],LEN(Table1[[#This Row],[MOD_NAME]])-4)),Table1[[#This Row],[SUB_NAME]])</f>
        <v>0</v>
      </c>
      <c r="AA14" t="str">
        <f>CONCAT(Table1[[#This Row],[Final Obj Type]],"|",Table1[[#This Row],[Final Obj Name]])</f>
        <v>0|0</v>
      </c>
      <c r="AB14" t="e">
        <f>VLOOKUP(Table1[[#This Row],[Final Obj Type]],Classification!B:E,3,FALSE)</f>
        <v>#N/A</v>
      </c>
      <c r="AC14" t="e">
        <f>VLOOKUP(Table1[[#This Row],[Final Obj Type]],Classification!B:E,4,FALSE)</f>
        <v>#N/A</v>
      </c>
      <c r="AD14" t="str">
        <f>IF(Table1[[#This Row],[Position 1]]=0,"/0SAP/",MID(Table1[[#This Row],[Final Obj Name]],Table1[[#This Row],[Position 1]],Table1[[#This Row],[Position 2]]-Table1[[#This Row],[Position 1]]+1))</f>
        <v>/0SAP/</v>
      </c>
      <c r="AE14" t="str">
        <f>VLOOKUP(Table1[[#This Row],[/* Object]],Namespace!A:J,10,FALSE)</f>
        <v>SAP AG</v>
      </c>
      <c r="AF14" t="str">
        <f>IF(VLOOKUP(Table1[[#This Row],[/* Object]],Namespace!A:J,4,FALSE)=0,"",VLOOKUP(Table1[[#This Row],[/* Object]],Namespace!A:J,4,FALSE))</f>
        <v>X</v>
      </c>
      <c r="AG14" t="str">
        <f>IF(VLOOKUP(Table1[[#This Row],[/* Object]],Namespace!A:J,5,FALSE)=0,"",VLOOKUP(Table1[[#This Row],[/* Object]],Namespace!A:J,5,FALSE))</f>
        <v>X</v>
      </c>
      <c r="AH14" t="str">
        <f>IF(VLOOKUP(Table1[[#This Row],[/* Object]],Namespace!A:J,6,FALSE)=0,"",VLOOKUP(Table1[[#This Row],[/* Object]],Namespace!A:J,6,FALSE))</f>
        <v/>
      </c>
      <c r="AI14">
        <f>IFERROR(FIND("/",Table1[[#This Row],[Final Obj Name]],1),0)</f>
        <v>0</v>
      </c>
      <c r="AJ14">
        <f>IF(Table1[[#This Row],[Position 1]]=0,0,FIND("/",Table1[[#This Row],[Final Obj Name]],Table1[[#This Row],[Position 1]]+1))</f>
        <v>0</v>
      </c>
      <c r="AK14" t="str">
        <f>IF(LEFT(Table1[[#This Row],[Final Obj Name]],1)="/",LEFT(Table1[[#This Row],[Final Obj Name]],FIND("/",Table1[[#This Row],[Final Obj Name]],2)),"/0SAP/")</f>
        <v>/0SAP/</v>
      </c>
    </row>
    <row r="15">
      <c r="A15" t="str">
        <v>CLAS</v>
      </c>
      <c r="B15" t="str">
        <v>ZCL_IM_BADI_MDGBP_ADRMAS_DATA</v>
      </c>
      <c r="C15" t="str">
        <v>CPRO</v>
      </c>
      <c r="D15" t="str">
        <v>ZCL_IM_BADI_MDGBP_ADRMAS_DATA</v>
      </c>
      <c r="E15" t="str">
        <v>XXXX</v>
      </c>
      <c r="G15" t="str">
        <v>ALL</v>
      </c>
      <c r="K15" t="str">
        <v>E</v>
      </c>
      <c r="L15" t="str">
        <v>NSHAIK</v>
      </c>
      <c r="M15">
        <v>46021</v>
      </c>
      <c r="N15">
        <v>0.16560185185185</v>
      </c>
      <c r="Y15">
        <f>IF(Table1[[#This Row],[OPERATION]]="NOTE","NOTE",Table1[[#This Row],[SUB_TYPE]])</f>
        <v>0</v>
      </c>
      <c r="Z15">
        <f>IF(Table1[[#This Row],[OPERATION]]="NOTE",NUMBERVALUE(LEFT(Table1[[#This Row],[MOD_NAME]],LEN(Table1[[#This Row],[MOD_NAME]])-4)),Table1[[#This Row],[SUB_NAME]])</f>
        <v>0</v>
      </c>
      <c r="AA15" t="str">
        <f>CONCAT(Table1[[#This Row],[Final Obj Type]],"|",Table1[[#This Row],[Final Obj Name]])</f>
        <v>0|0</v>
      </c>
      <c r="AB15" t="e">
        <f>VLOOKUP(Table1[[#This Row],[Final Obj Type]],Classification!B:E,3,FALSE)</f>
        <v>#N/A</v>
      </c>
      <c r="AC15" t="e">
        <f>VLOOKUP(Table1[[#This Row],[Final Obj Type]],Classification!B:E,4,FALSE)</f>
        <v>#N/A</v>
      </c>
      <c r="AD15" t="str">
        <f>IF(Table1[[#This Row],[Position 1]]=0,"/0SAP/",MID(Table1[[#This Row],[Final Obj Name]],Table1[[#This Row],[Position 1]],Table1[[#This Row],[Position 2]]-Table1[[#This Row],[Position 1]]+1))</f>
        <v>/0SAP/</v>
      </c>
      <c r="AE15" t="str">
        <f>VLOOKUP(Table1[[#This Row],[/* Object]],Namespace!A:J,10,FALSE)</f>
        <v>SAP AG</v>
      </c>
      <c r="AF15" t="str">
        <f>IF(VLOOKUP(Table1[[#This Row],[/* Object]],Namespace!A:J,4,FALSE)=0,"",VLOOKUP(Table1[[#This Row],[/* Object]],Namespace!A:J,4,FALSE))</f>
        <v>X</v>
      </c>
      <c r="AG15" t="str">
        <f>IF(VLOOKUP(Table1[[#This Row],[/* Object]],Namespace!A:J,5,FALSE)=0,"",VLOOKUP(Table1[[#This Row],[/* Object]],Namespace!A:J,5,FALSE))</f>
        <v>X</v>
      </c>
      <c r="AH15" t="str">
        <f>IF(VLOOKUP(Table1[[#This Row],[/* Object]],Namespace!A:J,6,FALSE)=0,"",VLOOKUP(Table1[[#This Row],[/* Object]],Namespace!A:J,6,FALSE))</f>
        <v/>
      </c>
      <c r="AI15">
        <f>IFERROR(FIND("/",Table1[[#This Row],[Final Obj Name]],1),0)</f>
        <v>0</v>
      </c>
      <c r="AJ15">
        <f>IF(Table1[[#This Row],[Position 1]]=0,0,FIND("/",Table1[[#This Row],[Final Obj Name]],Table1[[#This Row],[Position 1]]+1))</f>
        <v>0</v>
      </c>
      <c r="AK15" t="str">
        <f>IF(LEFT(Table1[[#This Row],[Final Obj Name]],1)="/",LEFT(Table1[[#This Row],[Final Obj Name]],FIND("/",Table1[[#This Row],[Final Obj Name]],2)),"/0SAP/")</f>
        <v>/0SAP/</v>
      </c>
    </row>
    <row r="16">
      <c r="A16" t="str">
        <v>CLAS</v>
      </c>
      <c r="B16" t="str">
        <v>ZCL_IM_BADI_MDGBP_ADRMAS_DATA</v>
      </c>
      <c r="C16" t="str">
        <v>CPUB</v>
      </c>
      <c r="D16" t="str">
        <v>ZCL_IM_BADI_MDGBP_ADRMAS_DATA</v>
      </c>
      <c r="E16" t="str">
        <v>XXXX</v>
      </c>
      <c r="G16" t="str">
        <v>ALL</v>
      </c>
      <c r="K16" t="str">
        <v>E</v>
      </c>
      <c r="L16" t="str">
        <v>NSHAIK</v>
      </c>
      <c r="M16">
        <v>46021</v>
      </c>
      <c r="N16">
        <v>0.16560185185185</v>
      </c>
      <c r="Y16">
        <f>IF(Table1[[#This Row],[OPERATION]]="NOTE","NOTE",Table1[[#This Row],[SUB_TYPE]])</f>
        <v>0</v>
      </c>
      <c r="Z16">
        <f>IF(Table1[[#This Row],[OPERATION]]="NOTE",NUMBERVALUE(LEFT(Table1[[#This Row],[MOD_NAME]],LEN(Table1[[#This Row],[MOD_NAME]])-4)),Table1[[#This Row],[SUB_NAME]])</f>
        <v>0</v>
      </c>
      <c r="AA16" t="str">
        <f>CONCAT(Table1[[#This Row],[Final Obj Type]],"|",Table1[[#This Row],[Final Obj Name]])</f>
        <v>0|0</v>
      </c>
      <c r="AB16" t="e">
        <f>VLOOKUP(Table1[[#This Row],[Final Obj Type]],Classification!B:E,3,FALSE)</f>
        <v>#N/A</v>
      </c>
      <c r="AC16" t="e">
        <f>VLOOKUP(Table1[[#This Row],[Final Obj Type]],Classification!B:E,4,FALSE)</f>
        <v>#N/A</v>
      </c>
      <c r="AD16" t="str">
        <f>IF(Table1[[#This Row],[Position 1]]=0,"/0SAP/",MID(Table1[[#This Row],[Final Obj Name]],Table1[[#This Row],[Position 1]],Table1[[#This Row],[Position 2]]-Table1[[#This Row],[Position 1]]+1))</f>
        <v>/0SAP/</v>
      </c>
      <c r="AE16" t="str">
        <f>VLOOKUP(Table1[[#This Row],[/* Object]],Namespace!A:J,10,FALSE)</f>
        <v>SAP AG</v>
      </c>
      <c r="AF16" t="str">
        <f>IF(VLOOKUP(Table1[[#This Row],[/* Object]],Namespace!A:J,4,FALSE)=0,"",VLOOKUP(Table1[[#This Row],[/* Object]],Namespace!A:J,4,FALSE))</f>
        <v>X</v>
      </c>
      <c r="AG16" t="str">
        <f>IF(VLOOKUP(Table1[[#This Row],[/* Object]],Namespace!A:J,5,FALSE)=0,"",VLOOKUP(Table1[[#This Row],[/* Object]],Namespace!A:J,5,FALSE))</f>
        <v>X</v>
      </c>
      <c r="AH16" t="str">
        <f>IF(VLOOKUP(Table1[[#This Row],[/* Object]],Namespace!A:J,6,FALSE)=0,"",VLOOKUP(Table1[[#This Row],[/* Object]],Namespace!A:J,6,FALSE))</f>
        <v/>
      </c>
      <c r="AI16">
        <f>IFERROR(FIND("/",Table1[[#This Row],[Final Obj Name]],1),0)</f>
        <v>0</v>
      </c>
      <c r="AJ16">
        <f>IF(Table1[[#This Row],[Position 1]]=0,0,FIND("/",Table1[[#This Row],[Final Obj Name]],Table1[[#This Row],[Position 1]]+1))</f>
        <v>0</v>
      </c>
      <c r="AK16" t="str">
        <f>IF(LEFT(Table1[[#This Row],[Final Obj Name]],1)="/",LEFT(Table1[[#This Row],[Final Obj Name]],FIND("/",Table1[[#This Row],[Final Obj Name]],2)),"/0SAP/")</f>
        <v>/0SAP/</v>
      </c>
    </row>
    <row r="17">
      <c r="A17" t="str">
        <v>CLAS</v>
      </c>
      <c r="B17" t="str">
        <v>ZCL_IM_BADI_MDGC_ADDRCHECK</v>
      </c>
      <c r="C17" t="str">
        <v>CPRI</v>
      </c>
      <c r="D17" t="str">
        <v>ZCL_IM_BADI_MDGC_ADDRCHECK</v>
      </c>
      <c r="E17" t="str">
        <v>XXXX</v>
      </c>
      <c r="G17" t="str">
        <v>ALL</v>
      </c>
      <c r="K17" t="str">
        <v>E</v>
      </c>
      <c r="L17" t="str">
        <v>NSHAIK</v>
      </c>
      <c r="M17">
        <v>46021</v>
      </c>
      <c r="N17">
        <v>0.16599537037037</v>
      </c>
      <c r="Y17">
        <f>IF(Table1[[#This Row],[OPERATION]]="NOTE","NOTE",Table1[[#This Row],[SUB_TYPE]])</f>
        <v>0</v>
      </c>
      <c r="Z17">
        <f>IF(Table1[[#This Row],[OPERATION]]="NOTE",NUMBERVALUE(LEFT(Table1[[#This Row],[MOD_NAME]],LEN(Table1[[#This Row],[MOD_NAME]])-4)),Table1[[#This Row],[SUB_NAME]])</f>
        <v>0</v>
      </c>
      <c r="AA17" t="str">
        <f>CONCAT(Table1[[#This Row],[Final Obj Type]],"|",Table1[[#This Row],[Final Obj Name]])</f>
        <v>0|0</v>
      </c>
      <c r="AB17" t="e">
        <f>VLOOKUP(Table1[[#This Row],[Final Obj Type]],Classification!B:E,3,FALSE)</f>
        <v>#N/A</v>
      </c>
      <c r="AC17" t="e">
        <f>VLOOKUP(Table1[[#This Row],[Final Obj Type]],Classification!B:E,4,FALSE)</f>
        <v>#N/A</v>
      </c>
      <c r="AD17" t="str">
        <f>IF(Table1[[#This Row],[Position 1]]=0,"/0SAP/",MID(Table1[[#This Row],[Final Obj Name]],Table1[[#This Row],[Position 1]],Table1[[#This Row],[Position 2]]-Table1[[#This Row],[Position 1]]+1))</f>
        <v>/0SAP/</v>
      </c>
      <c r="AE17" t="str">
        <f>VLOOKUP(Table1[[#This Row],[/* Object]],Namespace!A:J,10,FALSE)</f>
        <v>SAP AG</v>
      </c>
      <c r="AF17" t="str">
        <f>IF(VLOOKUP(Table1[[#This Row],[/* Object]],Namespace!A:J,4,FALSE)=0,"",VLOOKUP(Table1[[#This Row],[/* Object]],Namespace!A:J,4,FALSE))</f>
        <v>X</v>
      </c>
      <c r="AG17" t="str">
        <f>IF(VLOOKUP(Table1[[#This Row],[/* Object]],Namespace!A:J,5,FALSE)=0,"",VLOOKUP(Table1[[#This Row],[/* Object]],Namespace!A:J,5,FALSE))</f>
        <v>X</v>
      </c>
      <c r="AH17" t="str">
        <f>IF(VLOOKUP(Table1[[#This Row],[/* Object]],Namespace!A:J,6,FALSE)=0,"",VLOOKUP(Table1[[#This Row],[/* Object]],Namespace!A:J,6,FALSE))</f>
        <v/>
      </c>
      <c r="AI17">
        <f>IFERROR(FIND("/",Table1[[#This Row],[Final Obj Name]],1),0)</f>
        <v>0</v>
      </c>
      <c r="AJ17">
        <f>IF(Table1[[#This Row],[Position 1]]=0,0,FIND("/",Table1[[#This Row],[Final Obj Name]],Table1[[#This Row],[Position 1]]+1))</f>
        <v>0</v>
      </c>
      <c r="AK17" t="str">
        <f>IF(LEFT(Table1[[#This Row],[Final Obj Name]],1)="/",LEFT(Table1[[#This Row],[Final Obj Name]],FIND("/",Table1[[#This Row],[Final Obj Name]],2)),"/0SAP/")</f>
        <v>/0SAP/</v>
      </c>
    </row>
    <row r="18">
      <c r="A18" t="str">
        <v>CLAS</v>
      </c>
      <c r="B18" t="str">
        <v>ZCL_IM_BADI_MDGC_ADDRCHECK</v>
      </c>
      <c r="C18" t="str">
        <v>CPRO</v>
      </c>
      <c r="D18" t="str">
        <v>ZCL_IM_BADI_MDGC_ADDRCHECK</v>
      </c>
      <c r="E18" t="str">
        <v>XXXX</v>
      </c>
      <c r="G18" t="str">
        <v>ALL</v>
      </c>
      <c r="K18" t="str">
        <v>E</v>
      </c>
      <c r="L18" t="str">
        <v>NSHAIK</v>
      </c>
      <c r="M18">
        <v>46021</v>
      </c>
      <c r="N18">
        <v>0.16599537037037</v>
      </c>
      <c r="Y18">
        <f>IF(Table1[[#This Row],[OPERATION]]="NOTE","NOTE",Table1[[#This Row],[SUB_TYPE]])</f>
        <v>0</v>
      </c>
      <c r="Z18">
        <f>IF(Table1[[#This Row],[OPERATION]]="NOTE",NUMBERVALUE(LEFT(Table1[[#This Row],[MOD_NAME]],LEN(Table1[[#This Row],[MOD_NAME]])-4)),Table1[[#This Row],[SUB_NAME]])</f>
        <v>0</v>
      </c>
      <c r="AA18" t="str">
        <f>CONCAT(Table1[[#This Row],[Final Obj Type]],"|",Table1[[#This Row],[Final Obj Name]])</f>
        <v>0|0</v>
      </c>
      <c r="AB18" t="e">
        <f>VLOOKUP(Table1[[#This Row],[Final Obj Type]],Classification!B:E,3,FALSE)</f>
        <v>#N/A</v>
      </c>
      <c r="AC18" t="e">
        <f>VLOOKUP(Table1[[#This Row],[Final Obj Type]],Classification!B:E,4,FALSE)</f>
        <v>#N/A</v>
      </c>
      <c r="AD18" t="str">
        <f>IF(Table1[[#This Row],[Position 1]]=0,"/0SAP/",MID(Table1[[#This Row],[Final Obj Name]],Table1[[#This Row],[Position 1]],Table1[[#This Row],[Position 2]]-Table1[[#This Row],[Position 1]]+1))</f>
        <v>/0SAP/</v>
      </c>
      <c r="AE18" t="str">
        <f>VLOOKUP(Table1[[#This Row],[/* Object]],Namespace!A:J,10,FALSE)</f>
        <v>SAP AG</v>
      </c>
      <c r="AF18" t="str">
        <f>IF(VLOOKUP(Table1[[#This Row],[/* Object]],Namespace!A:J,4,FALSE)=0,"",VLOOKUP(Table1[[#This Row],[/* Object]],Namespace!A:J,4,FALSE))</f>
        <v>X</v>
      </c>
      <c r="AG18" t="str">
        <f>IF(VLOOKUP(Table1[[#This Row],[/* Object]],Namespace!A:J,5,FALSE)=0,"",VLOOKUP(Table1[[#This Row],[/* Object]],Namespace!A:J,5,FALSE))</f>
        <v>X</v>
      </c>
      <c r="AH18" t="str">
        <f>IF(VLOOKUP(Table1[[#This Row],[/* Object]],Namespace!A:J,6,FALSE)=0,"",VLOOKUP(Table1[[#This Row],[/* Object]],Namespace!A:J,6,FALSE))</f>
        <v/>
      </c>
      <c r="AI18">
        <f>IFERROR(FIND("/",Table1[[#This Row],[Final Obj Name]],1),0)</f>
        <v>0</v>
      </c>
      <c r="AJ18">
        <f>IF(Table1[[#This Row],[Position 1]]=0,0,FIND("/",Table1[[#This Row],[Final Obj Name]],Table1[[#This Row],[Position 1]]+1))</f>
        <v>0</v>
      </c>
      <c r="AK18" t="str">
        <f>IF(LEFT(Table1[[#This Row],[Final Obj Name]],1)="/",LEFT(Table1[[#This Row],[Final Obj Name]],FIND("/",Table1[[#This Row],[Final Obj Name]],2)),"/0SAP/")</f>
        <v>/0SAP/</v>
      </c>
    </row>
    <row r="19">
      <c r="A19" t="str">
        <v>CLAS</v>
      </c>
      <c r="B19" t="str">
        <v>ZCL_IM_BADI_MDGC_ADDRCHECK</v>
      </c>
      <c r="C19" t="str">
        <v>CPUB</v>
      </c>
      <c r="D19" t="str">
        <v>ZCL_IM_BADI_MDGC_ADDRCHECK</v>
      </c>
      <c r="E19" t="str">
        <v>XXXX</v>
      </c>
      <c r="G19" t="str">
        <v>ALL</v>
      </c>
      <c r="K19" t="str">
        <v>E</v>
      </c>
      <c r="L19" t="str">
        <v>NSHAIK</v>
      </c>
      <c r="M19">
        <v>46021</v>
      </c>
      <c r="N19">
        <v>0.16599537037037</v>
      </c>
      <c r="Y19">
        <f>IF(Table1[[#This Row],[OPERATION]]="NOTE","NOTE",Table1[[#This Row],[SUB_TYPE]])</f>
        <v>0</v>
      </c>
      <c r="Z19">
        <f>IF(Table1[[#This Row],[OPERATION]]="NOTE",NUMBERVALUE(LEFT(Table1[[#This Row],[MOD_NAME]],LEN(Table1[[#This Row],[MOD_NAME]])-4)),Table1[[#This Row],[SUB_NAME]])</f>
        <v>0</v>
      </c>
      <c r="AA19" t="str">
        <f>CONCAT(Table1[[#This Row],[Final Obj Type]],"|",Table1[[#This Row],[Final Obj Name]])</f>
        <v>0|0</v>
      </c>
      <c r="AB19" t="e">
        <f>VLOOKUP(Table1[[#This Row],[Final Obj Type]],Classification!B:E,3,FALSE)</f>
        <v>#N/A</v>
      </c>
      <c r="AC19" t="e">
        <f>VLOOKUP(Table1[[#This Row],[Final Obj Type]],Classification!B:E,4,FALSE)</f>
        <v>#N/A</v>
      </c>
      <c r="AD19" t="str">
        <f>IF(Table1[[#This Row],[Position 1]]=0,"/0SAP/",MID(Table1[[#This Row],[Final Obj Name]],Table1[[#This Row],[Position 1]],Table1[[#This Row],[Position 2]]-Table1[[#This Row],[Position 1]]+1))</f>
        <v>/0SAP/</v>
      </c>
      <c r="AE19" t="str">
        <f>VLOOKUP(Table1[[#This Row],[/* Object]],Namespace!A:J,10,FALSE)</f>
        <v>SAP AG</v>
      </c>
      <c r="AF19" t="str">
        <f>IF(VLOOKUP(Table1[[#This Row],[/* Object]],Namespace!A:J,4,FALSE)=0,"",VLOOKUP(Table1[[#This Row],[/* Object]],Namespace!A:J,4,FALSE))</f>
        <v>X</v>
      </c>
      <c r="AG19" t="str">
        <f>IF(VLOOKUP(Table1[[#This Row],[/* Object]],Namespace!A:J,5,FALSE)=0,"",VLOOKUP(Table1[[#This Row],[/* Object]],Namespace!A:J,5,FALSE))</f>
        <v>X</v>
      </c>
      <c r="AH19" t="str">
        <f>IF(VLOOKUP(Table1[[#This Row],[/* Object]],Namespace!A:J,6,FALSE)=0,"",VLOOKUP(Table1[[#This Row],[/* Object]],Namespace!A:J,6,FALSE))</f>
        <v/>
      </c>
      <c r="AI19">
        <f>IFERROR(FIND("/",Table1[[#This Row],[Final Obj Name]],1),0)</f>
        <v>0</v>
      </c>
      <c r="AJ19">
        <f>IF(Table1[[#This Row],[Position 1]]=0,0,FIND("/",Table1[[#This Row],[Final Obj Name]],Table1[[#This Row],[Position 1]]+1))</f>
        <v>0</v>
      </c>
      <c r="AK19" t="str">
        <f>IF(LEFT(Table1[[#This Row],[Final Obj Name]],1)="/",LEFT(Table1[[#This Row],[Final Obj Name]],FIND("/",Table1[[#This Row],[Final Obj Name]],2)),"/0SAP/")</f>
        <v>/0SAP/</v>
      </c>
    </row>
    <row r="20">
      <c r="A20" t="str">
        <v>CLAS</v>
      </c>
      <c r="B20" t="str">
        <v>ZCL_IM_BW_RSU5_SAPI_BADI</v>
      </c>
      <c r="C20" t="str">
        <v>CPRI</v>
      </c>
      <c r="D20" t="str">
        <v>ZCL_IM_BW_RSU5_SAPI_BADI</v>
      </c>
      <c r="E20" t="str">
        <v>INTF</v>
      </c>
      <c r="G20" t="str">
        <v>ALL</v>
      </c>
      <c r="K20" t="str">
        <v>E</v>
      </c>
      <c r="L20" t="str">
        <v>SSUDARSHAN</v>
      </c>
      <c r="M20">
        <v>44930</v>
      </c>
      <c r="N20">
        <v>0.24791666666667</v>
      </c>
      <c r="W20" t="str">
        <v>S01K915142</v>
      </c>
      <c r="Y20">
        <f>IF(Table1[[#This Row],[OPERATION]]="NOTE","NOTE",Table1[[#This Row],[SUB_TYPE]])</f>
        <v>0</v>
      </c>
      <c r="Z20">
        <f>IF(Table1[[#This Row],[OPERATION]]="NOTE",NUMBERVALUE(LEFT(Table1[[#This Row],[MOD_NAME]],LEN(Table1[[#This Row],[MOD_NAME]])-4)),Table1[[#This Row],[SUB_NAME]])</f>
        <v>0</v>
      </c>
      <c r="AA20" t="str">
        <f>CONCAT(Table1[[#This Row],[Final Obj Type]],"|",Table1[[#This Row],[Final Obj Name]])</f>
        <v>0|0</v>
      </c>
      <c r="AB20" t="e">
        <f>VLOOKUP(Table1[[#This Row],[Final Obj Type]],Classification!B:E,3,FALSE)</f>
        <v>#N/A</v>
      </c>
      <c r="AC20" t="e">
        <f>VLOOKUP(Table1[[#This Row],[Final Obj Type]],Classification!B:E,4,FALSE)</f>
        <v>#N/A</v>
      </c>
      <c r="AD20" t="str">
        <f>IF(Table1[[#This Row],[Position 1]]=0,"/0SAP/",MID(Table1[[#This Row],[Final Obj Name]],Table1[[#This Row],[Position 1]],Table1[[#This Row],[Position 2]]-Table1[[#This Row],[Position 1]]+1))</f>
        <v>/0SAP/</v>
      </c>
      <c r="AE20" t="str">
        <f>VLOOKUP(Table1[[#This Row],[/* Object]],Namespace!A:J,10,FALSE)</f>
        <v>SAP AG</v>
      </c>
      <c r="AF20" t="str">
        <f>IF(VLOOKUP(Table1[[#This Row],[/* Object]],Namespace!A:J,4,FALSE)=0,"",VLOOKUP(Table1[[#This Row],[/* Object]],Namespace!A:J,4,FALSE))</f>
        <v>X</v>
      </c>
      <c r="AG20" t="str">
        <f>IF(VLOOKUP(Table1[[#This Row],[/* Object]],Namespace!A:J,5,FALSE)=0,"",VLOOKUP(Table1[[#This Row],[/* Object]],Namespace!A:J,5,FALSE))</f>
        <v>X</v>
      </c>
      <c r="AH20" t="str">
        <f>IF(VLOOKUP(Table1[[#This Row],[/* Object]],Namespace!A:J,6,FALSE)=0,"",VLOOKUP(Table1[[#This Row],[/* Object]],Namespace!A:J,6,FALSE))</f>
        <v/>
      </c>
      <c r="AI20">
        <f>IFERROR(FIND("/",Table1[[#This Row],[Final Obj Name]],1),0)</f>
        <v>0</v>
      </c>
      <c r="AJ20">
        <f>IF(Table1[[#This Row],[Position 1]]=0,0,FIND("/",Table1[[#This Row],[Final Obj Name]],Table1[[#This Row],[Position 1]]+1))</f>
        <v>0</v>
      </c>
      <c r="AK20" t="str">
        <f>IF(LEFT(Table1[[#This Row],[Final Obj Name]],1)="/",LEFT(Table1[[#This Row],[Final Obj Name]],FIND("/",Table1[[#This Row],[Final Obj Name]],2)),"/0SAP/")</f>
        <v>/0SAP/</v>
      </c>
    </row>
    <row r="21">
      <c r="A21" t="str">
        <v>CLAS</v>
      </c>
      <c r="B21" t="str">
        <v>ZCL_IM_FIEB_CHANGE_BS_DATA</v>
      </c>
      <c r="C21" t="str">
        <v>CPUB</v>
      </c>
      <c r="D21" t="str">
        <v>ZCL_IM_FIEB_CHANGE_BS_DATA</v>
      </c>
      <c r="E21" t="str">
        <v>INTF</v>
      </c>
      <c r="G21" t="str">
        <v>ALL</v>
      </c>
      <c r="K21" t="str">
        <v>E</v>
      </c>
      <c r="L21">
        <v>50116387</v>
      </c>
      <c r="M21">
        <v>45574</v>
      </c>
      <c r="N21">
        <v>0.32293981481481</v>
      </c>
      <c r="W21" t="str">
        <v>SP1K950287</v>
      </c>
      <c r="Y21">
        <f>IF(Table1[[#This Row],[OPERATION]]="NOTE","NOTE",Table1[[#This Row],[SUB_TYPE]])</f>
        <v>0</v>
      </c>
      <c r="Z21">
        <f>IF(Table1[[#This Row],[OPERATION]]="NOTE",NUMBERVALUE(LEFT(Table1[[#This Row],[MOD_NAME]],LEN(Table1[[#This Row],[MOD_NAME]])-4)),Table1[[#This Row],[SUB_NAME]])</f>
        <v>0</v>
      </c>
      <c r="AA21" t="str">
        <f>CONCAT(Table1[[#This Row],[Final Obj Type]],"|",Table1[[#This Row],[Final Obj Name]])</f>
        <v>0|0</v>
      </c>
      <c r="AB21" t="e">
        <f>VLOOKUP(Table1[[#This Row],[Final Obj Type]],Classification!B:E,3,FALSE)</f>
        <v>#N/A</v>
      </c>
      <c r="AC21" t="e">
        <f>VLOOKUP(Table1[[#This Row],[Final Obj Type]],Classification!B:E,4,FALSE)</f>
        <v>#N/A</v>
      </c>
      <c r="AD21" t="str">
        <f>IF(Table1[[#This Row],[Position 1]]=0,"/0SAP/",MID(Table1[[#This Row],[Final Obj Name]],Table1[[#This Row],[Position 1]],Table1[[#This Row],[Position 2]]-Table1[[#This Row],[Position 1]]+1))</f>
        <v>/0SAP/</v>
      </c>
      <c r="AE21" t="str">
        <f>VLOOKUP(Table1[[#This Row],[/* Object]],Namespace!A:J,10,FALSE)</f>
        <v>SAP AG</v>
      </c>
      <c r="AF21" t="str">
        <f>IF(VLOOKUP(Table1[[#This Row],[/* Object]],Namespace!A:J,4,FALSE)=0,"",VLOOKUP(Table1[[#This Row],[/* Object]],Namespace!A:J,4,FALSE))</f>
        <v>X</v>
      </c>
      <c r="AG21" t="str">
        <f>IF(VLOOKUP(Table1[[#This Row],[/* Object]],Namespace!A:J,5,FALSE)=0,"",VLOOKUP(Table1[[#This Row],[/* Object]],Namespace!A:J,5,FALSE))</f>
        <v>X</v>
      </c>
      <c r="AH21" t="str">
        <f>IF(VLOOKUP(Table1[[#This Row],[/* Object]],Namespace!A:J,6,FALSE)=0,"",VLOOKUP(Table1[[#This Row],[/* Object]],Namespace!A:J,6,FALSE))</f>
        <v/>
      </c>
      <c r="AI21">
        <f>IFERROR(FIND("/",Table1[[#This Row],[Final Obj Name]],1),0)</f>
        <v>0</v>
      </c>
      <c r="AJ21">
        <f>IF(Table1[[#This Row],[Position 1]]=0,0,FIND("/",Table1[[#This Row],[Final Obj Name]],Table1[[#This Row],[Position 1]]+1))</f>
        <v>0</v>
      </c>
      <c r="AK21" t="str">
        <f>IF(LEFT(Table1[[#This Row],[Final Obj Name]],1)="/",LEFT(Table1[[#This Row],[Final Obj Name]],FIND("/",Table1[[#This Row],[Final Obj Name]],2)),"/0SAP/")</f>
        <v>/0SAP/</v>
      </c>
    </row>
    <row r="22">
      <c r="A22" t="str">
        <v>CLAS</v>
      </c>
      <c r="B22" t="str">
        <v>ZCL_IM_FI_ITEM_CH_DATA</v>
      </c>
      <c r="C22" t="str">
        <v>CPRI</v>
      </c>
      <c r="D22" t="str">
        <v>ZCL_IM_FI_ITEM_CH_DATA</v>
      </c>
      <c r="E22" t="str">
        <v>XXXX</v>
      </c>
      <c r="G22" t="str">
        <v>ALL</v>
      </c>
      <c r="K22" t="str">
        <v>E</v>
      </c>
      <c r="L22" t="str">
        <v>IARUMUGAM</v>
      </c>
      <c r="M22">
        <v>45562</v>
      </c>
      <c r="N22">
        <v>0.42243055555556</v>
      </c>
      <c r="Y22">
        <f>IF(Table1[[#This Row],[OPERATION]]="NOTE","NOTE",Table1[[#This Row],[SUB_TYPE]])</f>
        <v>0</v>
      </c>
      <c r="Z22">
        <f>IF(Table1[[#This Row],[OPERATION]]="NOTE",NUMBERVALUE(LEFT(Table1[[#This Row],[MOD_NAME]],LEN(Table1[[#This Row],[MOD_NAME]])-4)),Table1[[#This Row],[SUB_NAME]])</f>
        <v>0</v>
      </c>
      <c r="AA22" t="str">
        <f>CONCAT(Table1[[#This Row],[Final Obj Type]],"|",Table1[[#This Row],[Final Obj Name]])</f>
        <v>0|0</v>
      </c>
      <c r="AB22" t="e">
        <f>VLOOKUP(Table1[[#This Row],[Final Obj Type]],Classification!B:E,3,FALSE)</f>
        <v>#N/A</v>
      </c>
      <c r="AC22" t="e">
        <f>VLOOKUP(Table1[[#This Row],[Final Obj Type]],Classification!B:E,4,FALSE)</f>
        <v>#N/A</v>
      </c>
      <c r="AD22" t="str">
        <f>IF(Table1[[#This Row],[Position 1]]=0,"/0SAP/",MID(Table1[[#This Row],[Final Obj Name]],Table1[[#This Row],[Position 1]],Table1[[#This Row],[Position 2]]-Table1[[#This Row],[Position 1]]+1))</f>
        <v>/0SAP/</v>
      </c>
      <c r="AE22" t="str">
        <f>VLOOKUP(Table1[[#This Row],[/* Object]],Namespace!A:J,10,FALSE)</f>
        <v>SAP AG</v>
      </c>
      <c r="AF22" t="str">
        <f>IF(VLOOKUP(Table1[[#This Row],[/* Object]],Namespace!A:J,4,FALSE)=0,"",VLOOKUP(Table1[[#This Row],[/* Object]],Namespace!A:J,4,FALSE))</f>
        <v>X</v>
      </c>
      <c r="AG22" t="str">
        <f>IF(VLOOKUP(Table1[[#This Row],[/* Object]],Namespace!A:J,5,FALSE)=0,"",VLOOKUP(Table1[[#This Row],[/* Object]],Namespace!A:J,5,FALSE))</f>
        <v>X</v>
      </c>
      <c r="AH22" t="str">
        <f>IF(VLOOKUP(Table1[[#This Row],[/* Object]],Namespace!A:J,6,FALSE)=0,"",VLOOKUP(Table1[[#This Row],[/* Object]],Namespace!A:J,6,FALSE))</f>
        <v/>
      </c>
      <c r="AI22">
        <f>IFERROR(FIND("/",Table1[[#This Row],[Final Obj Name]],1),0)</f>
        <v>0</v>
      </c>
      <c r="AJ22">
        <f>IF(Table1[[#This Row],[Position 1]]=0,0,FIND("/",Table1[[#This Row],[Final Obj Name]],Table1[[#This Row],[Position 1]]+1))</f>
        <v>0</v>
      </c>
      <c r="AK22" t="str">
        <f>IF(LEFT(Table1[[#This Row],[Final Obj Name]],1)="/",LEFT(Table1[[#This Row],[Final Obj Name]],FIND("/",Table1[[#This Row],[Final Obj Name]],2)),"/0SAP/")</f>
        <v>/0SAP/</v>
      </c>
    </row>
    <row r="23">
      <c r="A23" t="str">
        <v>CLAS</v>
      </c>
      <c r="B23" t="str">
        <v>ZCL_IM_FI_ITEM_CH_DATA</v>
      </c>
      <c r="C23" t="str">
        <v>CPRO</v>
      </c>
      <c r="D23" t="str">
        <v>ZCL_IM_FI_ITEM_CH_DATA</v>
      </c>
      <c r="E23" t="str">
        <v>XXXX</v>
      </c>
      <c r="G23" t="str">
        <v>ALL</v>
      </c>
      <c r="K23" t="str">
        <v>E</v>
      </c>
      <c r="L23" t="str">
        <v>IARUMUGAM</v>
      </c>
      <c r="M23">
        <v>45562</v>
      </c>
      <c r="N23">
        <v>0.42243055555556</v>
      </c>
      <c r="Y23">
        <f>IF(Table1[[#This Row],[OPERATION]]="NOTE","NOTE",Table1[[#This Row],[SUB_TYPE]])</f>
        <v>0</v>
      </c>
      <c r="Z23">
        <f>IF(Table1[[#This Row],[OPERATION]]="NOTE",NUMBERVALUE(LEFT(Table1[[#This Row],[MOD_NAME]],LEN(Table1[[#This Row],[MOD_NAME]])-4)),Table1[[#This Row],[SUB_NAME]])</f>
        <v>0</v>
      </c>
      <c r="AA23" t="str">
        <f>CONCAT(Table1[[#This Row],[Final Obj Type]],"|",Table1[[#This Row],[Final Obj Name]])</f>
        <v>0|0</v>
      </c>
      <c r="AB23" t="e">
        <f>VLOOKUP(Table1[[#This Row],[Final Obj Type]],Classification!B:E,3,FALSE)</f>
        <v>#N/A</v>
      </c>
      <c r="AC23" t="e">
        <f>VLOOKUP(Table1[[#This Row],[Final Obj Type]],Classification!B:E,4,FALSE)</f>
        <v>#N/A</v>
      </c>
      <c r="AD23" t="str">
        <f>IF(Table1[[#This Row],[Position 1]]=0,"/0SAP/",MID(Table1[[#This Row],[Final Obj Name]],Table1[[#This Row],[Position 1]],Table1[[#This Row],[Position 2]]-Table1[[#This Row],[Position 1]]+1))</f>
        <v>/0SAP/</v>
      </c>
      <c r="AE23" t="str">
        <f>VLOOKUP(Table1[[#This Row],[/* Object]],Namespace!A:J,10,FALSE)</f>
        <v>SAP AG</v>
      </c>
      <c r="AF23" t="str">
        <f>IF(VLOOKUP(Table1[[#This Row],[/* Object]],Namespace!A:J,4,FALSE)=0,"",VLOOKUP(Table1[[#This Row],[/* Object]],Namespace!A:J,4,FALSE))</f>
        <v>X</v>
      </c>
      <c r="AG23" t="str">
        <f>IF(VLOOKUP(Table1[[#This Row],[/* Object]],Namespace!A:J,5,FALSE)=0,"",VLOOKUP(Table1[[#This Row],[/* Object]],Namespace!A:J,5,FALSE))</f>
        <v>X</v>
      </c>
      <c r="AH23" t="str">
        <f>IF(VLOOKUP(Table1[[#This Row],[/* Object]],Namespace!A:J,6,FALSE)=0,"",VLOOKUP(Table1[[#This Row],[/* Object]],Namespace!A:J,6,FALSE))</f>
        <v/>
      </c>
      <c r="AI23">
        <f>IFERROR(FIND("/",Table1[[#This Row],[Final Obj Name]],1),0)</f>
        <v>0</v>
      </c>
      <c r="AJ23">
        <f>IF(Table1[[#This Row],[Position 1]]=0,0,FIND("/",Table1[[#This Row],[Final Obj Name]],Table1[[#This Row],[Position 1]]+1))</f>
        <v>0</v>
      </c>
      <c r="AK23" t="str">
        <f>IF(LEFT(Table1[[#This Row],[Final Obj Name]],1)="/",LEFT(Table1[[#This Row],[Final Obj Name]],FIND("/",Table1[[#This Row],[Final Obj Name]],2)),"/0SAP/")</f>
        <v>/0SAP/</v>
      </c>
    </row>
    <row r="24">
      <c r="A24" t="str">
        <v>CLAS</v>
      </c>
      <c r="B24" t="str">
        <v>ZCL_IM_FI_ITEM_CH_DATA</v>
      </c>
      <c r="C24" t="str">
        <v>CPUB</v>
      </c>
      <c r="D24" t="str">
        <v>ZCL_IM_FI_ITEM_CH_DATA</v>
      </c>
      <c r="E24" t="str">
        <v>XXXX</v>
      </c>
      <c r="G24" t="str">
        <v>ALL</v>
      </c>
      <c r="K24" t="str">
        <v>E</v>
      </c>
      <c r="L24" t="str">
        <v>IARUMUGAM</v>
      </c>
      <c r="M24">
        <v>45562</v>
      </c>
      <c r="N24">
        <v>0.42243055555556</v>
      </c>
      <c r="Y24">
        <f>IF(Table1[[#This Row],[OPERATION]]="NOTE","NOTE",Table1[[#This Row],[SUB_TYPE]])</f>
        <v>0</v>
      </c>
      <c r="Z24">
        <f>IF(Table1[[#This Row],[OPERATION]]="NOTE",NUMBERVALUE(LEFT(Table1[[#This Row],[MOD_NAME]],LEN(Table1[[#This Row],[MOD_NAME]])-4)),Table1[[#This Row],[SUB_NAME]])</f>
        <v>0</v>
      </c>
      <c r="AA24" t="str">
        <f>CONCAT(Table1[[#This Row],[Final Obj Type]],"|",Table1[[#This Row],[Final Obj Name]])</f>
        <v>0|0</v>
      </c>
      <c r="AB24" t="e">
        <f>VLOOKUP(Table1[[#This Row],[Final Obj Type]],Classification!B:E,3,FALSE)</f>
        <v>#N/A</v>
      </c>
      <c r="AC24" t="e">
        <f>VLOOKUP(Table1[[#This Row],[Final Obj Type]],Classification!B:E,4,FALSE)</f>
        <v>#N/A</v>
      </c>
      <c r="AD24" t="str">
        <f>IF(Table1[[#This Row],[Position 1]]=0,"/0SAP/",MID(Table1[[#This Row],[Final Obj Name]],Table1[[#This Row],[Position 1]],Table1[[#This Row],[Position 2]]-Table1[[#This Row],[Position 1]]+1))</f>
        <v>/0SAP/</v>
      </c>
      <c r="AE24" t="str">
        <f>VLOOKUP(Table1[[#This Row],[/* Object]],Namespace!A:J,10,FALSE)</f>
        <v>SAP AG</v>
      </c>
      <c r="AF24" t="str">
        <f>IF(VLOOKUP(Table1[[#This Row],[/* Object]],Namespace!A:J,4,FALSE)=0,"",VLOOKUP(Table1[[#This Row],[/* Object]],Namespace!A:J,4,FALSE))</f>
        <v>X</v>
      </c>
      <c r="AG24" t="str">
        <f>IF(VLOOKUP(Table1[[#This Row],[/* Object]],Namespace!A:J,5,FALSE)=0,"",VLOOKUP(Table1[[#This Row],[/* Object]],Namespace!A:J,5,FALSE))</f>
        <v>X</v>
      </c>
      <c r="AH24" t="str">
        <f>IF(VLOOKUP(Table1[[#This Row],[/* Object]],Namespace!A:J,6,FALSE)=0,"",VLOOKUP(Table1[[#This Row],[/* Object]],Namespace!A:J,6,FALSE))</f>
        <v/>
      </c>
      <c r="AI24">
        <f>IFERROR(FIND("/",Table1[[#This Row],[Final Obj Name]],1),0)</f>
        <v>0</v>
      </c>
      <c r="AJ24">
        <f>IF(Table1[[#This Row],[Position 1]]=0,0,FIND("/",Table1[[#This Row],[Final Obj Name]],Table1[[#This Row],[Position 1]]+1))</f>
        <v>0</v>
      </c>
      <c r="AK24" t="str">
        <f>IF(LEFT(Table1[[#This Row],[Final Obj Name]],1)="/",LEFT(Table1[[#This Row],[Final Obj Name]],FIND("/",Table1[[#This Row],[Final Obj Name]],2)),"/0SAP/")</f>
        <v>/0SAP/</v>
      </c>
    </row>
    <row r="25">
      <c r="A25" t="str">
        <v>CLAS</v>
      </c>
      <c r="B25" t="str">
        <v>ZCL_IM_MDGC_CUSTOMERCONTEXT</v>
      </c>
      <c r="C25" t="str">
        <v>CPRI</v>
      </c>
      <c r="D25" t="str">
        <v>ZCL_IM_MDGC_CUSTOMERCONTEXT</v>
      </c>
      <c r="E25" t="str">
        <v>XXXX</v>
      </c>
      <c r="G25" t="str">
        <v>ALL</v>
      </c>
      <c r="K25" t="str">
        <v>E</v>
      </c>
      <c r="L25" t="str">
        <v>NSHAIK</v>
      </c>
      <c r="M25">
        <v>46021</v>
      </c>
      <c r="N25">
        <v>0.16635416666667</v>
      </c>
      <c r="Y25">
        <f>IF(Table1[[#This Row],[OPERATION]]="NOTE","NOTE",Table1[[#This Row],[SUB_TYPE]])</f>
        <v>0</v>
      </c>
      <c r="Z25">
        <f>IF(Table1[[#This Row],[OPERATION]]="NOTE",NUMBERVALUE(LEFT(Table1[[#This Row],[MOD_NAME]],LEN(Table1[[#This Row],[MOD_NAME]])-4)),Table1[[#This Row],[SUB_NAME]])</f>
        <v>0</v>
      </c>
      <c r="AA25" t="str">
        <f>CONCAT(Table1[[#This Row],[Final Obj Type]],"|",Table1[[#This Row],[Final Obj Name]])</f>
        <v>0|0</v>
      </c>
      <c r="AB25" t="e">
        <f>VLOOKUP(Table1[[#This Row],[Final Obj Type]],Classification!B:E,3,FALSE)</f>
        <v>#N/A</v>
      </c>
      <c r="AC25" t="e">
        <f>VLOOKUP(Table1[[#This Row],[Final Obj Type]],Classification!B:E,4,FALSE)</f>
        <v>#N/A</v>
      </c>
      <c r="AD25" t="str">
        <f>IF(Table1[[#This Row],[Position 1]]=0,"/0SAP/",MID(Table1[[#This Row],[Final Obj Name]],Table1[[#This Row],[Position 1]],Table1[[#This Row],[Position 2]]-Table1[[#This Row],[Position 1]]+1))</f>
        <v>/0SAP/</v>
      </c>
      <c r="AE25" t="str">
        <f>VLOOKUP(Table1[[#This Row],[/* Object]],Namespace!A:J,10,FALSE)</f>
        <v>SAP AG</v>
      </c>
      <c r="AF25" t="str">
        <f>IF(VLOOKUP(Table1[[#This Row],[/* Object]],Namespace!A:J,4,FALSE)=0,"",VLOOKUP(Table1[[#This Row],[/* Object]],Namespace!A:J,4,FALSE))</f>
        <v>X</v>
      </c>
      <c r="AG25" t="str">
        <f>IF(VLOOKUP(Table1[[#This Row],[/* Object]],Namespace!A:J,5,FALSE)=0,"",VLOOKUP(Table1[[#This Row],[/* Object]],Namespace!A:J,5,FALSE))</f>
        <v>X</v>
      </c>
      <c r="AH25" t="str">
        <f>IF(VLOOKUP(Table1[[#This Row],[/* Object]],Namespace!A:J,6,FALSE)=0,"",VLOOKUP(Table1[[#This Row],[/* Object]],Namespace!A:J,6,FALSE))</f>
        <v/>
      </c>
      <c r="AI25">
        <f>IFERROR(FIND("/",Table1[[#This Row],[Final Obj Name]],1),0)</f>
        <v>0</v>
      </c>
      <c r="AJ25">
        <f>IF(Table1[[#This Row],[Position 1]]=0,0,FIND("/",Table1[[#This Row],[Final Obj Name]],Table1[[#This Row],[Position 1]]+1))</f>
        <v>0</v>
      </c>
      <c r="AK25" t="str">
        <f>IF(LEFT(Table1[[#This Row],[Final Obj Name]],1)="/",LEFT(Table1[[#This Row],[Final Obj Name]],FIND("/",Table1[[#This Row],[Final Obj Name]],2)),"/0SAP/")</f>
        <v>/0SAP/</v>
      </c>
    </row>
    <row r="26">
      <c r="A26" t="str">
        <v>CLAS</v>
      </c>
      <c r="B26" t="str">
        <v>ZCL_IM_MDGC_CUSTOMERCONTEXT</v>
      </c>
      <c r="C26" t="str">
        <v>CPRO</v>
      </c>
      <c r="D26" t="str">
        <v>ZCL_IM_MDGC_CUSTOMERCONTEXT</v>
      </c>
      <c r="E26" t="str">
        <v>XXXX</v>
      </c>
      <c r="G26" t="str">
        <v>ALL</v>
      </c>
      <c r="K26" t="str">
        <v>E</v>
      </c>
      <c r="L26" t="str">
        <v>NSHAIK</v>
      </c>
      <c r="M26">
        <v>46021</v>
      </c>
      <c r="N26">
        <v>0.16635416666667</v>
      </c>
      <c r="Y26">
        <f>IF(Table1[[#This Row],[OPERATION]]="NOTE","NOTE",Table1[[#This Row],[SUB_TYPE]])</f>
        <v>0</v>
      </c>
      <c r="Z26">
        <f>IF(Table1[[#This Row],[OPERATION]]="NOTE",NUMBERVALUE(LEFT(Table1[[#This Row],[MOD_NAME]],LEN(Table1[[#This Row],[MOD_NAME]])-4)),Table1[[#This Row],[SUB_NAME]])</f>
        <v>0</v>
      </c>
      <c r="AA26" t="str">
        <f>CONCAT(Table1[[#This Row],[Final Obj Type]],"|",Table1[[#This Row],[Final Obj Name]])</f>
        <v>0|0</v>
      </c>
      <c r="AB26" t="e">
        <f>VLOOKUP(Table1[[#This Row],[Final Obj Type]],Classification!B:E,3,FALSE)</f>
        <v>#N/A</v>
      </c>
      <c r="AC26" t="e">
        <f>VLOOKUP(Table1[[#This Row],[Final Obj Type]],Classification!B:E,4,FALSE)</f>
        <v>#N/A</v>
      </c>
      <c r="AD26" t="str">
        <f>IF(Table1[[#This Row],[Position 1]]=0,"/0SAP/",MID(Table1[[#This Row],[Final Obj Name]],Table1[[#This Row],[Position 1]],Table1[[#This Row],[Position 2]]-Table1[[#This Row],[Position 1]]+1))</f>
        <v>/0SAP/</v>
      </c>
      <c r="AE26" t="str">
        <f>VLOOKUP(Table1[[#This Row],[/* Object]],Namespace!A:J,10,FALSE)</f>
        <v>SAP AG</v>
      </c>
      <c r="AF26" t="str">
        <f>IF(VLOOKUP(Table1[[#This Row],[/* Object]],Namespace!A:J,4,FALSE)=0,"",VLOOKUP(Table1[[#This Row],[/* Object]],Namespace!A:J,4,FALSE))</f>
        <v>X</v>
      </c>
      <c r="AG26" t="str">
        <f>IF(VLOOKUP(Table1[[#This Row],[/* Object]],Namespace!A:J,5,FALSE)=0,"",VLOOKUP(Table1[[#This Row],[/* Object]],Namespace!A:J,5,FALSE))</f>
        <v>X</v>
      </c>
      <c r="AH26" t="str">
        <f>IF(VLOOKUP(Table1[[#This Row],[/* Object]],Namespace!A:J,6,FALSE)=0,"",VLOOKUP(Table1[[#This Row],[/* Object]],Namespace!A:J,6,FALSE))</f>
        <v/>
      </c>
      <c r="AI26">
        <f>IFERROR(FIND("/",Table1[[#This Row],[Final Obj Name]],1),0)</f>
        <v>0</v>
      </c>
      <c r="AJ26">
        <f>IF(Table1[[#This Row],[Position 1]]=0,0,FIND("/",Table1[[#This Row],[Final Obj Name]],Table1[[#This Row],[Position 1]]+1))</f>
        <v>0</v>
      </c>
      <c r="AK26" t="str">
        <f>IF(LEFT(Table1[[#This Row],[Final Obj Name]],1)="/",LEFT(Table1[[#This Row],[Final Obj Name]],FIND("/",Table1[[#This Row],[Final Obj Name]],2)),"/0SAP/")</f>
        <v>/0SAP/</v>
      </c>
    </row>
    <row r="27">
      <c r="A27" t="str">
        <v>CLAS</v>
      </c>
      <c r="B27" t="str">
        <v>ZCL_IM_MDGC_CUSTOMERCONTEXT</v>
      </c>
      <c r="C27" t="str">
        <v>CPUB</v>
      </c>
      <c r="D27" t="str">
        <v>ZCL_IM_MDGC_CUSTOMERCONTEXT</v>
      </c>
      <c r="E27" t="str">
        <v>XXXX</v>
      </c>
      <c r="G27" t="str">
        <v>ALL</v>
      </c>
      <c r="K27" t="str">
        <v>E</v>
      </c>
      <c r="L27" t="str">
        <v>NSHAIK</v>
      </c>
      <c r="M27">
        <v>46021</v>
      </c>
      <c r="N27">
        <v>0.16635416666667</v>
      </c>
      <c r="Y27">
        <f>IF(Table1[[#This Row],[OPERATION]]="NOTE","NOTE",Table1[[#This Row],[SUB_TYPE]])</f>
        <v>0</v>
      </c>
      <c r="Z27">
        <f>IF(Table1[[#This Row],[OPERATION]]="NOTE",NUMBERVALUE(LEFT(Table1[[#This Row],[MOD_NAME]],LEN(Table1[[#This Row],[MOD_NAME]])-4)),Table1[[#This Row],[SUB_NAME]])</f>
        <v>0</v>
      </c>
      <c r="AA27" t="str">
        <f>CONCAT(Table1[[#This Row],[Final Obj Type]],"|",Table1[[#This Row],[Final Obj Name]])</f>
        <v>0|0</v>
      </c>
      <c r="AB27" t="e">
        <f>VLOOKUP(Table1[[#This Row],[Final Obj Type]],Classification!B:E,3,FALSE)</f>
        <v>#N/A</v>
      </c>
      <c r="AC27" t="e">
        <f>VLOOKUP(Table1[[#This Row],[Final Obj Type]],Classification!B:E,4,FALSE)</f>
        <v>#N/A</v>
      </c>
      <c r="AD27" t="str">
        <f>IF(Table1[[#This Row],[Position 1]]=0,"/0SAP/",MID(Table1[[#This Row],[Final Obj Name]],Table1[[#This Row],[Position 1]],Table1[[#This Row],[Position 2]]-Table1[[#This Row],[Position 1]]+1))</f>
        <v>/0SAP/</v>
      </c>
      <c r="AE27" t="str">
        <f>VLOOKUP(Table1[[#This Row],[/* Object]],Namespace!A:J,10,FALSE)</f>
        <v>SAP AG</v>
      </c>
      <c r="AF27" t="str">
        <f>IF(VLOOKUP(Table1[[#This Row],[/* Object]],Namespace!A:J,4,FALSE)=0,"",VLOOKUP(Table1[[#This Row],[/* Object]],Namespace!A:J,4,FALSE))</f>
        <v>X</v>
      </c>
      <c r="AG27" t="str">
        <f>IF(VLOOKUP(Table1[[#This Row],[/* Object]],Namespace!A:J,5,FALSE)=0,"",VLOOKUP(Table1[[#This Row],[/* Object]],Namespace!A:J,5,FALSE))</f>
        <v>X</v>
      </c>
      <c r="AH27" t="str">
        <f>IF(VLOOKUP(Table1[[#This Row],[/* Object]],Namespace!A:J,6,FALSE)=0,"",VLOOKUP(Table1[[#This Row],[/* Object]],Namespace!A:J,6,FALSE))</f>
        <v/>
      </c>
      <c r="AI27">
        <f>IFERROR(FIND("/",Table1[[#This Row],[Final Obj Name]],1),0)</f>
        <v>0</v>
      </c>
      <c r="AJ27">
        <f>IF(Table1[[#This Row],[Position 1]]=0,0,FIND("/",Table1[[#This Row],[Final Obj Name]],Table1[[#This Row],[Position 1]]+1))</f>
        <v>0</v>
      </c>
      <c r="AK27" t="str">
        <f>IF(LEFT(Table1[[#This Row],[Final Obj Name]],1)="/",LEFT(Table1[[#This Row],[Final Obj Name]],FIND("/",Table1[[#This Row],[Final Obj Name]],2)),"/0SAP/")</f>
        <v>/0SAP/</v>
      </c>
    </row>
    <row r="28">
      <c r="A28" t="str">
        <v>CLAS</v>
      </c>
      <c r="B28" t="str">
        <v>ZCL_IM_MDGC_CUSTOMERGOVERNANCE</v>
      </c>
      <c r="C28" t="str">
        <v>CPRI</v>
      </c>
      <c r="D28" t="str">
        <v>ZCL_IM_MDGC_CUSTOMERGOVERNANCE</v>
      </c>
      <c r="E28" t="str">
        <v>XXXX</v>
      </c>
      <c r="G28" t="str">
        <v>ALL</v>
      </c>
      <c r="K28" t="str">
        <v>E</v>
      </c>
      <c r="L28" t="str">
        <v>NSHAIK</v>
      </c>
      <c r="M28">
        <v>46020</v>
      </c>
      <c r="N28">
        <v>0.1946412037037</v>
      </c>
      <c r="Y28">
        <f>IF(Table1[[#This Row],[OPERATION]]="NOTE","NOTE",Table1[[#This Row],[SUB_TYPE]])</f>
        <v>0</v>
      </c>
      <c r="Z28">
        <f>IF(Table1[[#This Row],[OPERATION]]="NOTE",NUMBERVALUE(LEFT(Table1[[#This Row],[MOD_NAME]],LEN(Table1[[#This Row],[MOD_NAME]])-4)),Table1[[#This Row],[SUB_NAME]])</f>
        <v>0</v>
      </c>
      <c r="AA28" t="str">
        <f>CONCAT(Table1[[#This Row],[Final Obj Type]],"|",Table1[[#This Row],[Final Obj Name]])</f>
        <v>0|0</v>
      </c>
      <c r="AB28" t="e">
        <f>VLOOKUP(Table1[[#This Row],[Final Obj Type]],Classification!B:E,3,FALSE)</f>
        <v>#N/A</v>
      </c>
      <c r="AC28" t="e">
        <f>VLOOKUP(Table1[[#This Row],[Final Obj Type]],Classification!B:E,4,FALSE)</f>
        <v>#N/A</v>
      </c>
      <c r="AD28" t="str">
        <f>IF(Table1[[#This Row],[Position 1]]=0,"/0SAP/",MID(Table1[[#This Row],[Final Obj Name]],Table1[[#This Row],[Position 1]],Table1[[#This Row],[Position 2]]-Table1[[#This Row],[Position 1]]+1))</f>
        <v>/0SAP/</v>
      </c>
      <c r="AE28" t="str">
        <f>VLOOKUP(Table1[[#This Row],[/* Object]],Namespace!A:J,10,FALSE)</f>
        <v>SAP AG</v>
      </c>
      <c r="AF28" t="str">
        <f>IF(VLOOKUP(Table1[[#This Row],[/* Object]],Namespace!A:J,4,FALSE)=0,"",VLOOKUP(Table1[[#This Row],[/* Object]],Namespace!A:J,4,FALSE))</f>
        <v>X</v>
      </c>
      <c r="AG28" t="str">
        <f>IF(VLOOKUP(Table1[[#This Row],[/* Object]],Namespace!A:J,5,FALSE)=0,"",VLOOKUP(Table1[[#This Row],[/* Object]],Namespace!A:J,5,FALSE))</f>
        <v>X</v>
      </c>
      <c r="AH28" t="str">
        <f>IF(VLOOKUP(Table1[[#This Row],[/* Object]],Namespace!A:J,6,FALSE)=0,"",VLOOKUP(Table1[[#This Row],[/* Object]],Namespace!A:J,6,FALSE))</f>
        <v/>
      </c>
      <c r="AI28">
        <f>IFERROR(FIND("/",Table1[[#This Row],[Final Obj Name]],1),0)</f>
        <v>0</v>
      </c>
      <c r="AJ28">
        <f>IF(Table1[[#This Row],[Position 1]]=0,0,FIND("/",Table1[[#This Row],[Final Obj Name]],Table1[[#This Row],[Position 1]]+1))</f>
        <v>0</v>
      </c>
      <c r="AK28" t="str">
        <f>IF(LEFT(Table1[[#This Row],[Final Obj Name]],1)="/",LEFT(Table1[[#This Row],[Final Obj Name]],FIND("/",Table1[[#This Row],[Final Obj Name]],2)),"/0SAP/")</f>
        <v>/0SAP/</v>
      </c>
    </row>
    <row r="29">
      <c r="A29" t="str">
        <v>CLAS</v>
      </c>
      <c r="B29" t="str">
        <v>ZCL_IM_MDGC_CUSTOMERGOVERNANCE</v>
      </c>
      <c r="C29" t="str">
        <v>CPRO</v>
      </c>
      <c r="D29" t="str">
        <v>ZCL_IM_MDGC_CUSTOMERGOVERNANCE</v>
      </c>
      <c r="E29" t="str">
        <v>XXXX</v>
      </c>
      <c r="G29" t="str">
        <v>ALL</v>
      </c>
      <c r="K29" t="str">
        <v>E</v>
      </c>
      <c r="L29" t="str">
        <v>NSHAIK</v>
      </c>
      <c r="M29">
        <v>46020</v>
      </c>
      <c r="N29">
        <v>0.1946412037037</v>
      </c>
      <c r="Y29">
        <f>IF(Table1[[#This Row],[OPERATION]]="NOTE","NOTE",Table1[[#This Row],[SUB_TYPE]])</f>
        <v>0</v>
      </c>
      <c r="Z29">
        <f>IF(Table1[[#This Row],[OPERATION]]="NOTE",NUMBERVALUE(LEFT(Table1[[#This Row],[MOD_NAME]],LEN(Table1[[#This Row],[MOD_NAME]])-4)),Table1[[#This Row],[SUB_NAME]])</f>
        <v>0</v>
      </c>
      <c r="AA29" t="str">
        <f>CONCAT(Table1[[#This Row],[Final Obj Type]],"|",Table1[[#This Row],[Final Obj Name]])</f>
        <v>0|0</v>
      </c>
      <c r="AB29" t="e">
        <f>VLOOKUP(Table1[[#This Row],[Final Obj Type]],Classification!B:E,3,FALSE)</f>
        <v>#N/A</v>
      </c>
      <c r="AC29" t="e">
        <f>VLOOKUP(Table1[[#This Row],[Final Obj Type]],Classification!B:E,4,FALSE)</f>
        <v>#N/A</v>
      </c>
      <c r="AD29" t="str">
        <f>IF(Table1[[#This Row],[Position 1]]=0,"/0SAP/",MID(Table1[[#This Row],[Final Obj Name]],Table1[[#This Row],[Position 1]],Table1[[#This Row],[Position 2]]-Table1[[#This Row],[Position 1]]+1))</f>
        <v>/0SAP/</v>
      </c>
      <c r="AE29" t="str">
        <f>VLOOKUP(Table1[[#This Row],[/* Object]],Namespace!A:J,10,FALSE)</f>
        <v>SAP AG</v>
      </c>
      <c r="AF29" t="str">
        <f>IF(VLOOKUP(Table1[[#This Row],[/* Object]],Namespace!A:J,4,FALSE)=0,"",VLOOKUP(Table1[[#This Row],[/* Object]],Namespace!A:J,4,FALSE))</f>
        <v>X</v>
      </c>
      <c r="AG29" t="str">
        <f>IF(VLOOKUP(Table1[[#This Row],[/* Object]],Namespace!A:J,5,FALSE)=0,"",VLOOKUP(Table1[[#This Row],[/* Object]],Namespace!A:J,5,FALSE))</f>
        <v>X</v>
      </c>
      <c r="AH29" t="str">
        <f>IF(VLOOKUP(Table1[[#This Row],[/* Object]],Namespace!A:J,6,FALSE)=0,"",VLOOKUP(Table1[[#This Row],[/* Object]],Namespace!A:J,6,FALSE))</f>
        <v/>
      </c>
      <c r="AI29">
        <f>IFERROR(FIND("/",Table1[[#This Row],[Final Obj Name]],1),0)</f>
        <v>0</v>
      </c>
      <c r="AJ29">
        <f>IF(Table1[[#This Row],[Position 1]]=0,0,FIND("/",Table1[[#This Row],[Final Obj Name]],Table1[[#This Row],[Position 1]]+1))</f>
        <v>0</v>
      </c>
      <c r="AK29" t="str">
        <f>IF(LEFT(Table1[[#This Row],[Final Obj Name]],1)="/",LEFT(Table1[[#This Row],[Final Obj Name]],FIND("/",Table1[[#This Row],[Final Obj Name]],2)),"/0SAP/")</f>
        <v>/0SAP/</v>
      </c>
    </row>
    <row r="30">
      <c r="A30" t="str">
        <v>CLAS</v>
      </c>
      <c r="B30" t="str">
        <v>ZCL_IM_MDGC_CUSTOMERGOVERNANCE</v>
      </c>
      <c r="C30" t="str">
        <v>CPUB</v>
      </c>
      <c r="D30" t="str">
        <v>ZCL_IM_MDGC_CUSTOMERGOVERNANCE</v>
      </c>
      <c r="E30" t="str">
        <v>XXXX</v>
      </c>
      <c r="G30" t="str">
        <v>ALL</v>
      </c>
      <c r="K30" t="str">
        <v>E</v>
      </c>
      <c r="L30" t="str">
        <v>NSHAIK</v>
      </c>
      <c r="M30">
        <v>46020</v>
      </c>
      <c r="N30">
        <v>0.1946412037037</v>
      </c>
      <c r="Y30">
        <f>IF(Table1[[#This Row],[OPERATION]]="NOTE","NOTE",Table1[[#This Row],[SUB_TYPE]])</f>
        <v>0</v>
      </c>
      <c r="Z30">
        <f>IF(Table1[[#This Row],[OPERATION]]="NOTE",NUMBERVALUE(LEFT(Table1[[#This Row],[MOD_NAME]],LEN(Table1[[#This Row],[MOD_NAME]])-4)),Table1[[#This Row],[SUB_NAME]])</f>
        <v>0</v>
      </c>
      <c r="AA30" t="str">
        <f>CONCAT(Table1[[#This Row],[Final Obj Type]],"|",Table1[[#This Row],[Final Obj Name]])</f>
        <v>0|0</v>
      </c>
      <c r="AB30" t="e">
        <f>VLOOKUP(Table1[[#This Row],[Final Obj Type]],Classification!B:E,3,FALSE)</f>
        <v>#N/A</v>
      </c>
      <c r="AC30" t="e">
        <f>VLOOKUP(Table1[[#This Row],[Final Obj Type]],Classification!B:E,4,FALSE)</f>
        <v>#N/A</v>
      </c>
      <c r="AD30" t="str">
        <f>IF(Table1[[#This Row],[Position 1]]=0,"/0SAP/",MID(Table1[[#This Row],[Final Obj Name]],Table1[[#This Row],[Position 1]],Table1[[#This Row],[Position 2]]-Table1[[#This Row],[Position 1]]+1))</f>
        <v>/0SAP/</v>
      </c>
      <c r="AE30" t="str">
        <f>VLOOKUP(Table1[[#This Row],[/* Object]],Namespace!A:J,10,FALSE)</f>
        <v>SAP AG</v>
      </c>
      <c r="AF30" t="str">
        <f>IF(VLOOKUP(Table1[[#This Row],[/* Object]],Namespace!A:J,4,FALSE)=0,"",VLOOKUP(Table1[[#This Row],[/* Object]],Namespace!A:J,4,FALSE))</f>
        <v>X</v>
      </c>
      <c r="AG30" t="str">
        <f>IF(VLOOKUP(Table1[[#This Row],[/* Object]],Namespace!A:J,5,FALSE)=0,"",VLOOKUP(Table1[[#This Row],[/* Object]],Namespace!A:J,5,FALSE))</f>
        <v>X</v>
      </c>
      <c r="AH30" t="str">
        <f>IF(VLOOKUP(Table1[[#This Row],[/* Object]],Namespace!A:J,6,FALSE)=0,"",VLOOKUP(Table1[[#This Row],[/* Object]],Namespace!A:J,6,FALSE))</f>
        <v/>
      </c>
      <c r="AI30">
        <f>IFERROR(FIND("/",Table1[[#This Row],[Final Obj Name]],1),0)</f>
        <v>0</v>
      </c>
      <c r="AJ30">
        <f>IF(Table1[[#This Row],[Position 1]]=0,0,FIND("/",Table1[[#This Row],[Final Obj Name]],Table1[[#This Row],[Position 1]]+1))</f>
        <v>0</v>
      </c>
      <c r="AK30" t="str">
        <f>IF(LEFT(Table1[[#This Row],[Final Obj Name]],1)="/",LEFT(Table1[[#This Row],[Final Obj Name]],FIND("/",Table1[[#This Row],[Final Obj Name]],2)),"/0SAP/")</f>
        <v>/0SAP/</v>
      </c>
    </row>
    <row r="31">
      <c r="A31" t="str">
        <v>CLAS</v>
      </c>
      <c r="B31" t="str">
        <v>ZCL_IM_MDGC_GOVERNANCERULES</v>
      </c>
      <c r="C31" t="str">
        <v>CPRI</v>
      </c>
      <c r="D31" t="str">
        <v>ZCL_IM_MDGC_GOVERNANCERULES</v>
      </c>
      <c r="E31" t="str">
        <v>XXXX</v>
      </c>
      <c r="G31" t="str">
        <v>ALL</v>
      </c>
      <c r="K31" t="str">
        <v>E</v>
      </c>
      <c r="L31" t="str">
        <v>NSHAIK</v>
      </c>
      <c r="M31">
        <v>46020</v>
      </c>
      <c r="N31">
        <v>0.30377314814815</v>
      </c>
      <c r="Y31">
        <f>IF(Table1[[#This Row],[OPERATION]]="NOTE","NOTE",Table1[[#This Row],[SUB_TYPE]])</f>
        <v>0</v>
      </c>
      <c r="Z31">
        <f>IF(Table1[[#This Row],[OPERATION]]="NOTE",NUMBERVALUE(LEFT(Table1[[#This Row],[MOD_NAME]],LEN(Table1[[#This Row],[MOD_NAME]])-4)),Table1[[#This Row],[SUB_NAME]])</f>
        <v>0</v>
      </c>
      <c r="AA31" t="str">
        <f>CONCAT(Table1[[#This Row],[Final Obj Type]],"|",Table1[[#This Row],[Final Obj Name]])</f>
        <v>0|0</v>
      </c>
      <c r="AB31" t="e">
        <f>VLOOKUP(Table1[[#This Row],[Final Obj Type]],Classification!B:E,3,FALSE)</f>
        <v>#N/A</v>
      </c>
      <c r="AC31" t="e">
        <f>VLOOKUP(Table1[[#This Row],[Final Obj Type]],Classification!B:E,4,FALSE)</f>
        <v>#N/A</v>
      </c>
      <c r="AD31" t="str">
        <f>IF(Table1[[#This Row],[Position 1]]=0,"/0SAP/",MID(Table1[[#This Row],[Final Obj Name]],Table1[[#This Row],[Position 1]],Table1[[#This Row],[Position 2]]-Table1[[#This Row],[Position 1]]+1))</f>
        <v>/0SAP/</v>
      </c>
      <c r="AE31" t="str">
        <f>VLOOKUP(Table1[[#This Row],[/* Object]],Namespace!A:J,10,FALSE)</f>
        <v>SAP AG</v>
      </c>
      <c r="AF31" t="str">
        <f>IF(VLOOKUP(Table1[[#This Row],[/* Object]],Namespace!A:J,4,FALSE)=0,"",VLOOKUP(Table1[[#This Row],[/* Object]],Namespace!A:J,4,FALSE))</f>
        <v>X</v>
      </c>
      <c r="AG31" t="str">
        <f>IF(VLOOKUP(Table1[[#This Row],[/* Object]],Namespace!A:J,5,FALSE)=0,"",VLOOKUP(Table1[[#This Row],[/* Object]],Namespace!A:J,5,FALSE))</f>
        <v>X</v>
      </c>
      <c r="AH31" t="str">
        <f>IF(VLOOKUP(Table1[[#This Row],[/* Object]],Namespace!A:J,6,FALSE)=0,"",VLOOKUP(Table1[[#This Row],[/* Object]],Namespace!A:J,6,FALSE))</f>
        <v/>
      </c>
      <c r="AI31">
        <f>IFERROR(FIND("/",Table1[[#This Row],[Final Obj Name]],1),0)</f>
        <v>0</v>
      </c>
      <c r="AJ31">
        <f>IF(Table1[[#This Row],[Position 1]]=0,0,FIND("/",Table1[[#This Row],[Final Obj Name]],Table1[[#This Row],[Position 1]]+1))</f>
        <v>0</v>
      </c>
      <c r="AK31" t="str">
        <f>IF(LEFT(Table1[[#This Row],[Final Obj Name]],1)="/",LEFT(Table1[[#This Row],[Final Obj Name]],FIND("/",Table1[[#This Row],[Final Obj Name]],2)),"/0SAP/")</f>
        <v>/0SAP/</v>
      </c>
    </row>
    <row r="32">
      <c r="A32" t="str">
        <v>CLAS</v>
      </c>
      <c r="B32" t="str">
        <v>ZCL_IM_MDGC_GOVERNANCERULES</v>
      </c>
      <c r="C32" t="str">
        <v>CPRO</v>
      </c>
      <c r="D32" t="str">
        <v>ZCL_IM_MDGC_GOVERNANCERULES</v>
      </c>
      <c r="E32" t="str">
        <v>XXXX</v>
      </c>
      <c r="G32" t="str">
        <v>ALL</v>
      </c>
      <c r="K32" t="str">
        <v>E</v>
      </c>
      <c r="L32" t="str">
        <v>NSHAIK</v>
      </c>
      <c r="M32">
        <v>46020</v>
      </c>
      <c r="N32">
        <v>0.30377314814815</v>
      </c>
      <c r="Y32">
        <f>IF(Table1[[#This Row],[OPERATION]]="NOTE","NOTE",Table1[[#This Row],[SUB_TYPE]])</f>
        <v>0</v>
      </c>
      <c r="Z32">
        <f>IF(Table1[[#This Row],[OPERATION]]="NOTE",NUMBERVALUE(LEFT(Table1[[#This Row],[MOD_NAME]],LEN(Table1[[#This Row],[MOD_NAME]])-4)),Table1[[#This Row],[SUB_NAME]])</f>
        <v>0</v>
      </c>
      <c r="AA32" t="str">
        <f>CONCAT(Table1[[#This Row],[Final Obj Type]],"|",Table1[[#This Row],[Final Obj Name]])</f>
        <v>0|0</v>
      </c>
      <c r="AB32" t="e">
        <f>VLOOKUP(Table1[[#This Row],[Final Obj Type]],Classification!B:E,3,FALSE)</f>
        <v>#N/A</v>
      </c>
      <c r="AC32" t="e">
        <f>VLOOKUP(Table1[[#This Row],[Final Obj Type]],Classification!B:E,4,FALSE)</f>
        <v>#N/A</v>
      </c>
      <c r="AD32" t="str">
        <f>IF(Table1[[#This Row],[Position 1]]=0,"/0SAP/",MID(Table1[[#This Row],[Final Obj Name]],Table1[[#This Row],[Position 1]],Table1[[#This Row],[Position 2]]-Table1[[#This Row],[Position 1]]+1))</f>
        <v>/0SAP/</v>
      </c>
      <c r="AE32" t="str">
        <f>VLOOKUP(Table1[[#This Row],[/* Object]],Namespace!A:J,10,FALSE)</f>
        <v>SAP AG</v>
      </c>
      <c r="AF32" t="str">
        <f>IF(VLOOKUP(Table1[[#This Row],[/* Object]],Namespace!A:J,4,FALSE)=0,"",VLOOKUP(Table1[[#This Row],[/* Object]],Namespace!A:J,4,FALSE))</f>
        <v>X</v>
      </c>
      <c r="AG32" t="str">
        <f>IF(VLOOKUP(Table1[[#This Row],[/* Object]],Namespace!A:J,5,FALSE)=0,"",VLOOKUP(Table1[[#This Row],[/* Object]],Namespace!A:J,5,FALSE))</f>
        <v>X</v>
      </c>
      <c r="AH32" t="str">
        <f>IF(VLOOKUP(Table1[[#This Row],[/* Object]],Namespace!A:J,6,FALSE)=0,"",VLOOKUP(Table1[[#This Row],[/* Object]],Namespace!A:J,6,FALSE))</f>
        <v/>
      </c>
      <c r="AI32">
        <f>IFERROR(FIND("/",Table1[[#This Row],[Final Obj Name]],1),0)</f>
        <v>0</v>
      </c>
      <c r="AJ32">
        <f>IF(Table1[[#This Row],[Position 1]]=0,0,FIND("/",Table1[[#This Row],[Final Obj Name]],Table1[[#This Row],[Position 1]]+1))</f>
        <v>0</v>
      </c>
      <c r="AK32" t="str">
        <f>IF(LEFT(Table1[[#This Row],[Final Obj Name]],1)="/",LEFT(Table1[[#This Row],[Final Obj Name]],FIND("/",Table1[[#This Row],[Final Obj Name]],2)),"/0SAP/")</f>
        <v>/0SAP/</v>
      </c>
    </row>
    <row r="33">
      <c r="A33" t="str">
        <v>CLAS</v>
      </c>
      <c r="B33" t="str">
        <v>ZCL_IM_MDGC_GOVERNANCERULES</v>
      </c>
      <c r="C33" t="str">
        <v>CPUB</v>
      </c>
      <c r="D33" t="str">
        <v>ZCL_IM_MDGC_GOVERNANCERULES</v>
      </c>
      <c r="E33" t="str">
        <v>XXXX</v>
      </c>
      <c r="G33" t="str">
        <v>ALL</v>
      </c>
      <c r="K33" t="str">
        <v>E</v>
      </c>
      <c r="L33" t="str">
        <v>NSHAIK</v>
      </c>
      <c r="M33">
        <v>46020</v>
      </c>
      <c r="N33">
        <v>0.30377314814815</v>
      </c>
      <c r="Y33">
        <f>IF(Table1[[#This Row],[OPERATION]]="NOTE","NOTE",Table1[[#This Row],[SUB_TYPE]])</f>
        <v>0</v>
      </c>
      <c r="Z33">
        <f>IF(Table1[[#This Row],[OPERATION]]="NOTE",NUMBERVALUE(LEFT(Table1[[#This Row],[MOD_NAME]],LEN(Table1[[#This Row],[MOD_NAME]])-4)),Table1[[#This Row],[SUB_NAME]])</f>
        <v>0</v>
      </c>
      <c r="AA33" t="str">
        <f>CONCAT(Table1[[#This Row],[Final Obj Type]],"|",Table1[[#This Row],[Final Obj Name]])</f>
        <v>0|0</v>
      </c>
      <c r="AB33" t="e">
        <f>VLOOKUP(Table1[[#This Row],[Final Obj Type]],Classification!B:E,3,FALSE)</f>
        <v>#N/A</v>
      </c>
      <c r="AC33" t="e">
        <f>VLOOKUP(Table1[[#This Row],[Final Obj Type]],Classification!B:E,4,FALSE)</f>
        <v>#N/A</v>
      </c>
      <c r="AD33" t="str">
        <f>IF(Table1[[#This Row],[Position 1]]=0,"/0SAP/",MID(Table1[[#This Row],[Final Obj Name]],Table1[[#This Row],[Position 1]],Table1[[#This Row],[Position 2]]-Table1[[#This Row],[Position 1]]+1))</f>
        <v>/0SAP/</v>
      </c>
      <c r="AE33" t="str">
        <f>VLOOKUP(Table1[[#This Row],[/* Object]],Namespace!A:J,10,FALSE)</f>
        <v>SAP AG</v>
      </c>
      <c r="AF33" t="str">
        <f>IF(VLOOKUP(Table1[[#This Row],[/* Object]],Namespace!A:J,4,FALSE)=0,"",VLOOKUP(Table1[[#This Row],[/* Object]],Namespace!A:J,4,FALSE))</f>
        <v>X</v>
      </c>
      <c r="AG33" t="str">
        <f>IF(VLOOKUP(Table1[[#This Row],[/* Object]],Namespace!A:J,5,FALSE)=0,"",VLOOKUP(Table1[[#This Row],[/* Object]],Namespace!A:J,5,FALSE))</f>
        <v>X</v>
      </c>
      <c r="AH33" t="str">
        <f>IF(VLOOKUP(Table1[[#This Row],[/* Object]],Namespace!A:J,6,FALSE)=0,"",VLOOKUP(Table1[[#This Row],[/* Object]],Namespace!A:J,6,FALSE))</f>
        <v/>
      </c>
      <c r="AI33">
        <f>IFERROR(FIND("/",Table1[[#This Row],[Final Obj Name]],1),0)</f>
        <v>0</v>
      </c>
      <c r="AJ33">
        <f>IF(Table1[[#This Row],[Position 1]]=0,0,FIND("/",Table1[[#This Row],[Final Obj Name]],Table1[[#This Row],[Position 1]]+1))</f>
        <v>0</v>
      </c>
      <c r="AK33" t="str">
        <f>IF(LEFT(Table1[[#This Row],[Final Obj Name]],1)="/",LEFT(Table1[[#This Row],[Final Obj Name]],FIND("/",Table1[[#This Row],[Final Obj Name]],2)),"/0SAP/")</f>
        <v>/0SAP/</v>
      </c>
    </row>
    <row r="34">
      <c r="A34" t="str">
        <v>CLAS</v>
      </c>
      <c r="B34" t="str">
        <v>ZCL_IM_MDGC_GOVERNANCERULES</v>
      </c>
      <c r="C34" t="str">
        <v>METH</v>
      </c>
      <c r="D34" t="str">
        <v>ZCL_IM_MDGC_GOVERNANCERULES   IF_EX_USMD_RULE_SERVICE~CHECK_ENTITY</v>
      </c>
      <c r="E34" t="str">
        <v>DUMY</v>
      </c>
      <c r="G34" t="str">
        <v>ALL</v>
      </c>
      <c r="H34" t="str">
        <v>ZCL_IM_MDGC_GOVERNANCERULES===CP</v>
      </c>
      <c r="L34" t="str">
        <v>NSHAIK</v>
      </c>
      <c r="M34">
        <v>46021</v>
      </c>
      <c r="N34">
        <v>0.57787037037037</v>
      </c>
      <c r="Y34">
        <f>IF(Table1[[#This Row],[OPERATION]]="NOTE","NOTE",Table1[[#This Row],[SUB_TYPE]])</f>
        <v>0</v>
      </c>
      <c r="Z34">
        <f>IF(Table1[[#This Row],[OPERATION]]="NOTE",NUMBERVALUE(LEFT(Table1[[#This Row],[MOD_NAME]],LEN(Table1[[#This Row],[MOD_NAME]])-4)),Table1[[#This Row],[SUB_NAME]])</f>
        <v>0</v>
      </c>
      <c r="AA34" t="str">
        <f>CONCAT(Table1[[#This Row],[Final Obj Type]],"|",Table1[[#This Row],[Final Obj Name]])</f>
        <v>0|0</v>
      </c>
      <c r="AB34" t="e">
        <f>VLOOKUP(Table1[[#This Row],[Final Obj Type]],Classification!B:E,3,FALSE)</f>
        <v>#N/A</v>
      </c>
      <c r="AC34" t="e">
        <f>VLOOKUP(Table1[[#This Row],[Final Obj Type]],Classification!B:E,4,FALSE)</f>
        <v>#N/A</v>
      </c>
      <c r="AD34" t="str">
        <f>IF(Table1[[#This Row],[Position 1]]=0,"/0SAP/",MID(Table1[[#This Row],[Final Obj Name]],Table1[[#This Row],[Position 1]],Table1[[#This Row],[Position 2]]-Table1[[#This Row],[Position 1]]+1))</f>
        <v>/0SAP/</v>
      </c>
      <c r="AE34" t="str">
        <f>VLOOKUP(Table1[[#This Row],[/* Object]],Namespace!A:J,10,FALSE)</f>
        <v>SAP AG</v>
      </c>
      <c r="AF34" t="str">
        <f>IF(VLOOKUP(Table1[[#This Row],[/* Object]],Namespace!A:J,4,FALSE)=0,"",VLOOKUP(Table1[[#This Row],[/* Object]],Namespace!A:J,4,FALSE))</f>
        <v>X</v>
      </c>
      <c r="AG34" t="str">
        <f>IF(VLOOKUP(Table1[[#This Row],[/* Object]],Namespace!A:J,5,FALSE)=0,"",VLOOKUP(Table1[[#This Row],[/* Object]],Namespace!A:J,5,FALSE))</f>
        <v>X</v>
      </c>
      <c r="AH34" t="str">
        <f>IF(VLOOKUP(Table1[[#This Row],[/* Object]],Namespace!A:J,6,FALSE)=0,"",VLOOKUP(Table1[[#This Row],[/* Object]],Namespace!A:J,6,FALSE))</f>
        <v/>
      </c>
      <c r="AI34">
        <f>IFERROR(FIND("/",Table1[[#This Row],[Final Obj Name]],1),0)</f>
        <v>0</v>
      </c>
      <c r="AJ34">
        <f>IF(Table1[[#This Row],[Position 1]]=0,0,FIND("/",Table1[[#This Row],[Final Obj Name]],Table1[[#This Row],[Position 1]]+1))</f>
        <v>0</v>
      </c>
      <c r="AK34" t="str">
        <f>IF(LEFT(Table1[[#This Row],[Final Obj Name]],1)="/",LEFT(Table1[[#This Row],[Final Obj Name]],FIND("/",Table1[[#This Row],[Final Obj Name]],2)),"/0SAP/")</f>
        <v>/0SAP/</v>
      </c>
    </row>
    <row r="35">
      <c r="A35" t="str">
        <v>CLAS</v>
      </c>
      <c r="B35" t="str">
        <v>ZCL_IM_NOTIF_EVENT_POST_01</v>
      </c>
      <c r="C35" t="str">
        <v>CPRI</v>
      </c>
      <c r="D35" t="str">
        <v>ZCL_IM_NOTIF_EVENT_POST_01</v>
      </c>
      <c r="E35" t="str">
        <v>XXXX</v>
      </c>
      <c r="G35" t="str">
        <v>ALL</v>
      </c>
      <c r="K35" t="str">
        <v>E</v>
      </c>
      <c r="L35" t="str">
        <v>CST_ACHAUHAN</v>
      </c>
      <c r="M35">
        <v>43739</v>
      </c>
      <c r="N35">
        <v>0.21435185185185</v>
      </c>
      <c r="Y35">
        <f>IF(Table1[[#This Row],[OPERATION]]="NOTE","NOTE",Table1[[#This Row],[SUB_TYPE]])</f>
        <v>0</v>
      </c>
      <c r="Z35">
        <f>IF(Table1[[#This Row],[OPERATION]]="NOTE",NUMBERVALUE(LEFT(Table1[[#This Row],[MOD_NAME]],LEN(Table1[[#This Row],[MOD_NAME]])-4)),Table1[[#This Row],[SUB_NAME]])</f>
        <v>0</v>
      </c>
      <c r="AA35" t="str">
        <f>CONCAT(Table1[[#This Row],[Final Obj Type]],"|",Table1[[#This Row],[Final Obj Name]])</f>
        <v>0|0</v>
      </c>
      <c r="AB35" t="e">
        <f>VLOOKUP(Table1[[#This Row],[Final Obj Type]],Classification!B:E,3,FALSE)</f>
        <v>#N/A</v>
      </c>
      <c r="AC35" t="e">
        <f>VLOOKUP(Table1[[#This Row],[Final Obj Type]],Classification!B:E,4,FALSE)</f>
        <v>#N/A</v>
      </c>
      <c r="AD35" t="str">
        <f>IF(Table1[[#This Row],[Position 1]]=0,"/0SAP/",MID(Table1[[#This Row],[Final Obj Name]],Table1[[#This Row],[Position 1]],Table1[[#This Row],[Position 2]]-Table1[[#This Row],[Position 1]]+1))</f>
        <v>/0SAP/</v>
      </c>
      <c r="AE35" t="str">
        <f>VLOOKUP(Table1[[#This Row],[/* Object]],Namespace!A:J,10,FALSE)</f>
        <v>SAP AG</v>
      </c>
      <c r="AF35" t="str">
        <f>IF(VLOOKUP(Table1[[#This Row],[/* Object]],Namespace!A:J,4,FALSE)=0,"",VLOOKUP(Table1[[#This Row],[/* Object]],Namespace!A:J,4,FALSE))</f>
        <v>X</v>
      </c>
      <c r="AG35" t="str">
        <f>IF(VLOOKUP(Table1[[#This Row],[/* Object]],Namespace!A:J,5,FALSE)=0,"",VLOOKUP(Table1[[#This Row],[/* Object]],Namespace!A:J,5,FALSE))</f>
        <v>X</v>
      </c>
      <c r="AH35" t="str">
        <f>IF(VLOOKUP(Table1[[#This Row],[/* Object]],Namespace!A:J,6,FALSE)=0,"",VLOOKUP(Table1[[#This Row],[/* Object]],Namespace!A:J,6,FALSE))</f>
        <v/>
      </c>
      <c r="AI35">
        <f>IFERROR(FIND("/",Table1[[#This Row],[Final Obj Name]],1),0)</f>
        <v>0</v>
      </c>
      <c r="AJ35">
        <f>IF(Table1[[#This Row],[Position 1]]=0,0,FIND("/",Table1[[#This Row],[Final Obj Name]],Table1[[#This Row],[Position 1]]+1))</f>
        <v>0</v>
      </c>
      <c r="AK35" t="str">
        <f>IF(LEFT(Table1[[#This Row],[Final Obj Name]],1)="/",LEFT(Table1[[#This Row],[Final Obj Name]],FIND("/",Table1[[#This Row],[Final Obj Name]],2)),"/0SAP/")</f>
        <v>/0SAP/</v>
      </c>
    </row>
    <row r="36">
      <c r="A36" t="str">
        <v>CLAS</v>
      </c>
      <c r="B36" t="str">
        <v>ZCL_IM_NOTIF_EVENT_POST_01</v>
      </c>
      <c r="C36" t="str">
        <v>CPRO</v>
      </c>
      <c r="D36" t="str">
        <v>ZCL_IM_NOTIF_EVENT_POST_01</v>
      </c>
      <c r="E36" t="str">
        <v>XXXX</v>
      </c>
      <c r="G36" t="str">
        <v>ALL</v>
      </c>
      <c r="K36" t="str">
        <v>E</v>
      </c>
      <c r="L36" t="str">
        <v>CST_ACHAUHAN</v>
      </c>
      <c r="M36">
        <v>43739</v>
      </c>
      <c r="N36">
        <v>0.21435185185185</v>
      </c>
      <c r="Y36">
        <f>IF(Table1[[#This Row],[OPERATION]]="NOTE","NOTE",Table1[[#This Row],[SUB_TYPE]])</f>
        <v>0</v>
      </c>
      <c r="Z36">
        <f>IF(Table1[[#This Row],[OPERATION]]="NOTE",NUMBERVALUE(LEFT(Table1[[#This Row],[MOD_NAME]],LEN(Table1[[#This Row],[MOD_NAME]])-4)),Table1[[#This Row],[SUB_NAME]])</f>
        <v>0</v>
      </c>
      <c r="AA36" t="str">
        <f>CONCAT(Table1[[#This Row],[Final Obj Type]],"|",Table1[[#This Row],[Final Obj Name]])</f>
        <v>0|0</v>
      </c>
      <c r="AB36" t="e">
        <f>VLOOKUP(Table1[[#This Row],[Final Obj Type]],Classification!B:E,3,FALSE)</f>
        <v>#N/A</v>
      </c>
      <c r="AC36" t="e">
        <f>VLOOKUP(Table1[[#This Row],[Final Obj Type]],Classification!B:E,4,FALSE)</f>
        <v>#N/A</v>
      </c>
      <c r="AD36" t="str">
        <f>IF(Table1[[#This Row],[Position 1]]=0,"/0SAP/",MID(Table1[[#This Row],[Final Obj Name]],Table1[[#This Row],[Position 1]],Table1[[#This Row],[Position 2]]-Table1[[#This Row],[Position 1]]+1))</f>
        <v>/0SAP/</v>
      </c>
      <c r="AE36" t="str">
        <f>VLOOKUP(Table1[[#This Row],[/* Object]],Namespace!A:J,10,FALSE)</f>
        <v>SAP AG</v>
      </c>
      <c r="AF36" t="str">
        <f>IF(VLOOKUP(Table1[[#This Row],[/* Object]],Namespace!A:J,4,FALSE)=0,"",VLOOKUP(Table1[[#This Row],[/* Object]],Namespace!A:J,4,FALSE))</f>
        <v>X</v>
      </c>
      <c r="AG36" t="str">
        <f>IF(VLOOKUP(Table1[[#This Row],[/* Object]],Namespace!A:J,5,FALSE)=0,"",VLOOKUP(Table1[[#This Row],[/* Object]],Namespace!A:J,5,FALSE))</f>
        <v>X</v>
      </c>
      <c r="AH36" t="str">
        <f>IF(VLOOKUP(Table1[[#This Row],[/* Object]],Namespace!A:J,6,FALSE)=0,"",VLOOKUP(Table1[[#This Row],[/* Object]],Namespace!A:J,6,FALSE))</f>
        <v/>
      </c>
      <c r="AI36">
        <f>IFERROR(FIND("/",Table1[[#This Row],[Final Obj Name]],1),0)</f>
        <v>0</v>
      </c>
      <c r="AJ36">
        <f>IF(Table1[[#This Row],[Position 1]]=0,0,FIND("/",Table1[[#This Row],[Final Obj Name]],Table1[[#This Row],[Position 1]]+1))</f>
        <v>0</v>
      </c>
      <c r="AK36" t="str">
        <f>IF(LEFT(Table1[[#This Row],[Final Obj Name]],1)="/",LEFT(Table1[[#This Row],[Final Obj Name]],FIND("/",Table1[[#This Row],[Final Obj Name]],2)),"/0SAP/")</f>
        <v>/0SAP/</v>
      </c>
    </row>
    <row r="37">
      <c r="A37" t="str">
        <v>CLAS</v>
      </c>
      <c r="B37" t="str">
        <v>ZCL_IM_NOTIF_EVENT_POST_01</v>
      </c>
      <c r="C37" t="str">
        <v>CPUB</v>
      </c>
      <c r="D37" t="str">
        <v>ZCL_IM_NOTIF_EVENT_POST_01</v>
      </c>
      <c r="E37" t="str">
        <v>XXXX</v>
      </c>
      <c r="G37" t="str">
        <v>ALL</v>
      </c>
      <c r="K37" t="str">
        <v>E</v>
      </c>
      <c r="L37" t="str">
        <v>CST_ACHAUHAN</v>
      </c>
      <c r="M37">
        <v>43739</v>
      </c>
      <c r="N37">
        <v>0.21435185185185</v>
      </c>
      <c r="Y37">
        <f>IF(Table1[[#This Row],[OPERATION]]="NOTE","NOTE",Table1[[#This Row],[SUB_TYPE]])</f>
        <v>0</v>
      </c>
      <c r="Z37">
        <f>IF(Table1[[#This Row],[OPERATION]]="NOTE",NUMBERVALUE(LEFT(Table1[[#This Row],[MOD_NAME]],LEN(Table1[[#This Row],[MOD_NAME]])-4)),Table1[[#This Row],[SUB_NAME]])</f>
        <v>0</v>
      </c>
      <c r="AA37" t="str">
        <f>CONCAT(Table1[[#This Row],[Final Obj Type]],"|",Table1[[#This Row],[Final Obj Name]])</f>
        <v>0|0</v>
      </c>
      <c r="AB37" t="e">
        <f>VLOOKUP(Table1[[#This Row],[Final Obj Type]],Classification!B:E,3,FALSE)</f>
        <v>#N/A</v>
      </c>
      <c r="AC37" t="e">
        <f>VLOOKUP(Table1[[#This Row],[Final Obj Type]],Classification!B:E,4,FALSE)</f>
        <v>#N/A</v>
      </c>
      <c r="AD37" t="str">
        <f>IF(Table1[[#This Row],[Position 1]]=0,"/0SAP/",MID(Table1[[#This Row],[Final Obj Name]],Table1[[#This Row],[Position 1]],Table1[[#This Row],[Position 2]]-Table1[[#This Row],[Position 1]]+1))</f>
        <v>/0SAP/</v>
      </c>
      <c r="AE37" t="str">
        <f>VLOOKUP(Table1[[#This Row],[/* Object]],Namespace!A:J,10,FALSE)</f>
        <v>SAP AG</v>
      </c>
      <c r="AF37" t="str">
        <f>IF(VLOOKUP(Table1[[#This Row],[/* Object]],Namespace!A:J,4,FALSE)=0,"",VLOOKUP(Table1[[#This Row],[/* Object]],Namespace!A:J,4,FALSE))</f>
        <v>X</v>
      </c>
      <c r="AG37" t="str">
        <f>IF(VLOOKUP(Table1[[#This Row],[/* Object]],Namespace!A:J,5,FALSE)=0,"",VLOOKUP(Table1[[#This Row],[/* Object]],Namespace!A:J,5,FALSE))</f>
        <v>X</v>
      </c>
      <c r="AH37" t="str">
        <f>IF(VLOOKUP(Table1[[#This Row],[/* Object]],Namespace!A:J,6,FALSE)=0,"",VLOOKUP(Table1[[#This Row],[/* Object]],Namespace!A:J,6,FALSE))</f>
        <v/>
      </c>
      <c r="AI37">
        <f>IFERROR(FIND("/",Table1[[#This Row],[Final Obj Name]],1),0)</f>
        <v>0</v>
      </c>
      <c r="AJ37">
        <f>IF(Table1[[#This Row],[Position 1]]=0,0,FIND("/",Table1[[#This Row],[Final Obj Name]],Table1[[#This Row],[Position 1]]+1))</f>
        <v>0</v>
      </c>
      <c r="AK37" t="str">
        <f>IF(LEFT(Table1[[#This Row],[Final Obj Name]],1)="/",LEFT(Table1[[#This Row],[Final Obj Name]],FIND("/",Table1[[#This Row],[Final Obj Name]],2)),"/0SAP/")</f>
        <v>/0SAP/</v>
      </c>
    </row>
    <row r="38">
      <c r="A38" t="str">
        <v>CLAS</v>
      </c>
      <c r="B38" t="str">
        <v>ZCL_IM_NOTIF_EVENT_POST_01</v>
      </c>
      <c r="C38" t="str">
        <v>REPT</v>
      </c>
      <c r="D38" t="str">
        <v>ZCL_IM_NOTIF_EVENT_POST_01====CP</v>
      </c>
      <c r="G38" t="str">
        <v>ALL</v>
      </c>
      <c r="H38" t="str">
        <v>ZCL_IM_NOTIF_EVENT_POST_01====CP</v>
      </c>
      <c r="K38" t="str">
        <v>E</v>
      </c>
      <c r="L38" t="str">
        <v>CST_ACHAUHAN</v>
      </c>
      <c r="M38">
        <v>43747</v>
      </c>
      <c r="N38">
        <v>0.22591435185185</v>
      </c>
      <c r="W38" t="str">
        <v>SP1K902382</v>
      </c>
      <c r="Y38">
        <f>IF(Table1[[#This Row],[OPERATION]]="NOTE","NOTE",Table1[[#This Row],[SUB_TYPE]])</f>
        <v>0</v>
      </c>
      <c r="Z38">
        <f>IF(Table1[[#This Row],[OPERATION]]="NOTE",NUMBERVALUE(LEFT(Table1[[#This Row],[MOD_NAME]],LEN(Table1[[#This Row],[MOD_NAME]])-4)),Table1[[#This Row],[SUB_NAME]])</f>
        <v>0</v>
      </c>
      <c r="AA38" t="str">
        <f>CONCAT(Table1[[#This Row],[Final Obj Type]],"|",Table1[[#This Row],[Final Obj Name]])</f>
        <v>0|0</v>
      </c>
      <c r="AB38" t="e">
        <f>VLOOKUP(Table1[[#This Row],[Final Obj Type]],Classification!B:E,3,FALSE)</f>
        <v>#N/A</v>
      </c>
      <c r="AC38" t="e">
        <f>VLOOKUP(Table1[[#This Row],[Final Obj Type]],Classification!B:E,4,FALSE)</f>
        <v>#N/A</v>
      </c>
      <c r="AD38" t="str">
        <f>IF(Table1[[#This Row],[Position 1]]=0,"/0SAP/",MID(Table1[[#This Row],[Final Obj Name]],Table1[[#This Row],[Position 1]],Table1[[#This Row],[Position 2]]-Table1[[#This Row],[Position 1]]+1))</f>
        <v>/0SAP/</v>
      </c>
      <c r="AE38" t="str">
        <f>VLOOKUP(Table1[[#This Row],[/* Object]],Namespace!A:J,10,FALSE)</f>
        <v>SAP AG</v>
      </c>
      <c r="AF38" t="str">
        <f>IF(VLOOKUP(Table1[[#This Row],[/* Object]],Namespace!A:J,4,FALSE)=0,"",VLOOKUP(Table1[[#This Row],[/* Object]],Namespace!A:J,4,FALSE))</f>
        <v>X</v>
      </c>
      <c r="AG38" t="str">
        <f>IF(VLOOKUP(Table1[[#This Row],[/* Object]],Namespace!A:J,5,FALSE)=0,"",VLOOKUP(Table1[[#This Row],[/* Object]],Namespace!A:J,5,FALSE))</f>
        <v>X</v>
      </c>
      <c r="AH38" t="str">
        <f>IF(VLOOKUP(Table1[[#This Row],[/* Object]],Namespace!A:J,6,FALSE)=0,"",VLOOKUP(Table1[[#This Row],[/* Object]],Namespace!A:J,6,FALSE))</f>
        <v/>
      </c>
      <c r="AI38">
        <f>IFERROR(FIND("/",Table1[[#This Row],[Final Obj Name]],1),0)</f>
        <v>0</v>
      </c>
      <c r="AJ38">
        <f>IF(Table1[[#This Row],[Position 1]]=0,0,FIND("/",Table1[[#This Row],[Final Obj Name]],Table1[[#This Row],[Position 1]]+1))</f>
        <v>0</v>
      </c>
      <c r="AK38" t="str">
        <f>IF(LEFT(Table1[[#This Row],[Final Obj Name]],1)="/",LEFT(Table1[[#This Row],[Final Obj Name]],FIND("/",Table1[[#This Row],[Final Obj Name]],2)),"/0SAP/")</f>
        <v>/0SAP/</v>
      </c>
    </row>
    <row r="39">
      <c r="A39" t="str">
        <v>CLAS</v>
      </c>
      <c r="B39" t="str">
        <v>ZCL_IM_NOTIF_EVENT_POST_01</v>
      </c>
      <c r="C39" t="str">
        <v>REPT</v>
      </c>
      <c r="D39" t="str">
        <v>ZCL_IM_NOTIF_EVENT_POST_01====CP</v>
      </c>
      <c r="E39" t="str">
        <v>XXXX</v>
      </c>
      <c r="G39" t="str">
        <v>ALL</v>
      </c>
      <c r="H39" t="str">
        <v>ZCL_IM_NOTIF_EVENT_POST_01====CP</v>
      </c>
      <c r="K39" t="str">
        <v>E</v>
      </c>
      <c r="L39" t="str">
        <v>CST_ACHAUHAN</v>
      </c>
      <c r="M39">
        <v>43747</v>
      </c>
      <c r="N39">
        <v>0.40012731481481</v>
      </c>
      <c r="W39" t="str">
        <v>SP1K902382</v>
      </c>
      <c r="Y39">
        <f>IF(Table1[[#This Row],[OPERATION]]="NOTE","NOTE",Table1[[#This Row],[SUB_TYPE]])</f>
        <v>0</v>
      </c>
      <c r="Z39">
        <f>IF(Table1[[#This Row],[OPERATION]]="NOTE",NUMBERVALUE(LEFT(Table1[[#This Row],[MOD_NAME]],LEN(Table1[[#This Row],[MOD_NAME]])-4)),Table1[[#This Row],[SUB_NAME]])</f>
        <v>0</v>
      </c>
      <c r="AA39" t="str">
        <f>CONCAT(Table1[[#This Row],[Final Obj Type]],"|",Table1[[#This Row],[Final Obj Name]])</f>
        <v>0|0</v>
      </c>
      <c r="AB39" t="e">
        <f>VLOOKUP(Table1[[#This Row],[Final Obj Type]],Classification!B:E,3,FALSE)</f>
        <v>#N/A</v>
      </c>
      <c r="AC39" t="e">
        <f>VLOOKUP(Table1[[#This Row],[Final Obj Type]],Classification!B:E,4,FALSE)</f>
        <v>#N/A</v>
      </c>
      <c r="AD39" t="str">
        <f>IF(Table1[[#This Row],[Position 1]]=0,"/0SAP/",MID(Table1[[#This Row],[Final Obj Name]],Table1[[#This Row],[Position 1]],Table1[[#This Row],[Position 2]]-Table1[[#This Row],[Position 1]]+1))</f>
        <v>/0SAP/</v>
      </c>
      <c r="AE39" t="str">
        <f>VLOOKUP(Table1[[#This Row],[/* Object]],Namespace!A:J,10,FALSE)</f>
        <v>SAP AG</v>
      </c>
      <c r="AF39" t="str">
        <f>IF(VLOOKUP(Table1[[#This Row],[/* Object]],Namespace!A:J,4,FALSE)=0,"",VLOOKUP(Table1[[#This Row],[/* Object]],Namespace!A:J,4,FALSE))</f>
        <v>X</v>
      </c>
      <c r="AG39" t="str">
        <f>IF(VLOOKUP(Table1[[#This Row],[/* Object]],Namespace!A:J,5,FALSE)=0,"",VLOOKUP(Table1[[#This Row],[/* Object]],Namespace!A:J,5,FALSE))</f>
        <v>X</v>
      </c>
      <c r="AH39" t="str">
        <f>IF(VLOOKUP(Table1[[#This Row],[/* Object]],Namespace!A:J,6,FALSE)=0,"",VLOOKUP(Table1[[#This Row],[/* Object]],Namespace!A:J,6,FALSE))</f>
        <v/>
      </c>
      <c r="AI39">
        <f>IFERROR(FIND("/",Table1[[#This Row],[Final Obj Name]],1),0)</f>
        <v>0</v>
      </c>
      <c r="AJ39">
        <f>IF(Table1[[#This Row],[Position 1]]=0,0,FIND("/",Table1[[#This Row],[Final Obj Name]],Table1[[#This Row],[Position 1]]+1))</f>
        <v>0</v>
      </c>
      <c r="AK39" t="str">
        <f>IF(LEFT(Table1[[#This Row],[Final Obj Name]],1)="/",LEFT(Table1[[#This Row],[Final Obj Name]],FIND("/",Table1[[#This Row],[Final Obj Name]],2)),"/0SAP/")</f>
        <v>/0SAP/</v>
      </c>
    </row>
    <row r="40">
      <c r="A40" t="str">
        <v>CLAS</v>
      </c>
      <c r="B40" t="str">
        <v>ZCL_IM_PTM_UPD_CTRL_KEY</v>
      </c>
      <c r="C40" t="str">
        <v>CPRI</v>
      </c>
      <c r="D40" t="str">
        <v>ZCL_IM_PTM_UPD_CTRL_KEY</v>
      </c>
      <c r="E40" t="str">
        <v>XXXX</v>
      </c>
      <c r="G40" t="str">
        <v>ALL</v>
      </c>
      <c r="K40" t="str">
        <v>E</v>
      </c>
      <c r="L40" t="str">
        <v>CST_SIVASANK</v>
      </c>
      <c r="M40">
        <v>45694</v>
      </c>
      <c r="N40">
        <v>0.3868287037037</v>
      </c>
      <c r="Y40">
        <f>IF(Table1[[#This Row],[OPERATION]]="NOTE","NOTE",Table1[[#This Row],[SUB_TYPE]])</f>
        <v>0</v>
      </c>
      <c r="Z40">
        <f>IF(Table1[[#This Row],[OPERATION]]="NOTE",NUMBERVALUE(LEFT(Table1[[#This Row],[MOD_NAME]],LEN(Table1[[#This Row],[MOD_NAME]])-4)),Table1[[#This Row],[SUB_NAME]])</f>
        <v>0</v>
      </c>
      <c r="AA40" t="str">
        <f>CONCAT(Table1[[#This Row],[Final Obj Type]],"|",Table1[[#This Row],[Final Obj Name]])</f>
        <v>0|0</v>
      </c>
      <c r="AB40" t="e">
        <f>VLOOKUP(Table1[[#This Row],[Final Obj Type]],Classification!B:E,3,FALSE)</f>
        <v>#N/A</v>
      </c>
      <c r="AC40" t="e">
        <f>VLOOKUP(Table1[[#This Row],[Final Obj Type]],Classification!B:E,4,FALSE)</f>
        <v>#N/A</v>
      </c>
      <c r="AD40" t="str">
        <f>IF(Table1[[#This Row],[Position 1]]=0,"/0SAP/",MID(Table1[[#This Row],[Final Obj Name]],Table1[[#This Row],[Position 1]],Table1[[#This Row],[Position 2]]-Table1[[#This Row],[Position 1]]+1))</f>
        <v>/0SAP/</v>
      </c>
      <c r="AE40" t="str">
        <f>VLOOKUP(Table1[[#This Row],[/* Object]],Namespace!A:J,10,FALSE)</f>
        <v>SAP AG</v>
      </c>
      <c r="AF40" t="str">
        <f>IF(VLOOKUP(Table1[[#This Row],[/* Object]],Namespace!A:J,4,FALSE)=0,"",VLOOKUP(Table1[[#This Row],[/* Object]],Namespace!A:J,4,FALSE))</f>
        <v>X</v>
      </c>
      <c r="AG40" t="str">
        <f>IF(VLOOKUP(Table1[[#This Row],[/* Object]],Namespace!A:J,5,FALSE)=0,"",VLOOKUP(Table1[[#This Row],[/* Object]],Namespace!A:J,5,FALSE))</f>
        <v>X</v>
      </c>
      <c r="AH40" t="str">
        <f>IF(VLOOKUP(Table1[[#This Row],[/* Object]],Namespace!A:J,6,FALSE)=0,"",VLOOKUP(Table1[[#This Row],[/* Object]],Namespace!A:J,6,FALSE))</f>
        <v/>
      </c>
      <c r="AI40">
        <f>IFERROR(FIND("/",Table1[[#This Row],[Final Obj Name]],1),0)</f>
        <v>0</v>
      </c>
      <c r="AJ40">
        <f>IF(Table1[[#This Row],[Position 1]]=0,0,FIND("/",Table1[[#This Row],[Final Obj Name]],Table1[[#This Row],[Position 1]]+1))</f>
        <v>0</v>
      </c>
      <c r="AK40" t="str">
        <f>IF(LEFT(Table1[[#This Row],[Final Obj Name]],1)="/",LEFT(Table1[[#This Row],[Final Obj Name]],FIND("/",Table1[[#This Row],[Final Obj Name]],2)),"/0SAP/")</f>
        <v>/0SAP/</v>
      </c>
    </row>
    <row r="41">
      <c r="A41" t="str">
        <v>CLAS</v>
      </c>
      <c r="B41" t="str">
        <v>ZCL_IM_PTM_UPD_CTRL_KEY</v>
      </c>
      <c r="C41" t="str">
        <v>CPRO</v>
      </c>
      <c r="D41" t="str">
        <v>ZCL_IM_PTM_UPD_CTRL_KEY</v>
      </c>
      <c r="E41" t="str">
        <v>XXXX</v>
      </c>
      <c r="G41" t="str">
        <v>ALL</v>
      </c>
      <c r="K41" t="str">
        <v>E</v>
      </c>
      <c r="L41" t="str">
        <v>CST_SIVASANK</v>
      </c>
      <c r="M41">
        <v>45694</v>
      </c>
      <c r="N41">
        <v>0.3868287037037</v>
      </c>
      <c r="Y41">
        <f>IF(Table1[[#This Row],[OPERATION]]="NOTE","NOTE",Table1[[#This Row],[SUB_TYPE]])</f>
        <v>0</v>
      </c>
      <c r="Z41">
        <f>IF(Table1[[#This Row],[OPERATION]]="NOTE",NUMBERVALUE(LEFT(Table1[[#This Row],[MOD_NAME]],LEN(Table1[[#This Row],[MOD_NAME]])-4)),Table1[[#This Row],[SUB_NAME]])</f>
        <v>0</v>
      </c>
      <c r="AA41" t="str">
        <f>CONCAT(Table1[[#This Row],[Final Obj Type]],"|",Table1[[#This Row],[Final Obj Name]])</f>
        <v>0|0</v>
      </c>
      <c r="AB41" t="e">
        <f>VLOOKUP(Table1[[#This Row],[Final Obj Type]],Classification!B:E,3,FALSE)</f>
        <v>#N/A</v>
      </c>
      <c r="AC41" t="e">
        <f>VLOOKUP(Table1[[#This Row],[Final Obj Type]],Classification!B:E,4,FALSE)</f>
        <v>#N/A</v>
      </c>
      <c r="AD41" t="str">
        <f>IF(Table1[[#This Row],[Position 1]]=0,"/0SAP/",MID(Table1[[#This Row],[Final Obj Name]],Table1[[#This Row],[Position 1]],Table1[[#This Row],[Position 2]]-Table1[[#This Row],[Position 1]]+1))</f>
        <v>/0SAP/</v>
      </c>
      <c r="AE41" t="str">
        <f>VLOOKUP(Table1[[#This Row],[/* Object]],Namespace!A:J,10,FALSE)</f>
        <v>SAP AG</v>
      </c>
      <c r="AF41" t="str">
        <f>IF(VLOOKUP(Table1[[#This Row],[/* Object]],Namespace!A:J,4,FALSE)=0,"",VLOOKUP(Table1[[#This Row],[/* Object]],Namespace!A:J,4,FALSE))</f>
        <v>X</v>
      </c>
      <c r="AG41" t="str">
        <f>IF(VLOOKUP(Table1[[#This Row],[/* Object]],Namespace!A:J,5,FALSE)=0,"",VLOOKUP(Table1[[#This Row],[/* Object]],Namespace!A:J,5,FALSE))</f>
        <v>X</v>
      </c>
      <c r="AH41" t="str">
        <f>IF(VLOOKUP(Table1[[#This Row],[/* Object]],Namespace!A:J,6,FALSE)=0,"",VLOOKUP(Table1[[#This Row],[/* Object]],Namespace!A:J,6,FALSE))</f>
        <v/>
      </c>
      <c r="AI41">
        <f>IFERROR(FIND("/",Table1[[#This Row],[Final Obj Name]],1),0)</f>
        <v>0</v>
      </c>
      <c r="AJ41">
        <f>IF(Table1[[#This Row],[Position 1]]=0,0,FIND("/",Table1[[#This Row],[Final Obj Name]],Table1[[#This Row],[Position 1]]+1))</f>
        <v>0</v>
      </c>
      <c r="AK41" t="str">
        <f>IF(LEFT(Table1[[#This Row],[Final Obj Name]],1)="/",LEFT(Table1[[#This Row],[Final Obj Name]],FIND("/",Table1[[#This Row],[Final Obj Name]],2)),"/0SAP/")</f>
        <v>/0SAP/</v>
      </c>
    </row>
    <row r="42">
      <c r="A42" t="str">
        <v>CLAS</v>
      </c>
      <c r="B42" t="str">
        <v>ZCL_IM_PTM_UPD_CTRL_KEY</v>
      </c>
      <c r="C42" t="str">
        <v>CPUB</v>
      </c>
      <c r="D42" t="str">
        <v>ZCL_IM_PTM_UPD_CTRL_KEY</v>
      </c>
      <c r="E42" t="str">
        <v>XXXX</v>
      </c>
      <c r="G42" t="str">
        <v>ALL</v>
      </c>
      <c r="K42" t="str">
        <v>E</v>
      </c>
      <c r="L42" t="str">
        <v>CST_SIVASANK</v>
      </c>
      <c r="M42">
        <v>45694</v>
      </c>
      <c r="N42">
        <v>0.3868287037037</v>
      </c>
      <c r="Y42">
        <f>IF(Table1[[#This Row],[OPERATION]]="NOTE","NOTE",Table1[[#This Row],[SUB_TYPE]])</f>
        <v>0</v>
      </c>
      <c r="Z42">
        <f>IF(Table1[[#This Row],[OPERATION]]="NOTE",NUMBERVALUE(LEFT(Table1[[#This Row],[MOD_NAME]],LEN(Table1[[#This Row],[MOD_NAME]])-4)),Table1[[#This Row],[SUB_NAME]])</f>
        <v>0</v>
      </c>
      <c r="AA42" t="str">
        <f>CONCAT(Table1[[#This Row],[Final Obj Type]],"|",Table1[[#This Row],[Final Obj Name]])</f>
        <v>0|0</v>
      </c>
      <c r="AB42" t="e">
        <f>VLOOKUP(Table1[[#This Row],[Final Obj Type]],Classification!B:E,3,FALSE)</f>
        <v>#N/A</v>
      </c>
      <c r="AC42" t="e">
        <f>VLOOKUP(Table1[[#This Row],[Final Obj Type]],Classification!B:E,4,FALSE)</f>
        <v>#N/A</v>
      </c>
      <c r="AD42" t="str">
        <f>IF(Table1[[#This Row],[Position 1]]=0,"/0SAP/",MID(Table1[[#This Row],[Final Obj Name]],Table1[[#This Row],[Position 1]],Table1[[#This Row],[Position 2]]-Table1[[#This Row],[Position 1]]+1))</f>
        <v>/0SAP/</v>
      </c>
      <c r="AE42" t="str">
        <f>VLOOKUP(Table1[[#This Row],[/* Object]],Namespace!A:J,10,FALSE)</f>
        <v>SAP AG</v>
      </c>
      <c r="AF42" t="str">
        <f>IF(VLOOKUP(Table1[[#This Row],[/* Object]],Namespace!A:J,4,FALSE)=0,"",VLOOKUP(Table1[[#This Row],[/* Object]],Namespace!A:J,4,FALSE))</f>
        <v>X</v>
      </c>
      <c r="AG42" t="str">
        <f>IF(VLOOKUP(Table1[[#This Row],[/* Object]],Namespace!A:J,5,FALSE)=0,"",VLOOKUP(Table1[[#This Row],[/* Object]],Namespace!A:J,5,FALSE))</f>
        <v>X</v>
      </c>
      <c r="AH42" t="str">
        <f>IF(VLOOKUP(Table1[[#This Row],[/* Object]],Namespace!A:J,6,FALSE)=0,"",VLOOKUP(Table1[[#This Row],[/* Object]],Namespace!A:J,6,FALSE))</f>
        <v/>
      </c>
      <c r="AI42">
        <f>IFERROR(FIND("/",Table1[[#This Row],[Final Obj Name]],1),0)</f>
        <v>0</v>
      </c>
      <c r="AJ42">
        <f>IF(Table1[[#This Row],[Position 1]]=0,0,FIND("/",Table1[[#This Row],[Final Obj Name]],Table1[[#This Row],[Position 1]]+1))</f>
        <v>0</v>
      </c>
      <c r="AK42" t="str">
        <f>IF(LEFT(Table1[[#This Row],[Final Obj Name]],1)="/",LEFT(Table1[[#This Row],[Final Obj Name]],FIND("/",Table1[[#This Row],[Final Obj Name]],2)),"/0SAP/")</f>
        <v>/0SAP/</v>
      </c>
    </row>
    <row r="43">
      <c r="A43" t="str">
        <v>CLAS</v>
      </c>
      <c r="B43" t="str">
        <v>ZCL_IM_STR_ADD_CUST_FIELDS</v>
      </c>
      <c r="C43" t="str">
        <v>METH</v>
      </c>
      <c r="D43" t="str">
        <v>ZCL_IM_STR_ADD_CUST_FIELDS    IF_EX_IHREP_EXTENSIONS~CHANGE_ODER_OPERATION_RES</v>
      </c>
      <c r="E43" t="str">
        <v>PN</v>
      </c>
      <c r="G43" t="str">
        <v>MOD</v>
      </c>
      <c r="H43" t="str">
        <v>ZCL_IM_STR_ADD_CUST_FIELDS====CP</v>
      </c>
      <c r="K43" t="str">
        <v>E</v>
      </c>
      <c r="L43" t="str">
        <v>CST_SOURYA</v>
      </c>
      <c r="M43">
        <v>45861</v>
      </c>
      <c r="N43">
        <v>0.04584490740741</v>
      </c>
      <c r="W43" t="str">
        <v>S01K925438</v>
      </c>
      <c r="Y43">
        <f>IF(Table1[[#This Row],[OPERATION]]="NOTE","NOTE",Table1[[#This Row],[SUB_TYPE]])</f>
        <v>0</v>
      </c>
      <c r="Z43">
        <f>IF(Table1[[#This Row],[OPERATION]]="NOTE",NUMBERVALUE(LEFT(Table1[[#This Row],[MOD_NAME]],LEN(Table1[[#This Row],[MOD_NAME]])-4)),Table1[[#This Row],[SUB_NAME]])</f>
        <v>0</v>
      </c>
      <c r="AA43" t="str">
        <f>CONCAT(Table1[[#This Row],[Final Obj Type]],"|",Table1[[#This Row],[Final Obj Name]])</f>
        <v>0|0</v>
      </c>
      <c r="AB43" t="e">
        <f>VLOOKUP(Table1[[#This Row],[Final Obj Type]],Classification!B:E,3,FALSE)</f>
        <v>#N/A</v>
      </c>
      <c r="AC43" t="e">
        <f>VLOOKUP(Table1[[#This Row],[Final Obj Type]],Classification!B:E,4,FALSE)</f>
        <v>#N/A</v>
      </c>
      <c r="AD43" t="str">
        <f>IF(Table1[[#This Row],[Position 1]]=0,"/0SAP/",MID(Table1[[#This Row],[Final Obj Name]],Table1[[#This Row],[Position 1]],Table1[[#This Row],[Position 2]]-Table1[[#This Row],[Position 1]]+1))</f>
        <v>/0SAP/</v>
      </c>
      <c r="AE43" t="str">
        <f>VLOOKUP(Table1[[#This Row],[/* Object]],Namespace!A:J,10,FALSE)</f>
        <v>SAP AG</v>
      </c>
      <c r="AF43" t="str">
        <f>IF(VLOOKUP(Table1[[#This Row],[/* Object]],Namespace!A:J,4,FALSE)=0,"",VLOOKUP(Table1[[#This Row],[/* Object]],Namespace!A:J,4,FALSE))</f>
        <v>X</v>
      </c>
      <c r="AG43" t="str">
        <f>IF(VLOOKUP(Table1[[#This Row],[/* Object]],Namespace!A:J,5,FALSE)=0,"",VLOOKUP(Table1[[#This Row],[/* Object]],Namespace!A:J,5,FALSE))</f>
        <v>X</v>
      </c>
      <c r="AH43" t="str">
        <f>IF(VLOOKUP(Table1[[#This Row],[/* Object]],Namespace!A:J,6,FALSE)=0,"",VLOOKUP(Table1[[#This Row],[/* Object]],Namespace!A:J,6,FALSE))</f>
        <v/>
      </c>
      <c r="AI43">
        <f>IFERROR(FIND("/",Table1[[#This Row],[Final Obj Name]],1),0)</f>
        <v>0</v>
      </c>
      <c r="AJ43">
        <f>IF(Table1[[#This Row],[Position 1]]=0,0,FIND("/",Table1[[#This Row],[Final Obj Name]],Table1[[#This Row],[Position 1]]+1))</f>
        <v>0</v>
      </c>
      <c r="AK43" t="str">
        <f>IF(LEFT(Table1[[#This Row],[Final Obj Name]],1)="/",LEFT(Table1[[#This Row],[Final Obj Name]],FIND("/",Table1[[#This Row],[Final Obj Name]],2)),"/0SAP/")</f>
        <v>/0SAP/</v>
      </c>
    </row>
    <row r="44">
      <c r="A44" t="str">
        <v>CLAS</v>
      </c>
      <c r="B44" t="str">
        <v>ZCL_LABEL_PRINTING</v>
      </c>
      <c r="C44" t="str">
        <v>CPRO</v>
      </c>
      <c r="D44" t="str">
        <v>ZCL_LABEL_PRINTING</v>
      </c>
      <c r="E44" t="str">
        <v>XXXX</v>
      </c>
      <c r="G44" t="str">
        <v>ALL</v>
      </c>
      <c r="K44" t="str">
        <v>E</v>
      </c>
      <c r="L44">
        <v>50118299</v>
      </c>
      <c r="M44">
        <v>45062</v>
      </c>
      <c r="N44">
        <v>0.6328587962963</v>
      </c>
      <c r="Y44">
        <f>IF(Table1[[#This Row],[OPERATION]]="NOTE","NOTE",Table1[[#This Row],[SUB_TYPE]])</f>
        <v>0</v>
      </c>
      <c r="Z44">
        <f>IF(Table1[[#This Row],[OPERATION]]="NOTE",NUMBERVALUE(LEFT(Table1[[#This Row],[MOD_NAME]],LEN(Table1[[#This Row],[MOD_NAME]])-4)),Table1[[#This Row],[SUB_NAME]])</f>
        <v>0</v>
      </c>
      <c r="AA44" t="str">
        <f>CONCAT(Table1[[#This Row],[Final Obj Type]],"|",Table1[[#This Row],[Final Obj Name]])</f>
        <v>0|0</v>
      </c>
      <c r="AB44" t="e">
        <f>VLOOKUP(Table1[[#This Row],[Final Obj Type]],Classification!B:E,3,FALSE)</f>
        <v>#N/A</v>
      </c>
      <c r="AC44" t="e">
        <f>VLOOKUP(Table1[[#This Row],[Final Obj Type]],Classification!B:E,4,FALSE)</f>
        <v>#N/A</v>
      </c>
      <c r="AD44" t="str">
        <f>IF(Table1[[#This Row],[Position 1]]=0,"/0SAP/",MID(Table1[[#This Row],[Final Obj Name]],Table1[[#This Row],[Position 1]],Table1[[#This Row],[Position 2]]-Table1[[#This Row],[Position 1]]+1))</f>
        <v>/0SAP/</v>
      </c>
      <c r="AE44" t="str">
        <f>VLOOKUP(Table1[[#This Row],[/* Object]],Namespace!A:J,10,FALSE)</f>
        <v>SAP AG</v>
      </c>
      <c r="AF44" t="str">
        <f>IF(VLOOKUP(Table1[[#This Row],[/* Object]],Namespace!A:J,4,FALSE)=0,"",VLOOKUP(Table1[[#This Row],[/* Object]],Namespace!A:J,4,FALSE))</f>
        <v>X</v>
      </c>
      <c r="AG44" t="str">
        <f>IF(VLOOKUP(Table1[[#This Row],[/* Object]],Namespace!A:J,5,FALSE)=0,"",VLOOKUP(Table1[[#This Row],[/* Object]],Namespace!A:J,5,FALSE))</f>
        <v>X</v>
      </c>
      <c r="AH44" t="str">
        <f>IF(VLOOKUP(Table1[[#This Row],[/* Object]],Namespace!A:J,6,FALSE)=0,"",VLOOKUP(Table1[[#This Row],[/* Object]],Namespace!A:J,6,FALSE))</f>
        <v/>
      </c>
      <c r="AI44">
        <f>IFERROR(FIND("/",Table1[[#This Row],[Final Obj Name]],1),0)</f>
        <v>0</v>
      </c>
      <c r="AJ44">
        <f>IF(Table1[[#This Row],[Position 1]]=0,0,FIND("/",Table1[[#This Row],[Final Obj Name]],Table1[[#This Row],[Position 1]]+1))</f>
        <v>0</v>
      </c>
      <c r="AK44" t="str">
        <f>IF(LEFT(Table1[[#This Row],[Final Obj Name]],1)="/",LEFT(Table1[[#This Row],[Final Obj Name]],FIND("/",Table1[[#This Row],[Final Obj Name]],2)),"/0SAP/")</f>
        <v>/0SAP/</v>
      </c>
    </row>
    <row r="45">
      <c r="A45" t="str">
        <v>CLAS</v>
      </c>
      <c r="B45" t="str">
        <v>ZCL_MDGBP_USMD_CR_GIL_ROOT_ENH</v>
      </c>
      <c r="C45" t="str">
        <v>CPRI</v>
      </c>
      <c r="D45" t="str">
        <v>ZCL_MDGBP_USMD_CR_GIL_ROOT_ENH</v>
      </c>
      <c r="E45" t="str">
        <v>XXXX</v>
      </c>
      <c r="G45" t="str">
        <v>ALL</v>
      </c>
      <c r="K45" t="str">
        <v>E</v>
      </c>
      <c r="L45" t="str">
        <v>NSHAIK</v>
      </c>
      <c r="M45">
        <v>46021</v>
      </c>
      <c r="N45">
        <v>0.17016203703704</v>
      </c>
      <c r="Y45">
        <f>IF(Table1[[#This Row],[OPERATION]]="NOTE","NOTE",Table1[[#This Row],[SUB_TYPE]])</f>
        <v>0</v>
      </c>
      <c r="Z45">
        <f>IF(Table1[[#This Row],[OPERATION]]="NOTE",NUMBERVALUE(LEFT(Table1[[#This Row],[MOD_NAME]],LEN(Table1[[#This Row],[MOD_NAME]])-4)),Table1[[#This Row],[SUB_NAME]])</f>
        <v>0</v>
      </c>
      <c r="AA45" t="str">
        <f>CONCAT(Table1[[#This Row],[Final Obj Type]],"|",Table1[[#This Row],[Final Obj Name]])</f>
        <v>0|0</v>
      </c>
      <c r="AB45" t="e">
        <f>VLOOKUP(Table1[[#This Row],[Final Obj Type]],Classification!B:E,3,FALSE)</f>
        <v>#N/A</v>
      </c>
      <c r="AC45" t="e">
        <f>VLOOKUP(Table1[[#This Row],[Final Obj Type]],Classification!B:E,4,FALSE)</f>
        <v>#N/A</v>
      </c>
      <c r="AD45" t="str">
        <f>IF(Table1[[#This Row],[Position 1]]=0,"/0SAP/",MID(Table1[[#This Row],[Final Obj Name]],Table1[[#This Row],[Position 1]],Table1[[#This Row],[Position 2]]-Table1[[#This Row],[Position 1]]+1))</f>
        <v>/0SAP/</v>
      </c>
      <c r="AE45" t="str">
        <f>VLOOKUP(Table1[[#This Row],[/* Object]],Namespace!A:J,10,FALSE)</f>
        <v>SAP AG</v>
      </c>
      <c r="AF45" t="str">
        <f>IF(VLOOKUP(Table1[[#This Row],[/* Object]],Namespace!A:J,4,FALSE)=0,"",VLOOKUP(Table1[[#This Row],[/* Object]],Namespace!A:J,4,FALSE))</f>
        <v>X</v>
      </c>
      <c r="AG45" t="str">
        <f>IF(VLOOKUP(Table1[[#This Row],[/* Object]],Namespace!A:J,5,FALSE)=0,"",VLOOKUP(Table1[[#This Row],[/* Object]],Namespace!A:J,5,FALSE))</f>
        <v>X</v>
      </c>
      <c r="AH45" t="str">
        <f>IF(VLOOKUP(Table1[[#This Row],[/* Object]],Namespace!A:J,6,FALSE)=0,"",VLOOKUP(Table1[[#This Row],[/* Object]],Namespace!A:J,6,FALSE))</f>
        <v/>
      </c>
      <c r="AI45">
        <f>IFERROR(FIND("/",Table1[[#This Row],[Final Obj Name]],1),0)</f>
        <v>0</v>
      </c>
      <c r="AJ45">
        <f>IF(Table1[[#This Row],[Position 1]]=0,0,FIND("/",Table1[[#This Row],[Final Obj Name]],Table1[[#This Row],[Position 1]]+1))</f>
        <v>0</v>
      </c>
      <c r="AK45" t="str">
        <f>IF(LEFT(Table1[[#This Row],[Final Obj Name]],1)="/",LEFT(Table1[[#This Row],[Final Obj Name]],FIND("/",Table1[[#This Row],[Final Obj Name]],2)),"/0SAP/")</f>
        <v>/0SAP/</v>
      </c>
    </row>
    <row r="46">
      <c r="A46" t="str">
        <v>CLAS</v>
      </c>
      <c r="B46" t="str">
        <v>ZCL_MDGBP_USMD_CR_GIL_ROOT_ENH</v>
      </c>
      <c r="C46" t="str">
        <v>CPRO</v>
      </c>
      <c r="D46" t="str">
        <v>ZCL_MDGBP_USMD_CR_GIL_ROOT_ENH</v>
      </c>
      <c r="E46" t="str">
        <v>XXXX</v>
      </c>
      <c r="G46" t="str">
        <v>ALL</v>
      </c>
      <c r="K46" t="str">
        <v>E</v>
      </c>
      <c r="L46" t="str">
        <v>NSHAIK</v>
      </c>
      <c r="M46">
        <v>46021</v>
      </c>
      <c r="N46">
        <v>0.17016203703704</v>
      </c>
      <c r="Y46">
        <f>IF(Table1[[#This Row],[OPERATION]]="NOTE","NOTE",Table1[[#This Row],[SUB_TYPE]])</f>
        <v>0</v>
      </c>
      <c r="Z46">
        <f>IF(Table1[[#This Row],[OPERATION]]="NOTE",NUMBERVALUE(LEFT(Table1[[#This Row],[MOD_NAME]],LEN(Table1[[#This Row],[MOD_NAME]])-4)),Table1[[#This Row],[SUB_NAME]])</f>
        <v>0</v>
      </c>
      <c r="AA46" t="str">
        <f>CONCAT(Table1[[#This Row],[Final Obj Type]],"|",Table1[[#This Row],[Final Obj Name]])</f>
        <v>0|0</v>
      </c>
      <c r="AB46" t="e">
        <f>VLOOKUP(Table1[[#This Row],[Final Obj Type]],Classification!B:E,3,FALSE)</f>
        <v>#N/A</v>
      </c>
      <c r="AC46" t="e">
        <f>VLOOKUP(Table1[[#This Row],[Final Obj Type]],Classification!B:E,4,FALSE)</f>
        <v>#N/A</v>
      </c>
      <c r="AD46" t="str">
        <f>IF(Table1[[#This Row],[Position 1]]=0,"/0SAP/",MID(Table1[[#This Row],[Final Obj Name]],Table1[[#This Row],[Position 1]],Table1[[#This Row],[Position 2]]-Table1[[#This Row],[Position 1]]+1))</f>
        <v>/0SAP/</v>
      </c>
      <c r="AE46" t="str">
        <f>VLOOKUP(Table1[[#This Row],[/* Object]],Namespace!A:J,10,FALSE)</f>
        <v>SAP AG</v>
      </c>
      <c r="AF46" t="str">
        <f>IF(VLOOKUP(Table1[[#This Row],[/* Object]],Namespace!A:J,4,FALSE)=0,"",VLOOKUP(Table1[[#This Row],[/* Object]],Namespace!A:J,4,FALSE))</f>
        <v>X</v>
      </c>
      <c r="AG46" t="str">
        <f>IF(VLOOKUP(Table1[[#This Row],[/* Object]],Namespace!A:J,5,FALSE)=0,"",VLOOKUP(Table1[[#This Row],[/* Object]],Namespace!A:J,5,FALSE))</f>
        <v>X</v>
      </c>
      <c r="AH46" t="str">
        <f>IF(VLOOKUP(Table1[[#This Row],[/* Object]],Namespace!A:J,6,FALSE)=0,"",VLOOKUP(Table1[[#This Row],[/* Object]],Namespace!A:J,6,FALSE))</f>
        <v/>
      </c>
      <c r="AI46">
        <f>IFERROR(FIND("/",Table1[[#This Row],[Final Obj Name]],1),0)</f>
        <v>0</v>
      </c>
      <c r="AJ46">
        <f>IF(Table1[[#This Row],[Position 1]]=0,0,FIND("/",Table1[[#This Row],[Final Obj Name]],Table1[[#This Row],[Position 1]]+1))</f>
        <v>0</v>
      </c>
      <c r="AK46" t="str">
        <f>IF(LEFT(Table1[[#This Row],[Final Obj Name]],1)="/",LEFT(Table1[[#This Row],[Final Obj Name]],FIND("/",Table1[[#This Row],[Final Obj Name]],2)),"/0SAP/")</f>
        <v>/0SAP/</v>
      </c>
    </row>
    <row r="47">
      <c r="A47" t="str">
        <v>CLAS</v>
      </c>
      <c r="B47" t="str">
        <v>ZCL_MDGBP_USMD_CR_GIL_ROOT_ENH</v>
      </c>
      <c r="C47" t="str">
        <v>CPUB</v>
      </c>
      <c r="D47" t="str">
        <v>ZCL_MDGBP_USMD_CR_GIL_ROOT_ENH</v>
      </c>
      <c r="E47" t="str">
        <v>XXXX</v>
      </c>
      <c r="G47" t="str">
        <v>ALL</v>
      </c>
      <c r="K47" t="str">
        <v>E</v>
      </c>
      <c r="L47" t="str">
        <v>NSHAIK</v>
      </c>
      <c r="M47">
        <v>46021</v>
      </c>
      <c r="N47">
        <v>0.17016203703704</v>
      </c>
      <c r="Y47">
        <f>IF(Table1[[#This Row],[OPERATION]]="NOTE","NOTE",Table1[[#This Row],[SUB_TYPE]])</f>
        <v>0</v>
      </c>
      <c r="Z47">
        <f>IF(Table1[[#This Row],[OPERATION]]="NOTE",NUMBERVALUE(LEFT(Table1[[#This Row],[MOD_NAME]],LEN(Table1[[#This Row],[MOD_NAME]])-4)),Table1[[#This Row],[SUB_NAME]])</f>
        <v>0</v>
      </c>
      <c r="AA47" t="str">
        <f>CONCAT(Table1[[#This Row],[Final Obj Type]],"|",Table1[[#This Row],[Final Obj Name]])</f>
        <v>0|0</v>
      </c>
      <c r="AB47" t="e">
        <f>VLOOKUP(Table1[[#This Row],[Final Obj Type]],Classification!B:E,3,FALSE)</f>
        <v>#N/A</v>
      </c>
      <c r="AC47" t="e">
        <f>VLOOKUP(Table1[[#This Row],[Final Obj Type]],Classification!B:E,4,FALSE)</f>
        <v>#N/A</v>
      </c>
      <c r="AD47" t="str">
        <f>IF(Table1[[#This Row],[Position 1]]=0,"/0SAP/",MID(Table1[[#This Row],[Final Obj Name]],Table1[[#This Row],[Position 1]],Table1[[#This Row],[Position 2]]-Table1[[#This Row],[Position 1]]+1))</f>
        <v>/0SAP/</v>
      </c>
      <c r="AE47" t="str">
        <f>VLOOKUP(Table1[[#This Row],[/* Object]],Namespace!A:J,10,FALSE)</f>
        <v>SAP AG</v>
      </c>
      <c r="AF47" t="str">
        <f>IF(VLOOKUP(Table1[[#This Row],[/* Object]],Namespace!A:J,4,FALSE)=0,"",VLOOKUP(Table1[[#This Row],[/* Object]],Namespace!A:J,4,FALSE))</f>
        <v>X</v>
      </c>
      <c r="AG47" t="str">
        <f>IF(VLOOKUP(Table1[[#This Row],[/* Object]],Namespace!A:J,5,FALSE)=0,"",VLOOKUP(Table1[[#This Row],[/* Object]],Namespace!A:J,5,FALSE))</f>
        <v>X</v>
      </c>
      <c r="AH47" t="str">
        <f>IF(VLOOKUP(Table1[[#This Row],[/* Object]],Namespace!A:J,6,FALSE)=0,"",VLOOKUP(Table1[[#This Row],[/* Object]],Namespace!A:J,6,FALSE))</f>
        <v/>
      </c>
      <c r="AI47">
        <f>IFERROR(FIND("/",Table1[[#This Row],[Final Obj Name]],1),0)</f>
        <v>0</v>
      </c>
      <c r="AJ47">
        <f>IF(Table1[[#This Row],[Position 1]]=0,0,FIND("/",Table1[[#This Row],[Final Obj Name]],Table1[[#This Row],[Position 1]]+1))</f>
        <v>0</v>
      </c>
      <c r="AK47" t="str">
        <f>IF(LEFT(Table1[[#This Row],[Final Obj Name]],1)="/",LEFT(Table1[[#This Row],[Final Obj Name]],FIND("/",Table1[[#This Row],[Final Obj Name]],2)),"/0SAP/")</f>
        <v>/0SAP/</v>
      </c>
    </row>
    <row r="48">
      <c r="A48" t="str">
        <v>CLAS</v>
      </c>
      <c r="B48" t="str">
        <v>ZCL_MDGC_ADDR_ADDRESSES</v>
      </c>
      <c r="C48" t="str">
        <v>CPRI</v>
      </c>
      <c r="D48" t="str">
        <v>ZCL_MDGC_ADDR_ADDRESSES</v>
      </c>
      <c r="E48" t="str">
        <v>XXXX</v>
      </c>
      <c r="G48" t="str">
        <v>ALL</v>
      </c>
      <c r="K48" t="str">
        <v>E</v>
      </c>
      <c r="L48" t="str">
        <v>NSHAIK</v>
      </c>
      <c r="M48">
        <v>46021</v>
      </c>
      <c r="N48">
        <v>0.17074074074074</v>
      </c>
      <c r="Y48">
        <f>IF(Table1[[#This Row],[OPERATION]]="NOTE","NOTE",Table1[[#This Row],[SUB_TYPE]])</f>
        <v>0</v>
      </c>
      <c r="Z48">
        <f>IF(Table1[[#This Row],[OPERATION]]="NOTE",NUMBERVALUE(LEFT(Table1[[#This Row],[MOD_NAME]],LEN(Table1[[#This Row],[MOD_NAME]])-4)),Table1[[#This Row],[SUB_NAME]])</f>
        <v>0</v>
      </c>
      <c r="AA48" t="str">
        <f>CONCAT(Table1[[#This Row],[Final Obj Type]],"|",Table1[[#This Row],[Final Obj Name]])</f>
        <v>0|0</v>
      </c>
      <c r="AB48" t="e">
        <f>VLOOKUP(Table1[[#This Row],[Final Obj Type]],Classification!B:E,3,FALSE)</f>
        <v>#N/A</v>
      </c>
      <c r="AC48" t="e">
        <f>VLOOKUP(Table1[[#This Row],[Final Obj Type]],Classification!B:E,4,FALSE)</f>
        <v>#N/A</v>
      </c>
      <c r="AD48" t="str">
        <f>IF(Table1[[#This Row],[Position 1]]=0,"/0SAP/",MID(Table1[[#This Row],[Final Obj Name]],Table1[[#This Row],[Position 1]],Table1[[#This Row],[Position 2]]-Table1[[#This Row],[Position 1]]+1))</f>
        <v>/0SAP/</v>
      </c>
      <c r="AE48" t="str">
        <f>VLOOKUP(Table1[[#This Row],[/* Object]],Namespace!A:J,10,FALSE)</f>
        <v>SAP AG</v>
      </c>
      <c r="AF48" t="str">
        <f>IF(VLOOKUP(Table1[[#This Row],[/* Object]],Namespace!A:J,4,FALSE)=0,"",VLOOKUP(Table1[[#This Row],[/* Object]],Namespace!A:J,4,FALSE))</f>
        <v>X</v>
      </c>
      <c r="AG48" t="str">
        <f>IF(VLOOKUP(Table1[[#This Row],[/* Object]],Namespace!A:J,5,FALSE)=0,"",VLOOKUP(Table1[[#This Row],[/* Object]],Namespace!A:J,5,FALSE))</f>
        <v>X</v>
      </c>
      <c r="AH48" t="str">
        <f>IF(VLOOKUP(Table1[[#This Row],[/* Object]],Namespace!A:J,6,FALSE)=0,"",VLOOKUP(Table1[[#This Row],[/* Object]],Namespace!A:J,6,FALSE))</f>
        <v/>
      </c>
      <c r="AI48">
        <f>IFERROR(FIND("/",Table1[[#This Row],[Final Obj Name]],1),0)</f>
        <v>0</v>
      </c>
      <c r="AJ48">
        <f>IF(Table1[[#This Row],[Position 1]]=0,0,FIND("/",Table1[[#This Row],[Final Obj Name]],Table1[[#This Row],[Position 1]]+1))</f>
        <v>0</v>
      </c>
      <c r="AK48" t="str">
        <f>IF(LEFT(Table1[[#This Row],[Final Obj Name]],1)="/",LEFT(Table1[[#This Row],[Final Obj Name]],FIND("/",Table1[[#This Row],[Final Obj Name]],2)),"/0SAP/")</f>
        <v>/0SAP/</v>
      </c>
    </row>
    <row r="49">
      <c r="A49" t="str">
        <v>CLAS</v>
      </c>
      <c r="B49" t="str">
        <v>ZCL_MDGC_ADDR_ADDRESSES</v>
      </c>
      <c r="C49" t="str">
        <v>CPRO</v>
      </c>
      <c r="D49" t="str">
        <v>ZCL_MDGC_ADDR_ADDRESSES</v>
      </c>
      <c r="E49" t="str">
        <v>XXXX</v>
      </c>
      <c r="G49" t="str">
        <v>ALL</v>
      </c>
      <c r="K49" t="str">
        <v>E</v>
      </c>
      <c r="L49" t="str">
        <v>NSHAIK</v>
      </c>
      <c r="M49">
        <v>46021</v>
      </c>
      <c r="N49">
        <v>0.17074074074074</v>
      </c>
      <c r="Y49">
        <f>IF(Table1[[#This Row],[OPERATION]]="NOTE","NOTE",Table1[[#This Row],[SUB_TYPE]])</f>
        <v>0</v>
      </c>
      <c r="Z49">
        <f>IF(Table1[[#This Row],[OPERATION]]="NOTE",NUMBERVALUE(LEFT(Table1[[#This Row],[MOD_NAME]],LEN(Table1[[#This Row],[MOD_NAME]])-4)),Table1[[#This Row],[SUB_NAME]])</f>
        <v>0</v>
      </c>
      <c r="AA49" t="str">
        <f>CONCAT(Table1[[#This Row],[Final Obj Type]],"|",Table1[[#This Row],[Final Obj Name]])</f>
        <v>0|0</v>
      </c>
      <c r="AB49" t="e">
        <f>VLOOKUP(Table1[[#This Row],[Final Obj Type]],Classification!B:E,3,FALSE)</f>
        <v>#N/A</v>
      </c>
      <c r="AC49" t="e">
        <f>VLOOKUP(Table1[[#This Row],[Final Obj Type]],Classification!B:E,4,FALSE)</f>
        <v>#N/A</v>
      </c>
      <c r="AD49" t="str">
        <f>IF(Table1[[#This Row],[Position 1]]=0,"/0SAP/",MID(Table1[[#This Row],[Final Obj Name]],Table1[[#This Row],[Position 1]],Table1[[#This Row],[Position 2]]-Table1[[#This Row],[Position 1]]+1))</f>
        <v>/0SAP/</v>
      </c>
      <c r="AE49" t="str">
        <f>VLOOKUP(Table1[[#This Row],[/* Object]],Namespace!A:J,10,FALSE)</f>
        <v>SAP AG</v>
      </c>
      <c r="AF49" t="str">
        <f>IF(VLOOKUP(Table1[[#This Row],[/* Object]],Namespace!A:J,4,FALSE)=0,"",VLOOKUP(Table1[[#This Row],[/* Object]],Namespace!A:J,4,FALSE))</f>
        <v>X</v>
      </c>
      <c r="AG49" t="str">
        <f>IF(VLOOKUP(Table1[[#This Row],[/* Object]],Namespace!A:J,5,FALSE)=0,"",VLOOKUP(Table1[[#This Row],[/* Object]],Namespace!A:J,5,FALSE))</f>
        <v>X</v>
      </c>
      <c r="AH49" t="str">
        <f>IF(VLOOKUP(Table1[[#This Row],[/* Object]],Namespace!A:J,6,FALSE)=0,"",VLOOKUP(Table1[[#This Row],[/* Object]],Namespace!A:J,6,FALSE))</f>
        <v/>
      </c>
      <c r="AI49">
        <f>IFERROR(FIND("/",Table1[[#This Row],[Final Obj Name]],1),0)</f>
        <v>0</v>
      </c>
      <c r="AJ49">
        <f>IF(Table1[[#This Row],[Position 1]]=0,0,FIND("/",Table1[[#This Row],[Final Obj Name]],Table1[[#This Row],[Position 1]]+1))</f>
        <v>0</v>
      </c>
      <c r="AK49" t="str">
        <f>IF(LEFT(Table1[[#This Row],[Final Obj Name]],1)="/",LEFT(Table1[[#This Row],[Final Obj Name]],FIND("/",Table1[[#This Row],[Final Obj Name]],2)),"/0SAP/")</f>
        <v>/0SAP/</v>
      </c>
    </row>
    <row r="50">
      <c r="A50" t="str">
        <v>CLAS</v>
      </c>
      <c r="B50" t="str">
        <v>ZCL_MDGC_ADDR_ADDRESSES</v>
      </c>
      <c r="C50" t="str">
        <v>CPUB</v>
      </c>
      <c r="D50" t="str">
        <v>ZCL_MDGC_ADDR_ADDRESSES</v>
      </c>
      <c r="E50" t="str">
        <v>XXXX</v>
      </c>
      <c r="G50" t="str">
        <v>ALL</v>
      </c>
      <c r="K50" t="str">
        <v>E</v>
      </c>
      <c r="L50" t="str">
        <v>NSHAIK</v>
      </c>
      <c r="M50">
        <v>46021</v>
      </c>
      <c r="N50">
        <v>0.17074074074074</v>
      </c>
      <c r="Y50">
        <f>IF(Table1[[#This Row],[OPERATION]]="NOTE","NOTE",Table1[[#This Row],[SUB_TYPE]])</f>
        <v>0</v>
      </c>
      <c r="Z50">
        <f>IF(Table1[[#This Row],[OPERATION]]="NOTE",NUMBERVALUE(LEFT(Table1[[#This Row],[MOD_NAME]],LEN(Table1[[#This Row],[MOD_NAME]])-4)),Table1[[#This Row],[SUB_NAME]])</f>
        <v>0</v>
      </c>
      <c r="AA50" t="str">
        <f>CONCAT(Table1[[#This Row],[Final Obj Type]],"|",Table1[[#This Row],[Final Obj Name]])</f>
        <v>0|0</v>
      </c>
      <c r="AB50" t="e">
        <f>VLOOKUP(Table1[[#This Row],[Final Obj Type]],Classification!B:E,3,FALSE)</f>
        <v>#N/A</v>
      </c>
      <c r="AC50" t="e">
        <f>VLOOKUP(Table1[[#This Row],[Final Obj Type]],Classification!B:E,4,FALSE)</f>
        <v>#N/A</v>
      </c>
      <c r="AD50" t="str">
        <f>IF(Table1[[#This Row],[Position 1]]=0,"/0SAP/",MID(Table1[[#This Row],[Final Obj Name]],Table1[[#This Row],[Position 1]],Table1[[#This Row],[Position 2]]-Table1[[#This Row],[Position 1]]+1))</f>
        <v>/0SAP/</v>
      </c>
      <c r="AE50" t="str">
        <f>VLOOKUP(Table1[[#This Row],[/* Object]],Namespace!A:J,10,FALSE)</f>
        <v>SAP AG</v>
      </c>
      <c r="AF50" t="str">
        <f>IF(VLOOKUP(Table1[[#This Row],[/* Object]],Namespace!A:J,4,FALSE)=0,"",VLOOKUP(Table1[[#This Row],[/* Object]],Namespace!A:J,4,FALSE))</f>
        <v>X</v>
      </c>
      <c r="AG50" t="str">
        <f>IF(VLOOKUP(Table1[[#This Row],[/* Object]],Namespace!A:J,5,FALSE)=0,"",VLOOKUP(Table1[[#This Row],[/* Object]],Namespace!A:J,5,FALSE))</f>
        <v>X</v>
      </c>
      <c r="AH50" t="str">
        <f>IF(VLOOKUP(Table1[[#This Row],[/* Object]],Namespace!A:J,6,FALSE)=0,"",VLOOKUP(Table1[[#This Row],[/* Object]],Namespace!A:J,6,FALSE))</f>
        <v/>
      </c>
      <c r="AI50">
        <f>IFERROR(FIND("/",Table1[[#This Row],[Final Obj Name]],1),0)</f>
        <v>0</v>
      </c>
      <c r="AJ50">
        <f>IF(Table1[[#This Row],[Position 1]]=0,0,FIND("/",Table1[[#This Row],[Final Obj Name]],Table1[[#This Row],[Position 1]]+1))</f>
        <v>0</v>
      </c>
      <c r="AK50" t="str">
        <f>IF(LEFT(Table1[[#This Row],[Final Obj Name]],1)="/",LEFT(Table1[[#This Row],[Final Obj Name]],FIND("/",Table1[[#This Row],[Final Obj Name]],2)),"/0SAP/")</f>
        <v>/0SAP/</v>
      </c>
    </row>
    <row r="51">
      <c r="A51" t="str">
        <v>CLAS</v>
      </c>
      <c r="B51" t="str">
        <v>ZCL_MDGC_ADDR_CHECK_ASSIST</v>
      </c>
      <c r="C51" t="str">
        <v>CPRI</v>
      </c>
      <c r="D51" t="str">
        <v>ZCL_MDGC_ADDR_CHECK_ASSIST</v>
      </c>
      <c r="E51" t="str">
        <v>XXXX</v>
      </c>
      <c r="G51" t="str">
        <v>ALL</v>
      </c>
      <c r="K51" t="str">
        <v>E</v>
      </c>
      <c r="L51" t="str">
        <v>NSHAIK</v>
      </c>
      <c r="M51">
        <v>46021</v>
      </c>
      <c r="N51">
        <v>0.17107638888889</v>
      </c>
      <c r="Y51">
        <f>IF(Table1[[#This Row],[OPERATION]]="NOTE","NOTE",Table1[[#This Row],[SUB_TYPE]])</f>
        <v>0</v>
      </c>
      <c r="Z51">
        <f>IF(Table1[[#This Row],[OPERATION]]="NOTE",NUMBERVALUE(LEFT(Table1[[#This Row],[MOD_NAME]],LEN(Table1[[#This Row],[MOD_NAME]])-4)),Table1[[#This Row],[SUB_NAME]])</f>
        <v>0</v>
      </c>
      <c r="AA51" t="str">
        <f>CONCAT(Table1[[#This Row],[Final Obj Type]],"|",Table1[[#This Row],[Final Obj Name]])</f>
        <v>0|0</v>
      </c>
      <c r="AB51" t="e">
        <f>VLOOKUP(Table1[[#This Row],[Final Obj Type]],Classification!B:E,3,FALSE)</f>
        <v>#N/A</v>
      </c>
      <c r="AC51" t="e">
        <f>VLOOKUP(Table1[[#This Row],[Final Obj Type]],Classification!B:E,4,FALSE)</f>
        <v>#N/A</v>
      </c>
      <c r="AD51" t="str">
        <f>IF(Table1[[#This Row],[Position 1]]=0,"/0SAP/",MID(Table1[[#This Row],[Final Obj Name]],Table1[[#This Row],[Position 1]],Table1[[#This Row],[Position 2]]-Table1[[#This Row],[Position 1]]+1))</f>
        <v>/0SAP/</v>
      </c>
      <c r="AE51" t="str">
        <f>VLOOKUP(Table1[[#This Row],[/* Object]],Namespace!A:J,10,FALSE)</f>
        <v>SAP AG</v>
      </c>
      <c r="AF51" t="str">
        <f>IF(VLOOKUP(Table1[[#This Row],[/* Object]],Namespace!A:J,4,FALSE)=0,"",VLOOKUP(Table1[[#This Row],[/* Object]],Namespace!A:J,4,FALSE))</f>
        <v>X</v>
      </c>
      <c r="AG51" t="str">
        <f>IF(VLOOKUP(Table1[[#This Row],[/* Object]],Namespace!A:J,5,FALSE)=0,"",VLOOKUP(Table1[[#This Row],[/* Object]],Namespace!A:J,5,FALSE))</f>
        <v>X</v>
      </c>
      <c r="AH51" t="str">
        <f>IF(VLOOKUP(Table1[[#This Row],[/* Object]],Namespace!A:J,6,FALSE)=0,"",VLOOKUP(Table1[[#This Row],[/* Object]],Namespace!A:J,6,FALSE))</f>
        <v/>
      </c>
      <c r="AI51">
        <f>IFERROR(FIND("/",Table1[[#This Row],[Final Obj Name]],1),0)</f>
        <v>0</v>
      </c>
      <c r="AJ51">
        <f>IF(Table1[[#This Row],[Position 1]]=0,0,FIND("/",Table1[[#This Row],[Final Obj Name]],Table1[[#This Row],[Position 1]]+1))</f>
        <v>0</v>
      </c>
      <c r="AK51" t="str">
        <f>IF(LEFT(Table1[[#This Row],[Final Obj Name]],1)="/",LEFT(Table1[[#This Row],[Final Obj Name]],FIND("/",Table1[[#This Row],[Final Obj Name]],2)),"/0SAP/")</f>
        <v>/0SAP/</v>
      </c>
    </row>
    <row r="52">
      <c r="A52" t="str">
        <v>CLAS</v>
      </c>
      <c r="B52" t="str">
        <v>ZCL_MDGC_ADDR_CHECK_ASSIST</v>
      </c>
      <c r="C52" t="str">
        <v>CPRO</v>
      </c>
      <c r="D52" t="str">
        <v>ZCL_MDGC_ADDR_CHECK_ASSIST</v>
      </c>
      <c r="E52" t="str">
        <v>XXXX</v>
      </c>
      <c r="G52" t="str">
        <v>ALL</v>
      </c>
      <c r="K52" t="str">
        <v>E</v>
      </c>
      <c r="L52" t="str">
        <v>NSHAIK</v>
      </c>
      <c r="M52">
        <v>46021</v>
      </c>
      <c r="N52">
        <v>0.17107638888889</v>
      </c>
      <c r="Y52">
        <f>IF(Table1[[#This Row],[OPERATION]]="NOTE","NOTE",Table1[[#This Row],[SUB_TYPE]])</f>
        <v>0</v>
      </c>
      <c r="Z52">
        <f>IF(Table1[[#This Row],[OPERATION]]="NOTE",NUMBERVALUE(LEFT(Table1[[#This Row],[MOD_NAME]],LEN(Table1[[#This Row],[MOD_NAME]])-4)),Table1[[#This Row],[SUB_NAME]])</f>
        <v>0</v>
      </c>
      <c r="AA52" t="str">
        <f>CONCAT(Table1[[#This Row],[Final Obj Type]],"|",Table1[[#This Row],[Final Obj Name]])</f>
        <v>0|0</v>
      </c>
      <c r="AB52" t="e">
        <f>VLOOKUP(Table1[[#This Row],[Final Obj Type]],Classification!B:E,3,FALSE)</f>
        <v>#N/A</v>
      </c>
      <c r="AC52" t="e">
        <f>VLOOKUP(Table1[[#This Row],[Final Obj Type]],Classification!B:E,4,FALSE)</f>
        <v>#N/A</v>
      </c>
      <c r="AD52" t="str">
        <f>IF(Table1[[#This Row],[Position 1]]=0,"/0SAP/",MID(Table1[[#This Row],[Final Obj Name]],Table1[[#This Row],[Position 1]],Table1[[#This Row],[Position 2]]-Table1[[#This Row],[Position 1]]+1))</f>
        <v>/0SAP/</v>
      </c>
      <c r="AE52" t="str">
        <f>VLOOKUP(Table1[[#This Row],[/* Object]],Namespace!A:J,10,FALSE)</f>
        <v>SAP AG</v>
      </c>
      <c r="AF52" t="str">
        <f>IF(VLOOKUP(Table1[[#This Row],[/* Object]],Namespace!A:J,4,FALSE)=0,"",VLOOKUP(Table1[[#This Row],[/* Object]],Namespace!A:J,4,FALSE))</f>
        <v>X</v>
      </c>
      <c r="AG52" t="str">
        <f>IF(VLOOKUP(Table1[[#This Row],[/* Object]],Namespace!A:J,5,FALSE)=0,"",VLOOKUP(Table1[[#This Row],[/* Object]],Namespace!A:J,5,FALSE))</f>
        <v>X</v>
      </c>
      <c r="AH52" t="str">
        <f>IF(VLOOKUP(Table1[[#This Row],[/* Object]],Namespace!A:J,6,FALSE)=0,"",VLOOKUP(Table1[[#This Row],[/* Object]],Namespace!A:J,6,FALSE))</f>
        <v/>
      </c>
      <c r="AI52">
        <f>IFERROR(FIND("/",Table1[[#This Row],[Final Obj Name]],1),0)</f>
        <v>0</v>
      </c>
      <c r="AJ52">
        <f>IF(Table1[[#This Row],[Position 1]]=0,0,FIND("/",Table1[[#This Row],[Final Obj Name]],Table1[[#This Row],[Position 1]]+1))</f>
        <v>0</v>
      </c>
      <c r="AK52" t="str">
        <f>IF(LEFT(Table1[[#This Row],[Final Obj Name]],1)="/",LEFT(Table1[[#This Row],[Final Obj Name]],FIND("/",Table1[[#This Row],[Final Obj Name]],2)),"/0SAP/")</f>
        <v>/0SAP/</v>
      </c>
    </row>
    <row r="53">
      <c r="A53" t="str">
        <v>CLAS</v>
      </c>
      <c r="B53" t="str">
        <v>ZCL_MDGC_ADDR_CHECK_ASSIST</v>
      </c>
      <c r="C53" t="str">
        <v>CPUB</v>
      </c>
      <c r="D53" t="str">
        <v>ZCL_MDGC_ADDR_CHECK_ASSIST</v>
      </c>
      <c r="E53" t="str">
        <v>XXXX</v>
      </c>
      <c r="G53" t="str">
        <v>ALL</v>
      </c>
      <c r="K53" t="str">
        <v>E</v>
      </c>
      <c r="L53" t="str">
        <v>NSHAIK</v>
      </c>
      <c r="M53">
        <v>46021</v>
      </c>
      <c r="N53">
        <v>0.17107638888889</v>
      </c>
      <c r="Y53">
        <f>IF(Table1[[#This Row],[OPERATION]]="NOTE","NOTE",Table1[[#This Row],[SUB_TYPE]])</f>
        <v>0</v>
      </c>
      <c r="Z53">
        <f>IF(Table1[[#This Row],[OPERATION]]="NOTE",NUMBERVALUE(LEFT(Table1[[#This Row],[MOD_NAME]],LEN(Table1[[#This Row],[MOD_NAME]])-4)),Table1[[#This Row],[SUB_NAME]])</f>
        <v>0</v>
      </c>
      <c r="AA53" t="str">
        <f>CONCAT(Table1[[#This Row],[Final Obj Type]],"|",Table1[[#This Row],[Final Obj Name]])</f>
        <v>0|0</v>
      </c>
      <c r="AB53" t="e">
        <f>VLOOKUP(Table1[[#This Row],[Final Obj Type]],Classification!B:E,3,FALSE)</f>
        <v>#N/A</v>
      </c>
      <c r="AC53" t="e">
        <f>VLOOKUP(Table1[[#This Row],[Final Obj Type]],Classification!B:E,4,FALSE)</f>
        <v>#N/A</v>
      </c>
      <c r="AD53" t="str">
        <f>IF(Table1[[#This Row],[Position 1]]=0,"/0SAP/",MID(Table1[[#This Row],[Final Obj Name]],Table1[[#This Row],[Position 1]],Table1[[#This Row],[Position 2]]-Table1[[#This Row],[Position 1]]+1))</f>
        <v>/0SAP/</v>
      </c>
      <c r="AE53" t="str">
        <f>VLOOKUP(Table1[[#This Row],[/* Object]],Namespace!A:J,10,FALSE)</f>
        <v>SAP AG</v>
      </c>
      <c r="AF53" t="str">
        <f>IF(VLOOKUP(Table1[[#This Row],[/* Object]],Namespace!A:J,4,FALSE)=0,"",VLOOKUP(Table1[[#This Row],[/* Object]],Namespace!A:J,4,FALSE))</f>
        <v>X</v>
      </c>
      <c r="AG53" t="str">
        <f>IF(VLOOKUP(Table1[[#This Row],[/* Object]],Namespace!A:J,5,FALSE)=0,"",VLOOKUP(Table1[[#This Row],[/* Object]],Namespace!A:J,5,FALSE))</f>
        <v>X</v>
      </c>
      <c r="AH53" t="str">
        <f>IF(VLOOKUP(Table1[[#This Row],[/* Object]],Namespace!A:J,6,FALSE)=0,"",VLOOKUP(Table1[[#This Row],[/* Object]],Namespace!A:J,6,FALSE))</f>
        <v/>
      </c>
      <c r="AI53">
        <f>IFERROR(FIND("/",Table1[[#This Row],[Final Obj Name]],1),0)</f>
        <v>0</v>
      </c>
      <c r="AJ53">
        <f>IF(Table1[[#This Row],[Position 1]]=0,0,FIND("/",Table1[[#This Row],[Final Obj Name]],Table1[[#This Row],[Position 1]]+1))</f>
        <v>0</v>
      </c>
      <c r="AK53" t="str">
        <f>IF(LEFT(Table1[[#This Row],[Final Obj Name]],1)="/",LEFT(Table1[[#This Row],[Final Obj Name]],FIND("/",Table1[[#This Row],[Final Obj Name]],2)),"/0SAP/")</f>
        <v>/0SAP/</v>
      </c>
    </row>
    <row r="54">
      <c r="A54" t="str">
        <v>CLAS</v>
      </c>
      <c r="B54" t="str">
        <v>ZCL_MDGC_ADDR_ENRICH_ADAPTER</v>
      </c>
      <c r="C54" t="str">
        <v>CPRI</v>
      </c>
      <c r="D54" t="str">
        <v>ZCL_MDGC_ADDR_ENRICH_ADAPTER</v>
      </c>
      <c r="E54" t="str">
        <v>XXXX</v>
      </c>
      <c r="G54" t="str">
        <v>ALL</v>
      </c>
      <c r="K54" t="str">
        <v>E</v>
      </c>
      <c r="L54" t="str">
        <v>NSHAIK</v>
      </c>
      <c r="M54">
        <v>46021</v>
      </c>
      <c r="N54">
        <v>0.17148148148148</v>
      </c>
      <c r="Y54">
        <f>IF(Table1[[#This Row],[OPERATION]]="NOTE","NOTE",Table1[[#This Row],[SUB_TYPE]])</f>
        <v>0</v>
      </c>
      <c r="Z54">
        <f>IF(Table1[[#This Row],[OPERATION]]="NOTE",NUMBERVALUE(LEFT(Table1[[#This Row],[MOD_NAME]],LEN(Table1[[#This Row],[MOD_NAME]])-4)),Table1[[#This Row],[SUB_NAME]])</f>
        <v>0</v>
      </c>
      <c r="AA54" t="str">
        <f>CONCAT(Table1[[#This Row],[Final Obj Type]],"|",Table1[[#This Row],[Final Obj Name]])</f>
        <v>0|0</v>
      </c>
      <c r="AB54" t="e">
        <f>VLOOKUP(Table1[[#This Row],[Final Obj Type]],Classification!B:E,3,FALSE)</f>
        <v>#N/A</v>
      </c>
      <c r="AC54" t="e">
        <f>VLOOKUP(Table1[[#This Row],[Final Obj Type]],Classification!B:E,4,FALSE)</f>
        <v>#N/A</v>
      </c>
      <c r="AD54" t="str">
        <f>IF(Table1[[#This Row],[Position 1]]=0,"/0SAP/",MID(Table1[[#This Row],[Final Obj Name]],Table1[[#This Row],[Position 1]],Table1[[#This Row],[Position 2]]-Table1[[#This Row],[Position 1]]+1))</f>
        <v>/0SAP/</v>
      </c>
      <c r="AE54" t="str">
        <f>VLOOKUP(Table1[[#This Row],[/* Object]],Namespace!A:J,10,FALSE)</f>
        <v>SAP AG</v>
      </c>
      <c r="AF54" t="str">
        <f>IF(VLOOKUP(Table1[[#This Row],[/* Object]],Namespace!A:J,4,FALSE)=0,"",VLOOKUP(Table1[[#This Row],[/* Object]],Namespace!A:J,4,FALSE))</f>
        <v>X</v>
      </c>
      <c r="AG54" t="str">
        <f>IF(VLOOKUP(Table1[[#This Row],[/* Object]],Namespace!A:J,5,FALSE)=0,"",VLOOKUP(Table1[[#This Row],[/* Object]],Namespace!A:J,5,FALSE))</f>
        <v>X</v>
      </c>
      <c r="AH54" t="str">
        <f>IF(VLOOKUP(Table1[[#This Row],[/* Object]],Namespace!A:J,6,FALSE)=0,"",VLOOKUP(Table1[[#This Row],[/* Object]],Namespace!A:J,6,FALSE))</f>
        <v/>
      </c>
      <c r="AI54">
        <f>IFERROR(FIND("/",Table1[[#This Row],[Final Obj Name]],1),0)</f>
        <v>0</v>
      </c>
      <c r="AJ54">
        <f>IF(Table1[[#This Row],[Position 1]]=0,0,FIND("/",Table1[[#This Row],[Final Obj Name]],Table1[[#This Row],[Position 1]]+1))</f>
        <v>0</v>
      </c>
      <c r="AK54" t="str">
        <f>IF(LEFT(Table1[[#This Row],[Final Obj Name]],1)="/",LEFT(Table1[[#This Row],[Final Obj Name]],FIND("/",Table1[[#This Row],[Final Obj Name]],2)),"/0SAP/")</f>
        <v>/0SAP/</v>
      </c>
    </row>
    <row r="55">
      <c r="A55" t="str">
        <v>CLAS</v>
      </c>
      <c r="B55" t="str">
        <v>ZCL_MDGC_ADDR_ENRICH_ADAPTER</v>
      </c>
      <c r="C55" t="str">
        <v>CPRO</v>
      </c>
      <c r="D55" t="str">
        <v>ZCL_MDGC_ADDR_ENRICH_ADAPTER</v>
      </c>
      <c r="E55" t="str">
        <v>XXXX</v>
      </c>
      <c r="G55" t="str">
        <v>ALL</v>
      </c>
      <c r="K55" t="str">
        <v>E</v>
      </c>
      <c r="L55" t="str">
        <v>NSHAIK</v>
      </c>
      <c r="M55">
        <v>46021</v>
      </c>
      <c r="N55">
        <v>0.17148148148148</v>
      </c>
      <c r="Y55">
        <f>IF(Table1[[#This Row],[OPERATION]]="NOTE","NOTE",Table1[[#This Row],[SUB_TYPE]])</f>
        <v>0</v>
      </c>
      <c r="Z55">
        <f>IF(Table1[[#This Row],[OPERATION]]="NOTE",NUMBERVALUE(LEFT(Table1[[#This Row],[MOD_NAME]],LEN(Table1[[#This Row],[MOD_NAME]])-4)),Table1[[#This Row],[SUB_NAME]])</f>
        <v>0</v>
      </c>
      <c r="AA55" t="str">
        <f>CONCAT(Table1[[#This Row],[Final Obj Type]],"|",Table1[[#This Row],[Final Obj Name]])</f>
        <v>0|0</v>
      </c>
      <c r="AB55" t="e">
        <f>VLOOKUP(Table1[[#This Row],[Final Obj Type]],Classification!B:E,3,FALSE)</f>
        <v>#N/A</v>
      </c>
      <c r="AC55" t="e">
        <f>VLOOKUP(Table1[[#This Row],[Final Obj Type]],Classification!B:E,4,FALSE)</f>
        <v>#N/A</v>
      </c>
      <c r="AD55" t="str">
        <f>IF(Table1[[#This Row],[Position 1]]=0,"/0SAP/",MID(Table1[[#This Row],[Final Obj Name]],Table1[[#This Row],[Position 1]],Table1[[#This Row],[Position 2]]-Table1[[#This Row],[Position 1]]+1))</f>
        <v>/0SAP/</v>
      </c>
      <c r="AE55" t="str">
        <f>VLOOKUP(Table1[[#This Row],[/* Object]],Namespace!A:J,10,FALSE)</f>
        <v>SAP AG</v>
      </c>
      <c r="AF55" t="str">
        <f>IF(VLOOKUP(Table1[[#This Row],[/* Object]],Namespace!A:J,4,FALSE)=0,"",VLOOKUP(Table1[[#This Row],[/* Object]],Namespace!A:J,4,FALSE))</f>
        <v>X</v>
      </c>
      <c r="AG55" t="str">
        <f>IF(VLOOKUP(Table1[[#This Row],[/* Object]],Namespace!A:J,5,FALSE)=0,"",VLOOKUP(Table1[[#This Row],[/* Object]],Namespace!A:J,5,FALSE))</f>
        <v>X</v>
      </c>
      <c r="AH55" t="str">
        <f>IF(VLOOKUP(Table1[[#This Row],[/* Object]],Namespace!A:J,6,FALSE)=0,"",VLOOKUP(Table1[[#This Row],[/* Object]],Namespace!A:J,6,FALSE))</f>
        <v/>
      </c>
      <c r="AI55">
        <f>IFERROR(FIND("/",Table1[[#This Row],[Final Obj Name]],1),0)</f>
        <v>0</v>
      </c>
      <c r="AJ55">
        <f>IF(Table1[[#This Row],[Position 1]]=0,0,FIND("/",Table1[[#This Row],[Final Obj Name]],Table1[[#This Row],[Position 1]]+1))</f>
        <v>0</v>
      </c>
      <c r="AK55" t="str">
        <f>IF(LEFT(Table1[[#This Row],[Final Obj Name]],1)="/",LEFT(Table1[[#This Row],[Final Obj Name]],FIND("/",Table1[[#This Row],[Final Obj Name]],2)),"/0SAP/")</f>
        <v>/0SAP/</v>
      </c>
    </row>
    <row r="56">
      <c r="A56" t="str">
        <v>CLAS</v>
      </c>
      <c r="B56" t="str">
        <v>ZCL_MDGC_ADDR_ENRICH_ADAPTER</v>
      </c>
      <c r="C56" t="str">
        <v>CPUB</v>
      </c>
      <c r="D56" t="str">
        <v>ZCL_MDGC_ADDR_ENRICH_ADAPTER</v>
      </c>
      <c r="E56" t="str">
        <v>XXXX</v>
      </c>
      <c r="G56" t="str">
        <v>ALL</v>
      </c>
      <c r="K56" t="str">
        <v>E</v>
      </c>
      <c r="L56" t="str">
        <v>NSHAIK</v>
      </c>
      <c r="M56">
        <v>46021</v>
      </c>
      <c r="N56">
        <v>0.17148148148148</v>
      </c>
      <c r="Y56">
        <f>IF(Table1[[#This Row],[OPERATION]]="NOTE","NOTE",Table1[[#This Row],[SUB_TYPE]])</f>
        <v>0</v>
      </c>
      <c r="Z56">
        <f>IF(Table1[[#This Row],[OPERATION]]="NOTE",NUMBERVALUE(LEFT(Table1[[#This Row],[MOD_NAME]],LEN(Table1[[#This Row],[MOD_NAME]])-4)),Table1[[#This Row],[SUB_NAME]])</f>
        <v>0</v>
      </c>
      <c r="AA56" t="str">
        <f>CONCAT(Table1[[#This Row],[Final Obj Type]],"|",Table1[[#This Row],[Final Obj Name]])</f>
        <v>0|0</v>
      </c>
      <c r="AB56" t="e">
        <f>VLOOKUP(Table1[[#This Row],[Final Obj Type]],Classification!B:E,3,FALSE)</f>
        <v>#N/A</v>
      </c>
      <c r="AC56" t="e">
        <f>VLOOKUP(Table1[[#This Row],[Final Obj Type]],Classification!B:E,4,FALSE)</f>
        <v>#N/A</v>
      </c>
      <c r="AD56" t="str">
        <f>IF(Table1[[#This Row],[Position 1]]=0,"/0SAP/",MID(Table1[[#This Row],[Final Obj Name]],Table1[[#This Row],[Position 1]],Table1[[#This Row],[Position 2]]-Table1[[#This Row],[Position 1]]+1))</f>
        <v>/0SAP/</v>
      </c>
      <c r="AE56" t="str">
        <f>VLOOKUP(Table1[[#This Row],[/* Object]],Namespace!A:J,10,FALSE)</f>
        <v>SAP AG</v>
      </c>
      <c r="AF56" t="str">
        <f>IF(VLOOKUP(Table1[[#This Row],[/* Object]],Namespace!A:J,4,FALSE)=0,"",VLOOKUP(Table1[[#This Row],[/* Object]],Namespace!A:J,4,FALSE))</f>
        <v>X</v>
      </c>
      <c r="AG56" t="str">
        <f>IF(VLOOKUP(Table1[[#This Row],[/* Object]],Namespace!A:J,5,FALSE)=0,"",VLOOKUP(Table1[[#This Row],[/* Object]],Namespace!A:J,5,FALSE))</f>
        <v>X</v>
      </c>
      <c r="AH56" t="str">
        <f>IF(VLOOKUP(Table1[[#This Row],[/* Object]],Namespace!A:J,6,FALSE)=0,"",VLOOKUP(Table1[[#This Row],[/* Object]],Namespace!A:J,6,FALSE))</f>
        <v/>
      </c>
      <c r="AI56">
        <f>IFERROR(FIND("/",Table1[[#This Row],[Final Obj Name]],1),0)</f>
        <v>0</v>
      </c>
      <c r="AJ56">
        <f>IF(Table1[[#This Row],[Position 1]]=0,0,FIND("/",Table1[[#This Row],[Final Obj Name]],Table1[[#This Row],[Position 1]]+1))</f>
        <v>0</v>
      </c>
      <c r="AK56" t="str">
        <f>IF(LEFT(Table1[[#This Row],[Final Obj Name]],1)="/",LEFT(Table1[[#This Row],[Final Obj Name]],FIND("/",Table1[[#This Row],[Final Obj Name]],2)),"/0SAP/")</f>
        <v>/0SAP/</v>
      </c>
    </row>
    <row r="57">
      <c r="A57" t="str">
        <v>CLAS</v>
      </c>
      <c r="B57" t="str">
        <v>ZCL_MDGC_ADDR_ENRICH_ADAPTERV2</v>
      </c>
      <c r="C57" t="str">
        <v>CPRI</v>
      </c>
      <c r="D57" t="str">
        <v>ZCL_MDGC_ADDR_ENRICH_ADAPTERV2</v>
      </c>
      <c r="E57" t="str">
        <v>XXXX</v>
      </c>
      <c r="G57" t="str">
        <v>ALL</v>
      </c>
      <c r="K57" t="str">
        <v>E</v>
      </c>
      <c r="L57" t="str">
        <v>NSHAIK</v>
      </c>
      <c r="M57">
        <v>46021</v>
      </c>
      <c r="N57">
        <v>0.17179398148148</v>
      </c>
      <c r="Y57">
        <f>IF(Table1[[#This Row],[OPERATION]]="NOTE","NOTE",Table1[[#This Row],[SUB_TYPE]])</f>
        <v>0</v>
      </c>
      <c r="Z57">
        <f>IF(Table1[[#This Row],[OPERATION]]="NOTE",NUMBERVALUE(LEFT(Table1[[#This Row],[MOD_NAME]],LEN(Table1[[#This Row],[MOD_NAME]])-4)),Table1[[#This Row],[SUB_NAME]])</f>
        <v>0</v>
      </c>
      <c r="AA57" t="str">
        <f>CONCAT(Table1[[#This Row],[Final Obj Type]],"|",Table1[[#This Row],[Final Obj Name]])</f>
        <v>0|0</v>
      </c>
      <c r="AB57" t="e">
        <f>VLOOKUP(Table1[[#This Row],[Final Obj Type]],Classification!B:E,3,FALSE)</f>
        <v>#N/A</v>
      </c>
      <c r="AC57" t="e">
        <f>VLOOKUP(Table1[[#This Row],[Final Obj Type]],Classification!B:E,4,FALSE)</f>
        <v>#N/A</v>
      </c>
      <c r="AD57" t="str">
        <f>IF(Table1[[#This Row],[Position 1]]=0,"/0SAP/",MID(Table1[[#This Row],[Final Obj Name]],Table1[[#This Row],[Position 1]],Table1[[#This Row],[Position 2]]-Table1[[#This Row],[Position 1]]+1))</f>
        <v>/0SAP/</v>
      </c>
      <c r="AE57" t="str">
        <f>VLOOKUP(Table1[[#This Row],[/* Object]],Namespace!A:J,10,FALSE)</f>
        <v>SAP AG</v>
      </c>
      <c r="AF57" t="str">
        <f>IF(VLOOKUP(Table1[[#This Row],[/* Object]],Namespace!A:J,4,FALSE)=0,"",VLOOKUP(Table1[[#This Row],[/* Object]],Namespace!A:J,4,FALSE))</f>
        <v>X</v>
      </c>
      <c r="AG57" t="str">
        <f>IF(VLOOKUP(Table1[[#This Row],[/* Object]],Namespace!A:J,5,FALSE)=0,"",VLOOKUP(Table1[[#This Row],[/* Object]],Namespace!A:J,5,FALSE))</f>
        <v>X</v>
      </c>
      <c r="AH57" t="str">
        <f>IF(VLOOKUP(Table1[[#This Row],[/* Object]],Namespace!A:J,6,FALSE)=0,"",VLOOKUP(Table1[[#This Row],[/* Object]],Namespace!A:J,6,FALSE))</f>
        <v/>
      </c>
      <c r="AI57">
        <f>IFERROR(FIND("/",Table1[[#This Row],[Final Obj Name]],1),0)</f>
        <v>0</v>
      </c>
      <c r="AJ57">
        <f>IF(Table1[[#This Row],[Position 1]]=0,0,FIND("/",Table1[[#This Row],[Final Obj Name]],Table1[[#This Row],[Position 1]]+1))</f>
        <v>0</v>
      </c>
      <c r="AK57" t="str">
        <f>IF(LEFT(Table1[[#This Row],[Final Obj Name]],1)="/",LEFT(Table1[[#This Row],[Final Obj Name]],FIND("/",Table1[[#This Row],[Final Obj Name]],2)),"/0SAP/")</f>
        <v>/0SAP/</v>
      </c>
    </row>
    <row r="58">
      <c r="A58" t="str">
        <v>CLAS</v>
      </c>
      <c r="B58" t="str">
        <v>ZCL_MDGC_ADDR_ENRICH_ADAPTERV2</v>
      </c>
      <c r="C58" t="str">
        <v>CPRO</v>
      </c>
      <c r="D58" t="str">
        <v>ZCL_MDGC_ADDR_ENRICH_ADAPTERV2</v>
      </c>
      <c r="E58" t="str">
        <v>XXXX</v>
      </c>
      <c r="G58" t="str">
        <v>ALL</v>
      </c>
      <c r="K58" t="str">
        <v>E</v>
      </c>
      <c r="L58" t="str">
        <v>NSHAIK</v>
      </c>
      <c r="M58">
        <v>46021</v>
      </c>
      <c r="N58">
        <v>0.17179398148148</v>
      </c>
      <c r="Y58">
        <f>IF(Table1[[#This Row],[OPERATION]]="NOTE","NOTE",Table1[[#This Row],[SUB_TYPE]])</f>
        <v>0</v>
      </c>
      <c r="Z58">
        <f>IF(Table1[[#This Row],[OPERATION]]="NOTE",NUMBERVALUE(LEFT(Table1[[#This Row],[MOD_NAME]],LEN(Table1[[#This Row],[MOD_NAME]])-4)),Table1[[#This Row],[SUB_NAME]])</f>
        <v>0</v>
      </c>
      <c r="AA58" t="str">
        <f>CONCAT(Table1[[#This Row],[Final Obj Type]],"|",Table1[[#This Row],[Final Obj Name]])</f>
        <v>0|0</v>
      </c>
      <c r="AB58" t="e">
        <f>VLOOKUP(Table1[[#This Row],[Final Obj Type]],Classification!B:E,3,FALSE)</f>
        <v>#N/A</v>
      </c>
      <c r="AC58" t="e">
        <f>VLOOKUP(Table1[[#This Row],[Final Obj Type]],Classification!B:E,4,FALSE)</f>
        <v>#N/A</v>
      </c>
      <c r="AD58" t="str">
        <f>IF(Table1[[#This Row],[Position 1]]=0,"/0SAP/",MID(Table1[[#This Row],[Final Obj Name]],Table1[[#This Row],[Position 1]],Table1[[#This Row],[Position 2]]-Table1[[#This Row],[Position 1]]+1))</f>
        <v>/0SAP/</v>
      </c>
      <c r="AE58" t="str">
        <f>VLOOKUP(Table1[[#This Row],[/* Object]],Namespace!A:J,10,FALSE)</f>
        <v>SAP AG</v>
      </c>
      <c r="AF58" t="str">
        <f>IF(VLOOKUP(Table1[[#This Row],[/* Object]],Namespace!A:J,4,FALSE)=0,"",VLOOKUP(Table1[[#This Row],[/* Object]],Namespace!A:J,4,FALSE))</f>
        <v>X</v>
      </c>
      <c r="AG58" t="str">
        <f>IF(VLOOKUP(Table1[[#This Row],[/* Object]],Namespace!A:J,5,FALSE)=0,"",VLOOKUP(Table1[[#This Row],[/* Object]],Namespace!A:J,5,FALSE))</f>
        <v>X</v>
      </c>
      <c r="AH58" t="str">
        <f>IF(VLOOKUP(Table1[[#This Row],[/* Object]],Namespace!A:J,6,FALSE)=0,"",VLOOKUP(Table1[[#This Row],[/* Object]],Namespace!A:J,6,FALSE))</f>
        <v/>
      </c>
      <c r="AI58">
        <f>IFERROR(FIND("/",Table1[[#This Row],[Final Obj Name]],1),0)</f>
        <v>0</v>
      </c>
      <c r="AJ58">
        <f>IF(Table1[[#This Row],[Position 1]]=0,0,FIND("/",Table1[[#This Row],[Final Obj Name]],Table1[[#This Row],[Position 1]]+1))</f>
        <v>0</v>
      </c>
      <c r="AK58" t="str">
        <f>IF(LEFT(Table1[[#This Row],[Final Obj Name]],1)="/",LEFT(Table1[[#This Row],[Final Obj Name]],FIND("/",Table1[[#This Row],[Final Obj Name]],2)),"/0SAP/")</f>
        <v>/0SAP/</v>
      </c>
    </row>
    <row r="59">
      <c r="A59" t="str">
        <v>CLAS</v>
      </c>
      <c r="B59" t="str">
        <v>ZCL_MDGC_ADDR_ENRICH_ADAPTERV2</v>
      </c>
      <c r="C59" t="str">
        <v>CPUB</v>
      </c>
      <c r="D59" t="str">
        <v>ZCL_MDGC_ADDR_ENRICH_ADAPTERV2</v>
      </c>
      <c r="E59" t="str">
        <v>XXXX</v>
      </c>
      <c r="G59" t="str">
        <v>ALL</v>
      </c>
      <c r="K59" t="str">
        <v>E</v>
      </c>
      <c r="L59" t="str">
        <v>NSHAIK</v>
      </c>
      <c r="M59">
        <v>46021</v>
      </c>
      <c r="N59">
        <v>0.17179398148148</v>
      </c>
      <c r="Y59">
        <f>IF(Table1[[#This Row],[OPERATION]]="NOTE","NOTE",Table1[[#This Row],[SUB_TYPE]])</f>
        <v>0</v>
      </c>
      <c r="Z59">
        <f>IF(Table1[[#This Row],[OPERATION]]="NOTE",NUMBERVALUE(LEFT(Table1[[#This Row],[MOD_NAME]],LEN(Table1[[#This Row],[MOD_NAME]])-4)),Table1[[#This Row],[SUB_NAME]])</f>
        <v>0</v>
      </c>
      <c r="AA59" t="str">
        <f>CONCAT(Table1[[#This Row],[Final Obj Type]],"|",Table1[[#This Row],[Final Obj Name]])</f>
        <v>0|0</v>
      </c>
      <c r="AB59" t="e">
        <f>VLOOKUP(Table1[[#This Row],[Final Obj Type]],Classification!B:E,3,FALSE)</f>
        <v>#N/A</v>
      </c>
      <c r="AC59" t="e">
        <f>VLOOKUP(Table1[[#This Row],[Final Obj Type]],Classification!B:E,4,FALSE)</f>
        <v>#N/A</v>
      </c>
      <c r="AD59" t="str">
        <f>IF(Table1[[#This Row],[Position 1]]=0,"/0SAP/",MID(Table1[[#This Row],[Final Obj Name]],Table1[[#This Row],[Position 1]],Table1[[#This Row],[Position 2]]-Table1[[#This Row],[Position 1]]+1))</f>
        <v>/0SAP/</v>
      </c>
      <c r="AE59" t="str">
        <f>VLOOKUP(Table1[[#This Row],[/* Object]],Namespace!A:J,10,FALSE)</f>
        <v>SAP AG</v>
      </c>
      <c r="AF59" t="str">
        <f>IF(VLOOKUP(Table1[[#This Row],[/* Object]],Namespace!A:J,4,FALSE)=0,"",VLOOKUP(Table1[[#This Row],[/* Object]],Namespace!A:J,4,FALSE))</f>
        <v>X</v>
      </c>
      <c r="AG59" t="str">
        <f>IF(VLOOKUP(Table1[[#This Row],[/* Object]],Namespace!A:J,5,FALSE)=0,"",VLOOKUP(Table1[[#This Row],[/* Object]],Namespace!A:J,5,FALSE))</f>
        <v>X</v>
      </c>
      <c r="AH59" t="str">
        <f>IF(VLOOKUP(Table1[[#This Row],[/* Object]],Namespace!A:J,6,FALSE)=0,"",VLOOKUP(Table1[[#This Row],[/* Object]],Namespace!A:J,6,FALSE))</f>
        <v/>
      </c>
      <c r="AI59">
        <f>IFERROR(FIND("/",Table1[[#This Row],[Final Obj Name]],1),0)</f>
        <v>0</v>
      </c>
      <c r="AJ59">
        <f>IF(Table1[[#This Row],[Position 1]]=0,0,FIND("/",Table1[[#This Row],[Final Obj Name]],Table1[[#This Row],[Position 1]]+1))</f>
        <v>0</v>
      </c>
      <c r="AK59" t="str">
        <f>IF(LEFT(Table1[[#This Row],[Final Obj Name]],1)="/",LEFT(Table1[[#This Row],[Final Obj Name]],FIND("/",Table1[[#This Row],[Final Obj Name]],2)),"/0SAP/")</f>
        <v>/0SAP/</v>
      </c>
    </row>
    <row r="60">
      <c r="A60" t="str">
        <v>CLAS</v>
      </c>
      <c r="B60" t="str">
        <v>ZCL_MDGC_ADDR_ENRICH_FEEDERV2</v>
      </c>
      <c r="C60" t="str">
        <v>CPRI</v>
      </c>
      <c r="D60" t="str">
        <v>ZCL_MDGC_ADDR_ENRICH_FEEDERV2</v>
      </c>
      <c r="E60" t="str">
        <v>XXXX</v>
      </c>
      <c r="G60" t="str">
        <v>ALL</v>
      </c>
      <c r="K60" t="str">
        <v>E</v>
      </c>
      <c r="L60" t="str">
        <v>NSHAIK</v>
      </c>
      <c r="M60">
        <v>46021</v>
      </c>
      <c r="N60">
        <v>0.17212962962963</v>
      </c>
      <c r="Y60">
        <f>IF(Table1[[#This Row],[OPERATION]]="NOTE","NOTE",Table1[[#This Row],[SUB_TYPE]])</f>
        <v>0</v>
      </c>
      <c r="Z60">
        <f>IF(Table1[[#This Row],[OPERATION]]="NOTE",NUMBERVALUE(LEFT(Table1[[#This Row],[MOD_NAME]],LEN(Table1[[#This Row],[MOD_NAME]])-4)),Table1[[#This Row],[SUB_NAME]])</f>
        <v>0</v>
      </c>
      <c r="AA60" t="str">
        <f>CONCAT(Table1[[#This Row],[Final Obj Type]],"|",Table1[[#This Row],[Final Obj Name]])</f>
        <v>0|0</v>
      </c>
      <c r="AB60" t="e">
        <f>VLOOKUP(Table1[[#This Row],[Final Obj Type]],Classification!B:E,3,FALSE)</f>
        <v>#N/A</v>
      </c>
      <c r="AC60" t="e">
        <f>VLOOKUP(Table1[[#This Row],[Final Obj Type]],Classification!B:E,4,FALSE)</f>
        <v>#N/A</v>
      </c>
      <c r="AD60" t="str">
        <f>IF(Table1[[#This Row],[Position 1]]=0,"/0SAP/",MID(Table1[[#This Row],[Final Obj Name]],Table1[[#This Row],[Position 1]],Table1[[#This Row],[Position 2]]-Table1[[#This Row],[Position 1]]+1))</f>
        <v>/0SAP/</v>
      </c>
      <c r="AE60" t="str">
        <f>VLOOKUP(Table1[[#This Row],[/* Object]],Namespace!A:J,10,FALSE)</f>
        <v>SAP AG</v>
      </c>
      <c r="AF60" t="str">
        <f>IF(VLOOKUP(Table1[[#This Row],[/* Object]],Namespace!A:J,4,FALSE)=0,"",VLOOKUP(Table1[[#This Row],[/* Object]],Namespace!A:J,4,FALSE))</f>
        <v>X</v>
      </c>
      <c r="AG60" t="str">
        <f>IF(VLOOKUP(Table1[[#This Row],[/* Object]],Namespace!A:J,5,FALSE)=0,"",VLOOKUP(Table1[[#This Row],[/* Object]],Namespace!A:J,5,FALSE))</f>
        <v>X</v>
      </c>
      <c r="AH60" t="str">
        <f>IF(VLOOKUP(Table1[[#This Row],[/* Object]],Namespace!A:J,6,FALSE)=0,"",VLOOKUP(Table1[[#This Row],[/* Object]],Namespace!A:J,6,FALSE))</f>
        <v/>
      </c>
      <c r="AI60">
        <f>IFERROR(FIND("/",Table1[[#This Row],[Final Obj Name]],1),0)</f>
        <v>0</v>
      </c>
      <c r="AJ60">
        <f>IF(Table1[[#This Row],[Position 1]]=0,0,FIND("/",Table1[[#This Row],[Final Obj Name]],Table1[[#This Row],[Position 1]]+1))</f>
        <v>0</v>
      </c>
      <c r="AK60" t="str">
        <f>IF(LEFT(Table1[[#This Row],[Final Obj Name]],1)="/",LEFT(Table1[[#This Row],[Final Obj Name]],FIND("/",Table1[[#This Row],[Final Obj Name]],2)),"/0SAP/")</f>
        <v>/0SAP/</v>
      </c>
    </row>
    <row r="61">
      <c r="A61" t="str">
        <v>CLAS</v>
      </c>
      <c r="B61" t="str">
        <v>ZCL_MDGC_ADDR_ENRICH_FEEDERV2</v>
      </c>
      <c r="C61" t="str">
        <v>CPRO</v>
      </c>
      <c r="D61" t="str">
        <v>ZCL_MDGC_ADDR_ENRICH_FEEDERV2</v>
      </c>
      <c r="E61" t="str">
        <v>XXXX</v>
      </c>
      <c r="G61" t="str">
        <v>ALL</v>
      </c>
      <c r="K61" t="str">
        <v>E</v>
      </c>
      <c r="L61" t="str">
        <v>NSHAIK</v>
      </c>
      <c r="M61">
        <v>46021</v>
      </c>
      <c r="N61">
        <v>0.17212962962963</v>
      </c>
      <c r="Y61">
        <f>IF(Table1[[#This Row],[OPERATION]]="NOTE","NOTE",Table1[[#This Row],[SUB_TYPE]])</f>
        <v>0</v>
      </c>
      <c r="Z61">
        <f>IF(Table1[[#This Row],[OPERATION]]="NOTE",NUMBERVALUE(LEFT(Table1[[#This Row],[MOD_NAME]],LEN(Table1[[#This Row],[MOD_NAME]])-4)),Table1[[#This Row],[SUB_NAME]])</f>
        <v>0</v>
      </c>
      <c r="AA61" t="str">
        <f>CONCAT(Table1[[#This Row],[Final Obj Type]],"|",Table1[[#This Row],[Final Obj Name]])</f>
        <v>0|0</v>
      </c>
      <c r="AB61" t="e">
        <f>VLOOKUP(Table1[[#This Row],[Final Obj Type]],Classification!B:E,3,FALSE)</f>
        <v>#N/A</v>
      </c>
      <c r="AC61" t="e">
        <f>VLOOKUP(Table1[[#This Row],[Final Obj Type]],Classification!B:E,4,FALSE)</f>
        <v>#N/A</v>
      </c>
      <c r="AD61" t="str">
        <f>IF(Table1[[#This Row],[Position 1]]=0,"/0SAP/",MID(Table1[[#This Row],[Final Obj Name]],Table1[[#This Row],[Position 1]],Table1[[#This Row],[Position 2]]-Table1[[#This Row],[Position 1]]+1))</f>
        <v>/0SAP/</v>
      </c>
      <c r="AE61" t="str">
        <f>VLOOKUP(Table1[[#This Row],[/* Object]],Namespace!A:J,10,FALSE)</f>
        <v>SAP AG</v>
      </c>
      <c r="AF61" t="str">
        <f>IF(VLOOKUP(Table1[[#This Row],[/* Object]],Namespace!A:J,4,FALSE)=0,"",VLOOKUP(Table1[[#This Row],[/* Object]],Namespace!A:J,4,FALSE))</f>
        <v>X</v>
      </c>
      <c r="AG61" t="str">
        <f>IF(VLOOKUP(Table1[[#This Row],[/* Object]],Namespace!A:J,5,FALSE)=0,"",VLOOKUP(Table1[[#This Row],[/* Object]],Namespace!A:J,5,FALSE))</f>
        <v>X</v>
      </c>
      <c r="AH61" t="str">
        <f>IF(VLOOKUP(Table1[[#This Row],[/* Object]],Namespace!A:J,6,FALSE)=0,"",VLOOKUP(Table1[[#This Row],[/* Object]],Namespace!A:J,6,FALSE))</f>
        <v/>
      </c>
      <c r="AI61">
        <f>IFERROR(FIND("/",Table1[[#This Row],[Final Obj Name]],1),0)</f>
        <v>0</v>
      </c>
      <c r="AJ61">
        <f>IF(Table1[[#This Row],[Position 1]]=0,0,FIND("/",Table1[[#This Row],[Final Obj Name]],Table1[[#This Row],[Position 1]]+1))</f>
        <v>0</v>
      </c>
      <c r="AK61" t="str">
        <f>IF(LEFT(Table1[[#This Row],[Final Obj Name]],1)="/",LEFT(Table1[[#This Row],[Final Obj Name]],FIND("/",Table1[[#This Row],[Final Obj Name]],2)),"/0SAP/")</f>
        <v>/0SAP/</v>
      </c>
    </row>
    <row r="62">
      <c r="A62" t="str">
        <v>CLAS</v>
      </c>
      <c r="B62" t="str">
        <v>ZCL_MDGC_ADDR_ENRICH_FEEDERV2</v>
      </c>
      <c r="C62" t="str">
        <v>CPUB</v>
      </c>
      <c r="D62" t="str">
        <v>ZCL_MDGC_ADDR_ENRICH_FEEDERV2</v>
      </c>
      <c r="E62" t="str">
        <v>XXXX</v>
      </c>
      <c r="G62" t="str">
        <v>ALL</v>
      </c>
      <c r="K62" t="str">
        <v>E</v>
      </c>
      <c r="L62" t="str">
        <v>NSHAIK</v>
      </c>
      <c r="M62">
        <v>46021</v>
      </c>
      <c r="N62">
        <v>0.17212962962963</v>
      </c>
      <c r="Y62">
        <f>IF(Table1[[#This Row],[OPERATION]]="NOTE","NOTE",Table1[[#This Row],[SUB_TYPE]])</f>
        <v>0</v>
      </c>
      <c r="Z62">
        <f>IF(Table1[[#This Row],[OPERATION]]="NOTE",NUMBERVALUE(LEFT(Table1[[#This Row],[MOD_NAME]],LEN(Table1[[#This Row],[MOD_NAME]])-4)),Table1[[#This Row],[SUB_NAME]])</f>
        <v>0</v>
      </c>
      <c r="AA62" t="str">
        <f>CONCAT(Table1[[#This Row],[Final Obj Type]],"|",Table1[[#This Row],[Final Obj Name]])</f>
        <v>0|0</v>
      </c>
      <c r="AB62" t="e">
        <f>VLOOKUP(Table1[[#This Row],[Final Obj Type]],Classification!B:E,3,FALSE)</f>
        <v>#N/A</v>
      </c>
      <c r="AC62" t="e">
        <f>VLOOKUP(Table1[[#This Row],[Final Obj Type]],Classification!B:E,4,FALSE)</f>
        <v>#N/A</v>
      </c>
      <c r="AD62" t="str">
        <f>IF(Table1[[#This Row],[Position 1]]=0,"/0SAP/",MID(Table1[[#This Row],[Final Obj Name]],Table1[[#This Row],[Position 1]],Table1[[#This Row],[Position 2]]-Table1[[#This Row],[Position 1]]+1))</f>
        <v>/0SAP/</v>
      </c>
      <c r="AE62" t="str">
        <f>VLOOKUP(Table1[[#This Row],[/* Object]],Namespace!A:J,10,FALSE)</f>
        <v>SAP AG</v>
      </c>
      <c r="AF62" t="str">
        <f>IF(VLOOKUP(Table1[[#This Row],[/* Object]],Namespace!A:J,4,FALSE)=0,"",VLOOKUP(Table1[[#This Row],[/* Object]],Namespace!A:J,4,FALSE))</f>
        <v>X</v>
      </c>
      <c r="AG62" t="str">
        <f>IF(VLOOKUP(Table1[[#This Row],[/* Object]],Namespace!A:J,5,FALSE)=0,"",VLOOKUP(Table1[[#This Row],[/* Object]],Namespace!A:J,5,FALSE))</f>
        <v>X</v>
      </c>
      <c r="AH62" t="str">
        <f>IF(VLOOKUP(Table1[[#This Row],[/* Object]],Namespace!A:J,6,FALSE)=0,"",VLOOKUP(Table1[[#This Row],[/* Object]],Namespace!A:J,6,FALSE))</f>
        <v/>
      </c>
      <c r="AI62">
        <f>IFERROR(FIND("/",Table1[[#This Row],[Final Obj Name]],1),0)</f>
        <v>0</v>
      </c>
      <c r="AJ62">
        <f>IF(Table1[[#This Row],[Position 1]]=0,0,FIND("/",Table1[[#This Row],[Final Obj Name]],Table1[[#This Row],[Position 1]]+1))</f>
        <v>0</v>
      </c>
      <c r="AK62" t="str">
        <f>IF(LEFT(Table1[[#This Row],[Final Obj Name]],1)="/",LEFT(Table1[[#This Row],[Final Obj Name]],FIND("/",Table1[[#This Row],[Final Obj Name]],2)),"/0SAP/")</f>
        <v>/0SAP/</v>
      </c>
    </row>
    <row r="63">
      <c r="A63" t="str">
        <v>CLAS</v>
      </c>
      <c r="B63" t="str">
        <v>ZCL_MDGC_ADDR_VALIDATE</v>
      </c>
      <c r="C63" t="str">
        <v>CPRI</v>
      </c>
      <c r="D63" t="str">
        <v>ZCL_MDGC_ADDR_VALIDATE</v>
      </c>
      <c r="E63" t="str">
        <v>XXXX</v>
      </c>
      <c r="G63" t="str">
        <v>ALL</v>
      </c>
      <c r="K63" t="str">
        <v>E</v>
      </c>
      <c r="L63" t="str">
        <v>NSHAIK</v>
      </c>
      <c r="M63">
        <v>46021</v>
      </c>
      <c r="N63">
        <v>0.17246527777778</v>
      </c>
      <c r="Y63">
        <f>IF(Table1[[#This Row],[OPERATION]]="NOTE","NOTE",Table1[[#This Row],[SUB_TYPE]])</f>
        <v>0</v>
      </c>
      <c r="Z63">
        <f>IF(Table1[[#This Row],[OPERATION]]="NOTE",NUMBERVALUE(LEFT(Table1[[#This Row],[MOD_NAME]],LEN(Table1[[#This Row],[MOD_NAME]])-4)),Table1[[#This Row],[SUB_NAME]])</f>
        <v>0</v>
      </c>
      <c r="AA63" t="str">
        <f>CONCAT(Table1[[#This Row],[Final Obj Type]],"|",Table1[[#This Row],[Final Obj Name]])</f>
        <v>0|0</v>
      </c>
      <c r="AB63" t="e">
        <f>VLOOKUP(Table1[[#This Row],[Final Obj Type]],Classification!B:E,3,FALSE)</f>
        <v>#N/A</v>
      </c>
      <c r="AC63" t="e">
        <f>VLOOKUP(Table1[[#This Row],[Final Obj Type]],Classification!B:E,4,FALSE)</f>
        <v>#N/A</v>
      </c>
      <c r="AD63" t="str">
        <f>IF(Table1[[#This Row],[Position 1]]=0,"/0SAP/",MID(Table1[[#This Row],[Final Obj Name]],Table1[[#This Row],[Position 1]],Table1[[#This Row],[Position 2]]-Table1[[#This Row],[Position 1]]+1))</f>
        <v>/0SAP/</v>
      </c>
      <c r="AE63" t="str">
        <f>VLOOKUP(Table1[[#This Row],[/* Object]],Namespace!A:J,10,FALSE)</f>
        <v>SAP AG</v>
      </c>
      <c r="AF63" t="str">
        <f>IF(VLOOKUP(Table1[[#This Row],[/* Object]],Namespace!A:J,4,FALSE)=0,"",VLOOKUP(Table1[[#This Row],[/* Object]],Namespace!A:J,4,FALSE))</f>
        <v>X</v>
      </c>
      <c r="AG63" t="str">
        <f>IF(VLOOKUP(Table1[[#This Row],[/* Object]],Namespace!A:J,5,FALSE)=0,"",VLOOKUP(Table1[[#This Row],[/* Object]],Namespace!A:J,5,FALSE))</f>
        <v>X</v>
      </c>
      <c r="AH63" t="str">
        <f>IF(VLOOKUP(Table1[[#This Row],[/* Object]],Namespace!A:J,6,FALSE)=0,"",VLOOKUP(Table1[[#This Row],[/* Object]],Namespace!A:J,6,FALSE))</f>
        <v/>
      </c>
      <c r="AI63">
        <f>IFERROR(FIND("/",Table1[[#This Row],[Final Obj Name]],1),0)</f>
        <v>0</v>
      </c>
      <c r="AJ63">
        <f>IF(Table1[[#This Row],[Position 1]]=0,0,FIND("/",Table1[[#This Row],[Final Obj Name]],Table1[[#This Row],[Position 1]]+1))</f>
        <v>0</v>
      </c>
      <c r="AK63" t="str">
        <f>IF(LEFT(Table1[[#This Row],[Final Obj Name]],1)="/",LEFT(Table1[[#This Row],[Final Obj Name]],FIND("/",Table1[[#This Row],[Final Obj Name]],2)),"/0SAP/")</f>
        <v>/0SAP/</v>
      </c>
    </row>
    <row r="64">
      <c r="A64" t="str">
        <v>CLAS</v>
      </c>
      <c r="B64" t="str">
        <v>ZCL_MDGC_ADDR_VALIDATE</v>
      </c>
      <c r="C64" t="str">
        <v>CPRO</v>
      </c>
      <c r="D64" t="str">
        <v>ZCL_MDGC_ADDR_VALIDATE</v>
      </c>
      <c r="E64" t="str">
        <v>XXXX</v>
      </c>
      <c r="G64" t="str">
        <v>ALL</v>
      </c>
      <c r="K64" t="str">
        <v>E</v>
      </c>
      <c r="L64" t="str">
        <v>NSHAIK</v>
      </c>
      <c r="M64">
        <v>46021</v>
      </c>
      <c r="N64">
        <v>0.17246527777778</v>
      </c>
      <c r="Y64">
        <f>IF(Table1[[#This Row],[OPERATION]]="NOTE","NOTE",Table1[[#This Row],[SUB_TYPE]])</f>
        <v>0</v>
      </c>
      <c r="Z64">
        <f>IF(Table1[[#This Row],[OPERATION]]="NOTE",NUMBERVALUE(LEFT(Table1[[#This Row],[MOD_NAME]],LEN(Table1[[#This Row],[MOD_NAME]])-4)),Table1[[#This Row],[SUB_NAME]])</f>
        <v>0</v>
      </c>
      <c r="AA64" t="str">
        <f>CONCAT(Table1[[#This Row],[Final Obj Type]],"|",Table1[[#This Row],[Final Obj Name]])</f>
        <v>0|0</v>
      </c>
      <c r="AB64" t="e">
        <f>VLOOKUP(Table1[[#This Row],[Final Obj Type]],Classification!B:E,3,FALSE)</f>
        <v>#N/A</v>
      </c>
      <c r="AC64" t="e">
        <f>VLOOKUP(Table1[[#This Row],[Final Obj Type]],Classification!B:E,4,FALSE)</f>
        <v>#N/A</v>
      </c>
      <c r="AD64" t="str">
        <f>IF(Table1[[#This Row],[Position 1]]=0,"/0SAP/",MID(Table1[[#This Row],[Final Obj Name]],Table1[[#This Row],[Position 1]],Table1[[#This Row],[Position 2]]-Table1[[#This Row],[Position 1]]+1))</f>
        <v>/0SAP/</v>
      </c>
      <c r="AE64" t="str">
        <f>VLOOKUP(Table1[[#This Row],[/* Object]],Namespace!A:J,10,FALSE)</f>
        <v>SAP AG</v>
      </c>
      <c r="AF64" t="str">
        <f>IF(VLOOKUP(Table1[[#This Row],[/* Object]],Namespace!A:J,4,FALSE)=0,"",VLOOKUP(Table1[[#This Row],[/* Object]],Namespace!A:J,4,FALSE))</f>
        <v>X</v>
      </c>
      <c r="AG64" t="str">
        <f>IF(VLOOKUP(Table1[[#This Row],[/* Object]],Namespace!A:J,5,FALSE)=0,"",VLOOKUP(Table1[[#This Row],[/* Object]],Namespace!A:J,5,FALSE))</f>
        <v>X</v>
      </c>
      <c r="AH64" t="str">
        <f>IF(VLOOKUP(Table1[[#This Row],[/* Object]],Namespace!A:J,6,FALSE)=0,"",VLOOKUP(Table1[[#This Row],[/* Object]],Namespace!A:J,6,FALSE))</f>
        <v/>
      </c>
      <c r="AI64">
        <f>IFERROR(FIND("/",Table1[[#This Row],[Final Obj Name]],1),0)</f>
        <v>0</v>
      </c>
      <c r="AJ64">
        <f>IF(Table1[[#This Row],[Position 1]]=0,0,FIND("/",Table1[[#This Row],[Final Obj Name]],Table1[[#This Row],[Position 1]]+1))</f>
        <v>0</v>
      </c>
      <c r="AK64" t="str">
        <f>IF(LEFT(Table1[[#This Row],[Final Obj Name]],1)="/",LEFT(Table1[[#This Row],[Final Obj Name]],FIND("/",Table1[[#This Row],[Final Obj Name]],2)),"/0SAP/")</f>
        <v>/0SAP/</v>
      </c>
    </row>
    <row r="65">
      <c r="A65" t="str">
        <v>CLAS</v>
      </c>
      <c r="B65" t="str">
        <v>ZCL_MDGC_ADDR_VALIDATE</v>
      </c>
      <c r="C65" t="str">
        <v>CPUB</v>
      </c>
      <c r="D65" t="str">
        <v>ZCL_MDGC_ADDR_VALIDATE</v>
      </c>
      <c r="E65" t="str">
        <v>XXXX</v>
      </c>
      <c r="G65" t="str">
        <v>ALL</v>
      </c>
      <c r="K65" t="str">
        <v>E</v>
      </c>
      <c r="L65" t="str">
        <v>NSHAIK</v>
      </c>
      <c r="M65">
        <v>46021</v>
      </c>
      <c r="N65">
        <v>0.17246527777778</v>
      </c>
      <c r="Y65">
        <f>IF(Table1[[#This Row],[OPERATION]]="NOTE","NOTE",Table1[[#This Row],[SUB_TYPE]])</f>
        <v>0</v>
      </c>
      <c r="Z65">
        <f>IF(Table1[[#This Row],[OPERATION]]="NOTE",NUMBERVALUE(LEFT(Table1[[#This Row],[MOD_NAME]],LEN(Table1[[#This Row],[MOD_NAME]])-4)),Table1[[#This Row],[SUB_NAME]])</f>
        <v>0</v>
      </c>
      <c r="AA65" t="str">
        <f>CONCAT(Table1[[#This Row],[Final Obj Type]],"|",Table1[[#This Row],[Final Obj Name]])</f>
        <v>0|0</v>
      </c>
      <c r="AB65" t="e">
        <f>VLOOKUP(Table1[[#This Row],[Final Obj Type]],Classification!B:E,3,FALSE)</f>
        <v>#N/A</v>
      </c>
      <c r="AC65" t="e">
        <f>VLOOKUP(Table1[[#This Row],[Final Obj Type]],Classification!B:E,4,FALSE)</f>
        <v>#N/A</v>
      </c>
      <c r="AD65" t="str">
        <f>IF(Table1[[#This Row],[Position 1]]=0,"/0SAP/",MID(Table1[[#This Row],[Final Obj Name]],Table1[[#This Row],[Position 1]],Table1[[#This Row],[Position 2]]-Table1[[#This Row],[Position 1]]+1))</f>
        <v>/0SAP/</v>
      </c>
      <c r="AE65" t="str">
        <f>VLOOKUP(Table1[[#This Row],[/* Object]],Namespace!A:J,10,FALSE)</f>
        <v>SAP AG</v>
      </c>
      <c r="AF65" t="str">
        <f>IF(VLOOKUP(Table1[[#This Row],[/* Object]],Namespace!A:J,4,FALSE)=0,"",VLOOKUP(Table1[[#This Row],[/* Object]],Namespace!A:J,4,FALSE))</f>
        <v>X</v>
      </c>
      <c r="AG65" t="str">
        <f>IF(VLOOKUP(Table1[[#This Row],[/* Object]],Namespace!A:J,5,FALSE)=0,"",VLOOKUP(Table1[[#This Row],[/* Object]],Namespace!A:J,5,FALSE))</f>
        <v>X</v>
      </c>
      <c r="AH65" t="str">
        <f>IF(VLOOKUP(Table1[[#This Row],[/* Object]],Namespace!A:J,6,FALSE)=0,"",VLOOKUP(Table1[[#This Row],[/* Object]],Namespace!A:J,6,FALSE))</f>
        <v/>
      </c>
      <c r="AI65">
        <f>IFERROR(FIND("/",Table1[[#This Row],[Final Obj Name]],1),0)</f>
        <v>0</v>
      </c>
      <c r="AJ65">
        <f>IF(Table1[[#This Row],[Position 1]]=0,0,FIND("/",Table1[[#This Row],[Final Obj Name]],Table1[[#This Row],[Position 1]]+1))</f>
        <v>0</v>
      </c>
      <c r="AK65" t="str">
        <f>IF(LEFT(Table1[[#This Row],[Final Obj Name]],1)="/",LEFT(Table1[[#This Row],[Final Obj Name]],FIND("/",Table1[[#This Row],[Final Obj Name]],2)),"/0SAP/")</f>
        <v>/0SAP/</v>
      </c>
    </row>
    <row r="66">
      <c r="A66" t="str">
        <v>CLAS</v>
      </c>
      <c r="B66" t="str">
        <v>ZCL_MDGC_FLOWFORCE_STATUS</v>
      </c>
      <c r="C66" t="str">
        <v>CPRI</v>
      </c>
      <c r="D66" t="str">
        <v>ZCL_MDGC_FLOWFORCE_STATUS</v>
      </c>
      <c r="E66" t="str">
        <v>XXXX</v>
      </c>
      <c r="G66" t="str">
        <v>ALL</v>
      </c>
      <c r="K66" t="str">
        <v>E</v>
      </c>
      <c r="L66" t="str">
        <v>NSHAIK</v>
      </c>
      <c r="M66">
        <v>46020</v>
      </c>
      <c r="N66">
        <v>0.30429398148148</v>
      </c>
      <c r="Y66">
        <f>IF(Table1[[#This Row],[OPERATION]]="NOTE","NOTE",Table1[[#This Row],[SUB_TYPE]])</f>
        <v>0</v>
      </c>
      <c r="Z66">
        <f>IF(Table1[[#This Row],[OPERATION]]="NOTE",NUMBERVALUE(LEFT(Table1[[#This Row],[MOD_NAME]],LEN(Table1[[#This Row],[MOD_NAME]])-4)),Table1[[#This Row],[SUB_NAME]])</f>
        <v>0</v>
      </c>
      <c r="AA66" t="str">
        <f>CONCAT(Table1[[#This Row],[Final Obj Type]],"|",Table1[[#This Row],[Final Obj Name]])</f>
        <v>0|0</v>
      </c>
      <c r="AB66" t="e">
        <f>VLOOKUP(Table1[[#This Row],[Final Obj Type]],Classification!B:E,3,FALSE)</f>
        <v>#N/A</v>
      </c>
      <c r="AC66" t="e">
        <f>VLOOKUP(Table1[[#This Row],[Final Obj Type]],Classification!B:E,4,FALSE)</f>
        <v>#N/A</v>
      </c>
      <c r="AD66" t="str">
        <f>IF(Table1[[#This Row],[Position 1]]=0,"/0SAP/",MID(Table1[[#This Row],[Final Obj Name]],Table1[[#This Row],[Position 1]],Table1[[#This Row],[Position 2]]-Table1[[#This Row],[Position 1]]+1))</f>
        <v>/0SAP/</v>
      </c>
      <c r="AE66" t="str">
        <f>VLOOKUP(Table1[[#This Row],[/* Object]],Namespace!A:J,10,FALSE)</f>
        <v>SAP AG</v>
      </c>
      <c r="AF66" t="str">
        <f>IF(VLOOKUP(Table1[[#This Row],[/* Object]],Namespace!A:J,4,FALSE)=0,"",VLOOKUP(Table1[[#This Row],[/* Object]],Namespace!A:J,4,FALSE))</f>
        <v>X</v>
      </c>
      <c r="AG66" t="str">
        <f>IF(VLOOKUP(Table1[[#This Row],[/* Object]],Namespace!A:J,5,FALSE)=0,"",VLOOKUP(Table1[[#This Row],[/* Object]],Namespace!A:J,5,FALSE))</f>
        <v>X</v>
      </c>
      <c r="AH66" t="str">
        <f>IF(VLOOKUP(Table1[[#This Row],[/* Object]],Namespace!A:J,6,FALSE)=0,"",VLOOKUP(Table1[[#This Row],[/* Object]],Namespace!A:J,6,FALSE))</f>
        <v/>
      </c>
      <c r="AI66">
        <f>IFERROR(FIND("/",Table1[[#This Row],[Final Obj Name]],1),0)</f>
        <v>0</v>
      </c>
      <c r="AJ66">
        <f>IF(Table1[[#This Row],[Position 1]]=0,0,FIND("/",Table1[[#This Row],[Final Obj Name]],Table1[[#This Row],[Position 1]]+1))</f>
        <v>0</v>
      </c>
      <c r="AK66" t="str">
        <f>IF(LEFT(Table1[[#This Row],[Final Obj Name]],1)="/",LEFT(Table1[[#This Row],[Final Obj Name]],FIND("/",Table1[[#This Row],[Final Obj Name]],2)),"/0SAP/")</f>
        <v>/0SAP/</v>
      </c>
    </row>
    <row r="67">
      <c r="A67" t="str">
        <v>CLAS</v>
      </c>
      <c r="B67" t="str">
        <v>ZCL_MDGC_FLOWFORCE_STATUS</v>
      </c>
      <c r="C67" t="str">
        <v>CPRO</v>
      </c>
      <c r="D67" t="str">
        <v>ZCL_MDGC_FLOWFORCE_STATUS</v>
      </c>
      <c r="E67" t="str">
        <v>XXXX</v>
      </c>
      <c r="G67" t="str">
        <v>ALL</v>
      </c>
      <c r="K67" t="str">
        <v>E</v>
      </c>
      <c r="L67" t="str">
        <v>NSHAIK</v>
      </c>
      <c r="M67">
        <v>46020</v>
      </c>
      <c r="N67">
        <v>0.30429398148148</v>
      </c>
      <c r="Y67">
        <f>IF(Table1[[#This Row],[OPERATION]]="NOTE","NOTE",Table1[[#This Row],[SUB_TYPE]])</f>
        <v>0</v>
      </c>
      <c r="Z67">
        <f>IF(Table1[[#This Row],[OPERATION]]="NOTE",NUMBERVALUE(LEFT(Table1[[#This Row],[MOD_NAME]],LEN(Table1[[#This Row],[MOD_NAME]])-4)),Table1[[#This Row],[SUB_NAME]])</f>
        <v>0</v>
      </c>
      <c r="AA67" t="str">
        <f>CONCAT(Table1[[#This Row],[Final Obj Type]],"|",Table1[[#This Row],[Final Obj Name]])</f>
        <v>0|0</v>
      </c>
      <c r="AB67" t="e">
        <f>VLOOKUP(Table1[[#This Row],[Final Obj Type]],Classification!B:E,3,FALSE)</f>
        <v>#N/A</v>
      </c>
      <c r="AC67" t="e">
        <f>VLOOKUP(Table1[[#This Row],[Final Obj Type]],Classification!B:E,4,FALSE)</f>
        <v>#N/A</v>
      </c>
      <c r="AD67" t="str">
        <f>IF(Table1[[#This Row],[Position 1]]=0,"/0SAP/",MID(Table1[[#This Row],[Final Obj Name]],Table1[[#This Row],[Position 1]],Table1[[#This Row],[Position 2]]-Table1[[#This Row],[Position 1]]+1))</f>
        <v>/0SAP/</v>
      </c>
      <c r="AE67" t="str">
        <f>VLOOKUP(Table1[[#This Row],[/* Object]],Namespace!A:J,10,FALSE)</f>
        <v>SAP AG</v>
      </c>
      <c r="AF67" t="str">
        <f>IF(VLOOKUP(Table1[[#This Row],[/* Object]],Namespace!A:J,4,FALSE)=0,"",VLOOKUP(Table1[[#This Row],[/* Object]],Namespace!A:J,4,FALSE))</f>
        <v>X</v>
      </c>
      <c r="AG67" t="str">
        <f>IF(VLOOKUP(Table1[[#This Row],[/* Object]],Namespace!A:J,5,FALSE)=0,"",VLOOKUP(Table1[[#This Row],[/* Object]],Namespace!A:J,5,FALSE))</f>
        <v>X</v>
      </c>
      <c r="AH67" t="str">
        <f>IF(VLOOKUP(Table1[[#This Row],[/* Object]],Namespace!A:J,6,FALSE)=0,"",VLOOKUP(Table1[[#This Row],[/* Object]],Namespace!A:J,6,FALSE))</f>
        <v/>
      </c>
      <c r="AI67">
        <f>IFERROR(FIND("/",Table1[[#This Row],[Final Obj Name]],1),0)</f>
        <v>0</v>
      </c>
      <c r="AJ67">
        <f>IF(Table1[[#This Row],[Position 1]]=0,0,FIND("/",Table1[[#This Row],[Final Obj Name]],Table1[[#This Row],[Position 1]]+1))</f>
        <v>0</v>
      </c>
      <c r="AK67" t="str">
        <f>IF(LEFT(Table1[[#This Row],[Final Obj Name]],1)="/",LEFT(Table1[[#This Row],[Final Obj Name]],FIND("/",Table1[[#This Row],[Final Obj Name]],2)),"/0SAP/")</f>
        <v>/0SAP/</v>
      </c>
    </row>
    <row r="68">
      <c r="A68" t="str">
        <v>CLAS</v>
      </c>
      <c r="B68" t="str">
        <v>ZCL_MDGC_FLOWFORCE_STATUS</v>
      </c>
      <c r="C68" t="str">
        <v>CPUB</v>
      </c>
      <c r="D68" t="str">
        <v>ZCL_MDGC_FLOWFORCE_STATUS</v>
      </c>
      <c r="E68" t="str">
        <v>XXXX</v>
      </c>
      <c r="G68" t="str">
        <v>ALL</v>
      </c>
      <c r="K68" t="str">
        <v>E</v>
      </c>
      <c r="L68" t="str">
        <v>NSHAIK</v>
      </c>
      <c r="M68">
        <v>46020</v>
      </c>
      <c r="N68">
        <v>0.30429398148148</v>
      </c>
      <c r="Y68">
        <f>IF(Table1[[#This Row],[OPERATION]]="NOTE","NOTE",Table1[[#This Row],[SUB_TYPE]])</f>
        <v>0</v>
      </c>
      <c r="Z68">
        <f>IF(Table1[[#This Row],[OPERATION]]="NOTE",NUMBERVALUE(LEFT(Table1[[#This Row],[MOD_NAME]],LEN(Table1[[#This Row],[MOD_NAME]])-4)),Table1[[#This Row],[SUB_NAME]])</f>
        <v>0</v>
      </c>
      <c r="AA68" t="str">
        <f>CONCAT(Table1[[#This Row],[Final Obj Type]],"|",Table1[[#This Row],[Final Obj Name]])</f>
        <v>0|0</v>
      </c>
      <c r="AB68" t="e">
        <f>VLOOKUP(Table1[[#This Row],[Final Obj Type]],Classification!B:E,3,FALSE)</f>
        <v>#N/A</v>
      </c>
      <c r="AC68" t="e">
        <f>VLOOKUP(Table1[[#This Row],[Final Obj Type]],Classification!B:E,4,FALSE)</f>
        <v>#N/A</v>
      </c>
      <c r="AD68" t="str">
        <f>IF(Table1[[#This Row],[Position 1]]=0,"/0SAP/",MID(Table1[[#This Row],[Final Obj Name]],Table1[[#This Row],[Position 1]],Table1[[#This Row],[Position 2]]-Table1[[#This Row],[Position 1]]+1))</f>
        <v>/0SAP/</v>
      </c>
      <c r="AE68" t="str">
        <f>VLOOKUP(Table1[[#This Row],[/* Object]],Namespace!A:J,10,FALSE)</f>
        <v>SAP AG</v>
      </c>
      <c r="AF68" t="str">
        <f>IF(VLOOKUP(Table1[[#This Row],[/* Object]],Namespace!A:J,4,FALSE)=0,"",VLOOKUP(Table1[[#This Row],[/* Object]],Namespace!A:J,4,FALSE))</f>
        <v>X</v>
      </c>
      <c r="AG68" t="str">
        <f>IF(VLOOKUP(Table1[[#This Row],[/* Object]],Namespace!A:J,5,FALSE)=0,"",VLOOKUP(Table1[[#This Row],[/* Object]],Namespace!A:J,5,FALSE))</f>
        <v>X</v>
      </c>
      <c r="AH68" t="str">
        <f>IF(VLOOKUP(Table1[[#This Row],[/* Object]],Namespace!A:J,6,FALSE)=0,"",VLOOKUP(Table1[[#This Row],[/* Object]],Namespace!A:J,6,FALSE))</f>
        <v/>
      </c>
      <c r="AI68">
        <f>IFERROR(FIND("/",Table1[[#This Row],[Final Obj Name]],1),0)</f>
        <v>0</v>
      </c>
      <c r="AJ68">
        <f>IF(Table1[[#This Row],[Position 1]]=0,0,FIND("/",Table1[[#This Row],[Final Obj Name]],Table1[[#This Row],[Position 1]]+1))</f>
        <v>0</v>
      </c>
      <c r="AK68" t="str">
        <f>IF(LEFT(Table1[[#This Row],[Final Obj Name]],1)="/",LEFT(Table1[[#This Row],[Final Obj Name]],FIND("/",Table1[[#This Row],[Final Obj Name]],2)),"/0SAP/")</f>
        <v>/0SAP/</v>
      </c>
    </row>
    <row r="69">
      <c r="A69" t="str">
        <v>CLAS</v>
      </c>
      <c r="B69" t="str">
        <v>ZCL_MDGC_INFORMATICA_ADDR_API</v>
      </c>
      <c r="C69" t="str">
        <v>CPRI</v>
      </c>
      <c r="D69" t="str">
        <v>ZCL_MDGC_INFORMATICA_ADDR_API</v>
      </c>
      <c r="E69" t="str">
        <v>XXXX</v>
      </c>
      <c r="G69" t="str">
        <v>ALL</v>
      </c>
      <c r="K69" t="str">
        <v>E</v>
      </c>
      <c r="L69" t="str">
        <v>NSHAIK</v>
      </c>
      <c r="M69">
        <v>46021</v>
      </c>
      <c r="N69">
        <v>0.17290509259259</v>
      </c>
      <c r="Y69">
        <f>IF(Table1[[#This Row],[OPERATION]]="NOTE","NOTE",Table1[[#This Row],[SUB_TYPE]])</f>
        <v>0</v>
      </c>
      <c r="Z69">
        <f>IF(Table1[[#This Row],[OPERATION]]="NOTE",NUMBERVALUE(LEFT(Table1[[#This Row],[MOD_NAME]],LEN(Table1[[#This Row],[MOD_NAME]])-4)),Table1[[#This Row],[SUB_NAME]])</f>
        <v>0</v>
      </c>
      <c r="AA69" t="str">
        <f>CONCAT(Table1[[#This Row],[Final Obj Type]],"|",Table1[[#This Row],[Final Obj Name]])</f>
        <v>0|0</v>
      </c>
      <c r="AB69" t="e">
        <f>VLOOKUP(Table1[[#This Row],[Final Obj Type]],Classification!B:E,3,FALSE)</f>
        <v>#N/A</v>
      </c>
      <c r="AC69" t="e">
        <f>VLOOKUP(Table1[[#This Row],[Final Obj Type]],Classification!B:E,4,FALSE)</f>
        <v>#N/A</v>
      </c>
      <c r="AD69" t="str">
        <f>IF(Table1[[#This Row],[Position 1]]=0,"/0SAP/",MID(Table1[[#This Row],[Final Obj Name]],Table1[[#This Row],[Position 1]],Table1[[#This Row],[Position 2]]-Table1[[#This Row],[Position 1]]+1))</f>
        <v>/0SAP/</v>
      </c>
      <c r="AE69" t="str">
        <f>VLOOKUP(Table1[[#This Row],[/* Object]],Namespace!A:J,10,FALSE)</f>
        <v>SAP AG</v>
      </c>
      <c r="AF69" t="str">
        <f>IF(VLOOKUP(Table1[[#This Row],[/* Object]],Namespace!A:J,4,FALSE)=0,"",VLOOKUP(Table1[[#This Row],[/* Object]],Namespace!A:J,4,FALSE))</f>
        <v>X</v>
      </c>
      <c r="AG69" t="str">
        <f>IF(VLOOKUP(Table1[[#This Row],[/* Object]],Namespace!A:J,5,FALSE)=0,"",VLOOKUP(Table1[[#This Row],[/* Object]],Namespace!A:J,5,FALSE))</f>
        <v>X</v>
      </c>
      <c r="AH69" t="str">
        <f>IF(VLOOKUP(Table1[[#This Row],[/* Object]],Namespace!A:J,6,FALSE)=0,"",VLOOKUP(Table1[[#This Row],[/* Object]],Namespace!A:J,6,FALSE))</f>
        <v/>
      </c>
      <c r="AI69">
        <f>IFERROR(FIND("/",Table1[[#This Row],[Final Obj Name]],1),0)</f>
        <v>0</v>
      </c>
      <c r="AJ69">
        <f>IF(Table1[[#This Row],[Position 1]]=0,0,FIND("/",Table1[[#This Row],[Final Obj Name]],Table1[[#This Row],[Position 1]]+1))</f>
        <v>0</v>
      </c>
      <c r="AK69" t="str">
        <f>IF(LEFT(Table1[[#This Row],[Final Obj Name]],1)="/",LEFT(Table1[[#This Row],[Final Obj Name]],FIND("/",Table1[[#This Row],[Final Obj Name]],2)),"/0SAP/")</f>
        <v>/0SAP/</v>
      </c>
    </row>
    <row r="70">
      <c r="A70" t="str">
        <v>CLAS</v>
      </c>
      <c r="B70" t="str">
        <v>ZCL_MDGC_INFORMATICA_ADDR_API</v>
      </c>
      <c r="C70" t="str">
        <v>CPRO</v>
      </c>
      <c r="D70" t="str">
        <v>ZCL_MDGC_INFORMATICA_ADDR_API</v>
      </c>
      <c r="E70" t="str">
        <v>XXXX</v>
      </c>
      <c r="G70" t="str">
        <v>ALL</v>
      </c>
      <c r="K70" t="str">
        <v>E</v>
      </c>
      <c r="L70" t="str">
        <v>NSHAIK</v>
      </c>
      <c r="M70">
        <v>46021</v>
      </c>
      <c r="N70">
        <v>0.17290509259259</v>
      </c>
      <c r="Y70">
        <f>IF(Table1[[#This Row],[OPERATION]]="NOTE","NOTE",Table1[[#This Row],[SUB_TYPE]])</f>
        <v>0</v>
      </c>
      <c r="Z70">
        <f>IF(Table1[[#This Row],[OPERATION]]="NOTE",NUMBERVALUE(LEFT(Table1[[#This Row],[MOD_NAME]],LEN(Table1[[#This Row],[MOD_NAME]])-4)),Table1[[#This Row],[SUB_NAME]])</f>
        <v>0</v>
      </c>
      <c r="AA70" t="str">
        <f>CONCAT(Table1[[#This Row],[Final Obj Type]],"|",Table1[[#This Row],[Final Obj Name]])</f>
        <v>0|0</v>
      </c>
      <c r="AB70" t="e">
        <f>VLOOKUP(Table1[[#This Row],[Final Obj Type]],Classification!B:E,3,FALSE)</f>
        <v>#N/A</v>
      </c>
      <c r="AC70" t="e">
        <f>VLOOKUP(Table1[[#This Row],[Final Obj Type]],Classification!B:E,4,FALSE)</f>
        <v>#N/A</v>
      </c>
      <c r="AD70" t="str">
        <f>IF(Table1[[#This Row],[Position 1]]=0,"/0SAP/",MID(Table1[[#This Row],[Final Obj Name]],Table1[[#This Row],[Position 1]],Table1[[#This Row],[Position 2]]-Table1[[#This Row],[Position 1]]+1))</f>
        <v>/0SAP/</v>
      </c>
      <c r="AE70" t="str">
        <f>VLOOKUP(Table1[[#This Row],[/* Object]],Namespace!A:J,10,FALSE)</f>
        <v>SAP AG</v>
      </c>
      <c r="AF70" t="str">
        <f>IF(VLOOKUP(Table1[[#This Row],[/* Object]],Namespace!A:J,4,FALSE)=0,"",VLOOKUP(Table1[[#This Row],[/* Object]],Namespace!A:J,4,FALSE))</f>
        <v>X</v>
      </c>
      <c r="AG70" t="str">
        <f>IF(VLOOKUP(Table1[[#This Row],[/* Object]],Namespace!A:J,5,FALSE)=0,"",VLOOKUP(Table1[[#This Row],[/* Object]],Namespace!A:J,5,FALSE))</f>
        <v>X</v>
      </c>
      <c r="AH70" t="str">
        <f>IF(VLOOKUP(Table1[[#This Row],[/* Object]],Namespace!A:J,6,FALSE)=0,"",VLOOKUP(Table1[[#This Row],[/* Object]],Namespace!A:J,6,FALSE))</f>
        <v/>
      </c>
      <c r="AI70">
        <f>IFERROR(FIND("/",Table1[[#This Row],[Final Obj Name]],1),0)</f>
        <v>0</v>
      </c>
      <c r="AJ70">
        <f>IF(Table1[[#This Row],[Position 1]]=0,0,FIND("/",Table1[[#This Row],[Final Obj Name]],Table1[[#This Row],[Position 1]]+1))</f>
        <v>0</v>
      </c>
      <c r="AK70" t="str">
        <f>IF(LEFT(Table1[[#This Row],[Final Obj Name]],1)="/",LEFT(Table1[[#This Row],[Final Obj Name]],FIND("/",Table1[[#This Row],[Final Obj Name]],2)),"/0SAP/")</f>
        <v>/0SAP/</v>
      </c>
    </row>
    <row r="71">
      <c r="A71" t="str">
        <v>CLAS</v>
      </c>
      <c r="B71" t="str">
        <v>ZCL_MDGC_INFORMATICA_ADDR_API</v>
      </c>
      <c r="C71" t="str">
        <v>CPUB</v>
      </c>
      <c r="D71" t="str">
        <v>ZCL_MDGC_INFORMATICA_ADDR_API</v>
      </c>
      <c r="E71" t="str">
        <v>XXXX</v>
      </c>
      <c r="G71" t="str">
        <v>ALL</v>
      </c>
      <c r="K71" t="str">
        <v>E</v>
      </c>
      <c r="L71" t="str">
        <v>NSHAIK</v>
      </c>
      <c r="M71">
        <v>46021</v>
      </c>
      <c r="N71">
        <v>0.17290509259259</v>
      </c>
      <c r="Y71">
        <f>IF(Table1[[#This Row],[OPERATION]]="NOTE","NOTE",Table1[[#This Row],[SUB_TYPE]])</f>
        <v>0</v>
      </c>
      <c r="Z71">
        <f>IF(Table1[[#This Row],[OPERATION]]="NOTE",NUMBERVALUE(LEFT(Table1[[#This Row],[MOD_NAME]],LEN(Table1[[#This Row],[MOD_NAME]])-4)),Table1[[#This Row],[SUB_NAME]])</f>
        <v>0</v>
      </c>
      <c r="AA71" t="str">
        <f>CONCAT(Table1[[#This Row],[Final Obj Type]],"|",Table1[[#This Row],[Final Obj Name]])</f>
        <v>0|0</v>
      </c>
      <c r="AB71" t="e">
        <f>VLOOKUP(Table1[[#This Row],[Final Obj Type]],Classification!B:E,3,FALSE)</f>
        <v>#N/A</v>
      </c>
      <c r="AC71" t="e">
        <f>VLOOKUP(Table1[[#This Row],[Final Obj Type]],Classification!B:E,4,FALSE)</f>
        <v>#N/A</v>
      </c>
      <c r="AD71" t="str">
        <f>IF(Table1[[#This Row],[Position 1]]=0,"/0SAP/",MID(Table1[[#This Row],[Final Obj Name]],Table1[[#This Row],[Position 1]],Table1[[#This Row],[Position 2]]-Table1[[#This Row],[Position 1]]+1))</f>
        <v>/0SAP/</v>
      </c>
      <c r="AE71" t="str">
        <f>VLOOKUP(Table1[[#This Row],[/* Object]],Namespace!A:J,10,FALSE)</f>
        <v>SAP AG</v>
      </c>
      <c r="AF71" t="str">
        <f>IF(VLOOKUP(Table1[[#This Row],[/* Object]],Namespace!A:J,4,FALSE)=0,"",VLOOKUP(Table1[[#This Row],[/* Object]],Namespace!A:J,4,FALSE))</f>
        <v>X</v>
      </c>
      <c r="AG71" t="str">
        <f>IF(VLOOKUP(Table1[[#This Row],[/* Object]],Namespace!A:J,5,FALSE)=0,"",VLOOKUP(Table1[[#This Row],[/* Object]],Namespace!A:J,5,FALSE))</f>
        <v>X</v>
      </c>
      <c r="AH71" t="str">
        <f>IF(VLOOKUP(Table1[[#This Row],[/* Object]],Namespace!A:J,6,FALSE)=0,"",VLOOKUP(Table1[[#This Row],[/* Object]],Namespace!A:J,6,FALSE))</f>
        <v/>
      </c>
      <c r="AI71">
        <f>IFERROR(FIND("/",Table1[[#This Row],[Final Obj Name]],1),0)</f>
        <v>0</v>
      </c>
      <c r="AJ71">
        <f>IF(Table1[[#This Row],[Position 1]]=0,0,FIND("/",Table1[[#This Row],[Final Obj Name]],Table1[[#This Row],[Position 1]]+1))</f>
        <v>0</v>
      </c>
      <c r="AK71" t="str">
        <f>IF(LEFT(Table1[[#This Row],[Final Obj Name]],1)="/",LEFT(Table1[[#This Row],[Final Obj Name]],FIND("/",Table1[[#This Row],[Final Obj Name]],2)),"/0SAP/")</f>
        <v>/0SAP/</v>
      </c>
    </row>
    <row r="72">
      <c r="A72" t="str">
        <v>CLAS</v>
      </c>
      <c r="B72" t="str">
        <v>ZCL_MDGC_IOBD_01017_DELL_BOOMI</v>
      </c>
      <c r="C72" t="str">
        <v>CPRI</v>
      </c>
      <c r="D72" t="str">
        <v>ZCL_MDGC_IOBD_01017_DELL_BOOMI</v>
      </c>
      <c r="E72" t="str">
        <v>XXXX</v>
      </c>
      <c r="G72" t="str">
        <v>ALL</v>
      </c>
      <c r="K72" t="str">
        <v>E</v>
      </c>
      <c r="L72" t="str">
        <v>NSHAIK</v>
      </c>
      <c r="M72">
        <v>46020</v>
      </c>
      <c r="N72">
        <v>0.30478009259259</v>
      </c>
      <c r="Y72">
        <f>IF(Table1[[#This Row],[OPERATION]]="NOTE","NOTE",Table1[[#This Row],[SUB_TYPE]])</f>
        <v>0</v>
      </c>
      <c r="Z72">
        <f>IF(Table1[[#This Row],[OPERATION]]="NOTE",NUMBERVALUE(LEFT(Table1[[#This Row],[MOD_NAME]],LEN(Table1[[#This Row],[MOD_NAME]])-4)),Table1[[#This Row],[SUB_NAME]])</f>
        <v>0</v>
      </c>
      <c r="AA72" t="str">
        <f>CONCAT(Table1[[#This Row],[Final Obj Type]],"|",Table1[[#This Row],[Final Obj Name]])</f>
        <v>0|0</v>
      </c>
      <c r="AB72" t="e">
        <f>VLOOKUP(Table1[[#This Row],[Final Obj Type]],Classification!B:E,3,FALSE)</f>
        <v>#N/A</v>
      </c>
      <c r="AC72" t="e">
        <f>VLOOKUP(Table1[[#This Row],[Final Obj Type]],Classification!B:E,4,FALSE)</f>
        <v>#N/A</v>
      </c>
      <c r="AD72" t="str">
        <f>IF(Table1[[#This Row],[Position 1]]=0,"/0SAP/",MID(Table1[[#This Row],[Final Obj Name]],Table1[[#This Row],[Position 1]],Table1[[#This Row],[Position 2]]-Table1[[#This Row],[Position 1]]+1))</f>
        <v>/0SAP/</v>
      </c>
      <c r="AE72" t="str">
        <f>VLOOKUP(Table1[[#This Row],[/* Object]],Namespace!A:J,10,FALSE)</f>
        <v>SAP AG</v>
      </c>
      <c r="AF72" t="str">
        <f>IF(VLOOKUP(Table1[[#This Row],[/* Object]],Namespace!A:J,4,FALSE)=0,"",VLOOKUP(Table1[[#This Row],[/* Object]],Namespace!A:J,4,FALSE))</f>
        <v>X</v>
      </c>
      <c r="AG72" t="str">
        <f>IF(VLOOKUP(Table1[[#This Row],[/* Object]],Namespace!A:J,5,FALSE)=0,"",VLOOKUP(Table1[[#This Row],[/* Object]],Namespace!A:J,5,FALSE))</f>
        <v>X</v>
      </c>
      <c r="AH72" t="str">
        <f>IF(VLOOKUP(Table1[[#This Row],[/* Object]],Namespace!A:J,6,FALSE)=0,"",VLOOKUP(Table1[[#This Row],[/* Object]],Namespace!A:J,6,FALSE))</f>
        <v/>
      </c>
      <c r="AI72">
        <f>IFERROR(FIND("/",Table1[[#This Row],[Final Obj Name]],1),0)</f>
        <v>0</v>
      </c>
      <c r="AJ72">
        <f>IF(Table1[[#This Row],[Position 1]]=0,0,FIND("/",Table1[[#This Row],[Final Obj Name]],Table1[[#This Row],[Position 1]]+1))</f>
        <v>0</v>
      </c>
      <c r="AK72" t="str">
        <f>IF(LEFT(Table1[[#This Row],[Final Obj Name]],1)="/",LEFT(Table1[[#This Row],[Final Obj Name]],FIND("/",Table1[[#This Row],[Final Obj Name]],2)),"/0SAP/")</f>
        <v>/0SAP/</v>
      </c>
    </row>
    <row r="73">
      <c r="A73" t="str">
        <v>CLAS</v>
      </c>
      <c r="B73" t="str">
        <v>ZCL_MDGC_IOBD_01017_DELL_BOOMI</v>
      </c>
      <c r="C73" t="str">
        <v>CPRO</v>
      </c>
      <c r="D73" t="str">
        <v>ZCL_MDGC_IOBD_01017_DELL_BOOMI</v>
      </c>
      <c r="E73" t="str">
        <v>XXXX</v>
      </c>
      <c r="G73" t="str">
        <v>ALL</v>
      </c>
      <c r="K73" t="str">
        <v>E</v>
      </c>
      <c r="L73" t="str">
        <v>NSHAIK</v>
      </c>
      <c r="M73">
        <v>46020</v>
      </c>
      <c r="N73">
        <v>0.30478009259259</v>
      </c>
      <c r="Y73">
        <f>IF(Table1[[#This Row],[OPERATION]]="NOTE","NOTE",Table1[[#This Row],[SUB_TYPE]])</f>
        <v>0</v>
      </c>
      <c r="Z73">
        <f>IF(Table1[[#This Row],[OPERATION]]="NOTE",NUMBERVALUE(LEFT(Table1[[#This Row],[MOD_NAME]],LEN(Table1[[#This Row],[MOD_NAME]])-4)),Table1[[#This Row],[SUB_NAME]])</f>
        <v>0</v>
      </c>
      <c r="AA73" t="str">
        <f>CONCAT(Table1[[#This Row],[Final Obj Type]],"|",Table1[[#This Row],[Final Obj Name]])</f>
        <v>0|0</v>
      </c>
      <c r="AB73" t="e">
        <f>VLOOKUP(Table1[[#This Row],[Final Obj Type]],Classification!B:E,3,FALSE)</f>
        <v>#N/A</v>
      </c>
      <c r="AC73" t="e">
        <f>VLOOKUP(Table1[[#This Row],[Final Obj Type]],Classification!B:E,4,FALSE)</f>
        <v>#N/A</v>
      </c>
      <c r="AD73" t="str">
        <f>IF(Table1[[#This Row],[Position 1]]=0,"/0SAP/",MID(Table1[[#This Row],[Final Obj Name]],Table1[[#This Row],[Position 1]],Table1[[#This Row],[Position 2]]-Table1[[#This Row],[Position 1]]+1))</f>
        <v>/0SAP/</v>
      </c>
      <c r="AE73" t="str">
        <f>VLOOKUP(Table1[[#This Row],[/* Object]],Namespace!A:J,10,FALSE)</f>
        <v>SAP AG</v>
      </c>
      <c r="AF73" t="str">
        <f>IF(VLOOKUP(Table1[[#This Row],[/* Object]],Namespace!A:J,4,FALSE)=0,"",VLOOKUP(Table1[[#This Row],[/* Object]],Namespace!A:J,4,FALSE))</f>
        <v>X</v>
      </c>
      <c r="AG73" t="str">
        <f>IF(VLOOKUP(Table1[[#This Row],[/* Object]],Namespace!A:J,5,FALSE)=0,"",VLOOKUP(Table1[[#This Row],[/* Object]],Namespace!A:J,5,FALSE))</f>
        <v>X</v>
      </c>
      <c r="AH73" t="str">
        <f>IF(VLOOKUP(Table1[[#This Row],[/* Object]],Namespace!A:J,6,FALSE)=0,"",VLOOKUP(Table1[[#This Row],[/* Object]],Namespace!A:J,6,FALSE))</f>
        <v/>
      </c>
      <c r="AI73">
        <f>IFERROR(FIND("/",Table1[[#This Row],[Final Obj Name]],1),0)</f>
        <v>0</v>
      </c>
      <c r="AJ73">
        <f>IF(Table1[[#This Row],[Position 1]]=0,0,FIND("/",Table1[[#This Row],[Final Obj Name]],Table1[[#This Row],[Position 1]]+1))</f>
        <v>0</v>
      </c>
      <c r="AK73" t="str">
        <f>IF(LEFT(Table1[[#This Row],[Final Obj Name]],1)="/",LEFT(Table1[[#This Row],[Final Obj Name]],FIND("/",Table1[[#This Row],[Final Obj Name]],2)),"/0SAP/")</f>
        <v>/0SAP/</v>
      </c>
    </row>
    <row r="74">
      <c r="A74" t="str">
        <v>CLAS</v>
      </c>
      <c r="B74" t="str">
        <v>ZCL_MDGC_IOBD_01017_DELL_BOOMI</v>
      </c>
      <c r="C74" t="str">
        <v>CPUB</v>
      </c>
      <c r="D74" t="str">
        <v>ZCL_MDGC_IOBD_01017_DELL_BOOMI</v>
      </c>
      <c r="E74" t="str">
        <v>XXXX</v>
      </c>
      <c r="G74" t="str">
        <v>ALL</v>
      </c>
      <c r="K74" t="str">
        <v>E</v>
      </c>
      <c r="L74" t="str">
        <v>NSHAIK</v>
      </c>
      <c r="M74">
        <v>46020</v>
      </c>
      <c r="N74">
        <v>0.30478009259259</v>
      </c>
      <c r="Y74">
        <f>IF(Table1[[#This Row],[OPERATION]]="NOTE","NOTE",Table1[[#This Row],[SUB_TYPE]])</f>
        <v>0</v>
      </c>
      <c r="Z74">
        <f>IF(Table1[[#This Row],[OPERATION]]="NOTE",NUMBERVALUE(LEFT(Table1[[#This Row],[MOD_NAME]],LEN(Table1[[#This Row],[MOD_NAME]])-4)),Table1[[#This Row],[SUB_NAME]])</f>
        <v>0</v>
      </c>
      <c r="AA74" t="str">
        <f>CONCAT(Table1[[#This Row],[Final Obj Type]],"|",Table1[[#This Row],[Final Obj Name]])</f>
        <v>0|0</v>
      </c>
      <c r="AB74" t="e">
        <f>VLOOKUP(Table1[[#This Row],[Final Obj Type]],Classification!B:E,3,FALSE)</f>
        <v>#N/A</v>
      </c>
      <c r="AC74" t="e">
        <f>VLOOKUP(Table1[[#This Row],[Final Obj Type]],Classification!B:E,4,FALSE)</f>
        <v>#N/A</v>
      </c>
      <c r="AD74" t="str">
        <f>IF(Table1[[#This Row],[Position 1]]=0,"/0SAP/",MID(Table1[[#This Row],[Final Obj Name]],Table1[[#This Row],[Position 1]],Table1[[#This Row],[Position 2]]-Table1[[#This Row],[Position 1]]+1))</f>
        <v>/0SAP/</v>
      </c>
      <c r="AE74" t="str">
        <f>VLOOKUP(Table1[[#This Row],[/* Object]],Namespace!A:J,10,FALSE)</f>
        <v>SAP AG</v>
      </c>
      <c r="AF74" t="str">
        <f>IF(VLOOKUP(Table1[[#This Row],[/* Object]],Namespace!A:J,4,FALSE)=0,"",VLOOKUP(Table1[[#This Row],[/* Object]],Namespace!A:J,4,FALSE))</f>
        <v>X</v>
      </c>
      <c r="AG74" t="str">
        <f>IF(VLOOKUP(Table1[[#This Row],[/* Object]],Namespace!A:J,5,FALSE)=0,"",VLOOKUP(Table1[[#This Row],[/* Object]],Namespace!A:J,5,FALSE))</f>
        <v>X</v>
      </c>
      <c r="AH74" t="str">
        <f>IF(VLOOKUP(Table1[[#This Row],[/* Object]],Namespace!A:J,6,FALSE)=0,"",VLOOKUP(Table1[[#This Row],[/* Object]],Namespace!A:J,6,FALSE))</f>
        <v/>
      </c>
      <c r="AI74">
        <f>IFERROR(FIND("/",Table1[[#This Row],[Final Obj Name]],1),0)</f>
        <v>0</v>
      </c>
      <c r="AJ74">
        <f>IF(Table1[[#This Row],[Position 1]]=0,0,FIND("/",Table1[[#This Row],[Final Obj Name]],Table1[[#This Row],[Position 1]]+1))</f>
        <v>0</v>
      </c>
      <c r="AK74" t="str">
        <f>IF(LEFT(Table1[[#This Row],[Final Obj Name]],1)="/",LEFT(Table1[[#This Row],[Final Obj Name]],FIND("/",Table1[[#This Row],[Final Obj Name]],2)),"/0SAP/")</f>
        <v>/0SAP/</v>
      </c>
    </row>
    <row r="75">
      <c r="A75" t="str">
        <v>CLAS</v>
      </c>
      <c r="B75" t="str">
        <v>ZCL_MDGC_ORIG_ADD_SELECTED</v>
      </c>
      <c r="C75" t="str">
        <v>CPRI</v>
      </c>
      <c r="D75" t="str">
        <v>ZCL_MDGC_ORIG_ADD_SELECTED</v>
      </c>
      <c r="E75" t="str">
        <v>XXXX</v>
      </c>
      <c r="G75" t="str">
        <v>ALL</v>
      </c>
      <c r="K75" t="str">
        <v>E</v>
      </c>
      <c r="L75" t="str">
        <v>NSHAIK</v>
      </c>
      <c r="M75">
        <v>46021</v>
      </c>
      <c r="N75">
        <v>0.17396990740741</v>
      </c>
      <c r="Y75">
        <f>IF(Table1[[#This Row],[OPERATION]]="NOTE","NOTE",Table1[[#This Row],[SUB_TYPE]])</f>
        <v>0</v>
      </c>
      <c r="Z75">
        <f>IF(Table1[[#This Row],[OPERATION]]="NOTE",NUMBERVALUE(LEFT(Table1[[#This Row],[MOD_NAME]],LEN(Table1[[#This Row],[MOD_NAME]])-4)),Table1[[#This Row],[SUB_NAME]])</f>
        <v>0</v>
      </c>
      <c r="AA75" t="str">
        <f>CONCAT(Table1[[#This Row],[Final Obj Type]],"|",Table1[[#This Row],[Final Obj Name]])</f>
        <v>0|0</v>
      </c>
      <c r="AB75" t="e">
        <f>VLOOKUP(Table1[[#This Row],[Final Obj Type]],Classification!B:E,3,FALSE)</f>
        <v>#N/A</v>
      </c>
      <c r="AC75" t="e">
        <f>VLOOKUP(Table1[[#This Row],[Final Obj Type]],Classification!B:E,4,FALSE)</f>
        <v>#N/A</v>
      </c>
      <c r="AD75" t="str">
        <f>IF(Table1[[#This Row],[Position 1]]=0,"/0SAP/",MID(Table1[[#This Row],[Final Obj Name]],Table1[[#This Row],[Position 1]],Table1[[#This Row],[Position 2]]-Table1[[#This Row],[Position 1]]+1))</f>
        <v>/0SAP/</v>
      </c>
      <c r="AE75" t="str">
        <f>VLOOKUP(Table1[[#This Row],[/* Object]],Namespace!A:J,10,FALSE)</f>
        <v>SAP AG</v>
      </c>
      <c r="AF75" t="str">
        <f>IF(VLOOKUP(Table1[[#This Row],[/* Object]],Namespace!A:J,4,FALSE)=0,"",VLOOKUP(Table1[[#This Row],[/* Object]],Namespace!A:J,4,FALSE))</f>
        <v>X</v>
      </c>
      <c r="AG75" t="str">
        <f>IF(VLOOKUP(Table1[[#This Row],[/* Object]],Namespace!A:J,5,FALSE)=0,"",VLOOKUP(Table1[[#This Row],[/* Object]],Namespace!A:J,5,FALSE))</f>
        <v>X</v>
      </c>
      <c r="AH75" t="str">
        <f>IF(VLOOKUP(Table1[[#This Row],[/* Object]],Namespace!A:J,6,FALSE)=0,"",VLOOKUP(Table1[[#This Row],[/* Object]],Namespace!A:J,6,FALSE))</f>
        <v/>
      </c>
      <c r="AI75">
        <f>IFERROR(FIND("/",Table1[[#This Row],[Final Obj Name]],1),0)</f>
        <v>0</v>
      </c>
      <c r="AJ75">
        <f>IF(Table1[[#This Row],[Position 1]]=0,0,FIND("/",Table1[[#This Row],[Final Obj Name]],Table1[[#This Row],[Position 1]]+1))</f>
        <v>0</v>
      </c>
      <c r="AK75" t="str">
        <f>IF(LEFT(Table1[[#This Row],[Final Obj Name]],1)="/",LEFT(Table1[[#This Row],[Final Obj Name]],FIND("/",Table1[[#This Row],[Final Obj Name]],2)),"/0SAP/")</f>
        <v>/0SAP/</v>
      </c>
    </row>
    <row r="76">
      <c r="A76" t="str">
        <v>CLAS</v>
      </c>
      <c r="B76" t="str">
        <v>ZCL_MDGC_ORIG_ADD_SELECTED</v>
      </c>
      <c r="C76" t="str">
        <v>CPRO</v>
      </c>
      <c r="D76" t="str">
        <v>ZCL_MDGC_ORIG_ADD_SELECTED</v>
      </c>
      <c r="E76" t="str">
        <v>XXXX</v>
      </c>
      <c r="G76" t="str">
        <v>ALL</v>
      </c>
      <c r="K76" t="str">
        <v>E</v>
      </c>
      <c r="L76" t="str">
        <v>NSHAIK</v>
      </c>
      <c r="M76">
        <v>46021</v>
      </c>
      <c r="N76">
        <v>0.17396990740741</v>
      </c>
      <c r="Y76">
        <f>IF(Table1[[#This Row],[OPERATION]]="NOTE","NOTE",Table1[[#This Row],[SUB_TYPE]])</f>
        <v>0</v>
      </c>
      <c r="Z76">
        <f>IF(Table1[[#This Row],[OPERATION]]="NOTE",NUMBERVALUE(LEFT(Table1[[#This Row],[MOD_NAME]],LEN(Table1[[#This Row],[MOD_NAME]])-4)),Table1[[#This Row],[SUB_NAME]])</f>
        <v>0</v>
      </c>
      <c r="AA76" t="str">
        <f>CONCAT(Table1[[#This Row],[Final Obj Type]],"|",Table1[[#This Row],[Final Obj Name]])</f>
        <v>0|0</v>
      </c>
      <c r="AB76" t="e">
        <f>VLOOKUP(Table1[[#This Row],[Final Obj Type]],Classification!B:E,3,FALSE)</f>
        <v>#N/A</v>
      </c>
      <c r="AC76" t="e">
        <f>VLOOKUP(Table1[[#This Row],[Final Obj Type]],Classification!B:E,4,FALSE)</f>
        <v>#N/A</v>
      </c>
      <c r="AD76" t="str">
        <f>IF(Table1[[#This Row],[Position 1]]=0,"/0SAP/",MID(Table1[[#This Row],[Final Obj Name]],Table1[[#This Row],[Position 1]],Table1[[#This Row],[Position 2]]-Table1[[#This Row],[Position 1]]+1))</f>
        <v>/0SAP/</v>
      </c>
      <c r="AE76" t="str">
        <f>VLOOKUP(Table1[[#This Row],[/* Object]],Namespace!A:J,10,FALSE)</f>
        <v>SAP AG</v>
      </c>
      <c r="AF76" t="str">
        <f>IF(VLOOKUP(Table1[[#This Row],[/* Object]],Namespace!A:J,4,FALSE)=0,"",VLOOKUP(Table1[[#This Row],[/* Object]],Namespace!A:J,4,FALSE))</f>
        <v>X</v>
      </c>
      <c r="AG76" t="str">
        <f>IF(VLOOKUP(Table1[[#This Row],[/* Object]],Namespace!A:J,5,FALSE)=0,"",VLOOKUP(Table1[[#This Row],[/* Object]],Namespace!A:J,5,FALSE))</f>
        <v>X</v>
      </c>
      <c r="AH76" t="str">
        <f>IF(VLOOKUP(Table1[[#This Row],[/* Object]],Namespace!A:J,6,FALSE)=0,"",VLOOKUP(Table1[[#This Row],[/* Object]],Namespace!A:J,6,FALSE))</f>
        <v/>
      </c>
      <c r="AI76">
        <f>IFERROR(FIND("/",Table1[[#This Row],[Final Obj Name]],1),0)</f>
        <v>0</v>
      </c>
      <c r="AJ76">
        <f>IF(Table1[[#This Row],[Position 1]]=0,0,FIND("/",Table1[[#This Row],[Final Obj Name]],Table1[[#This Row],[Position 1]]+1))</f>
        <v>0</v>
      </c>
      <c r="AK76" t="str">
        <f>IF(LEFT(Table1[[#This Row],[Final Obj Name]],1)="/",LEFT(Table1[[#This Row],[Final Obj Name]],FIND("/",Table1[[#This Row],[Final Obj Name]],2)),"/0SAP/")</f>
        <v>/0SAP/</v>
      </c>
    </row>
    <row r="77">
      <c r="A77" t="str">
        <v>CLAS</v>
      </c>
      <c r="B77" t="str">
        <v>ZCL_MDGC_ORIG_ADD_SELECTED</v>
      </c>
      <c r="C77" t="str">
        <v>CPUB</v>
      </c>
      <c r="D77" t="str">
        <v>ZCL_MDGC_ORIG_ADD_SELECTED</v>
      </c>
      <c r="E77" t="str">
        <v>XXXX</v>
      </c>
      <c r="G77" t="str">
        <v>ALL</v>
      </c>
      <c r="K77" t="str">
        <v>E</v>
      </c>
      <c r="L77" t="str">
        <v>NSHAIK</v>
      </c>
      <c r="M77">
        <v>46021</v>
      </c>
      <c r="N77">
        <v>0.17396990740741</v>
      </c>
      <c r="Y77">
        <f>IF(Table1[[#This Row],[OPERATION]]="NOTE","NOTE",Table1[[#This Row],[SUB_TYPE]])</f>
        <v>0</v>
      </c>
      <c r="Z77">
        <f>IF(Table1[[#This Row],[OPERATION]]="NOTE",NUMBERVALUE(LEFT(Table1[[#This Row],[MOD_NAME]],LEN(Table1[[#This Row],[MOD_NAME]])-4)),Table1[[#This Row],[SUB_NAME]])</f>
        <v>0</v>
      </c>
      <c r="AA77" t="str">
        <f>CONCAT(Table1[[#This Row],[Final Obj Type]],"|",Table1[[#This Row],[Final Obj Name]])</f>
        <v>0|0</v>
      </c>
      <c r="AB77" t="e">
        <f>VLOOKUP(Table1[[#This Row],[Final Obj Type]],Classification!B:E,3,FALSE)</f>
        <v>#N/A</v>
      </c>
      <c r="AC77" t="e">
        <f>VLOOKUP(Table1[[#This Row],[Final Obj Type]],Classification!B:E,4,FALSE)</f>
        <v>#N/A</v>
      </c>
      <c r="AD77" t="str">
        <f>IF(Table1[[#This Row],[Position 1]]=0,"/0SAP/",MID(Table1[[#This Row],[Final Obj Name]],Table1[[#This Row],[Position 1]],Table1[[#This Row],[Position 2]]-Table1[[#This Row],[Position 1]]+1))</f>
        <v>/0SAP/</v>
      </c>
      <c r="AE77" t="str">
        <f>VLOOKUP(Table1[[#This Row],[/* Object]],Namespace!A:J,10,FALSE)</f>
        <v>SAP AG</v>
      </c>
      <c r="AF77" t="str">
        <f>IF(VLOOKUP(Table1[[#This Row],[/* Object]],Namespace!A:J,4,FALSE)=0,"",VLOOKUP(Table1[[#This Row],[/* Object]],Namespace!A:J,4,FALSE))</f>
        <v>X</v>
      </c>
      <c r="AG77" t="str">
        <f>IF(VLOOKUP(Table1[[#This Row],[/* Object]],Namespace!A:J,5,FALSE)=0,"",VLOOKUP(Table1[[#This Row],[/* Object]],Namespace!A:J,5,FALSE))</f>
        <v>X</v>
      </c>
      <c r="AH77" t="str">
        <f>IF(VLOOKUP(Table1[[#This Row],[/* Object]],Namespace!A:J,6,FALSE)=0,"",VLOOKUP(Table1[[#This Row],[/* Object]],Namespace!A:J,6,FALSE))</f>
        <v/>
      </c>
      <c r="AI77">
        <f>IFERROR(FIND("/",Table1[[#This Row],[Final Obj Name]],1),0)</f>
        <v>0</v>
      </c>
      <c r="AJ77">
        <f>IF(Table1[[#This Row],[Position 1]]=0,0,FIND("/",Table1[[#This Row],[Final Obj Name]],Table1[[#This Row],[Position 1]]+1))</f>
        <v>0</v>
      </c>
      <c r="AK77" t="str">
        <f>IF(LEFT(Table1[[#This Row],[Final Obj Name]],1)="/",LEFT(Table1[[#This Row],[Final Obj Name]],FIND("/",Table1[[#This Row],[Final Obj Name]],2)),"/0SAP/")</f>
        <v>/0SAP/</v>
      </c>
    </row>
    <row r="78">
      <c r="A78" t="str">
        <v>CLAS</v>
      </c>
      <c r="B78" t="str">
        <v>ZCL_MDGC_RU_ASGN_SEARCH_FEEDER</v>
      </c>
      <c r="C78" t="str">
        <v>CPRI</v>
      </c>
      <c r="D78" t="str">
        <v>ZCL_MDGC_RU_ASGN_SEARCH_FEEDER</v>
      </c>
      <c r="E78" t="str">
        <v>XXXX</v>
      </c>
      <c r="G78" t="str">
        <v>ALL</v>
      </c>
      <c r="K78" t="str">
        <v>E</v>
      </c>
      <c r="L78" t="str">
        <v>NSHAIK</v>
      </c>
      <c r="M78">
        <v>46021</v>
      </c>
      <c r="N78">
        <v>0.17429398148148</v>
      </c>
      <c r="Y78">
        <f>IF(Table1[[#This Row],[OPERATION]]="NOTE","NOTE",Table1[[#This Row],[SUB_TYPE]])</f>
        <v>0</v>
      </c>
      <c r="Z78">
        <f>IF(Table1[[#This Row],[OPERATION]]="NOTE",NUMBERVALUE(LEFT(Table1[[#This Row],[MOD_NAME]],LEN(Table1[[#This Row],[MOD_NAME]])-4)),Table1[[#This Row],[SUB_NAME]])</f>
        <v>0</v>
      </c>
      <c r="AA78" t="str">
        <f>CONCAT(Table1[[#This Row],[Final Obj Type]],"|",Table1[[#This Row],[Final Obj Name]])</f>
        <v>0|0</v>
      </c>
      <c r="AB78" t="e">
        <f>VLOOKUP(Table1[[#This Row],[Final Obj Type]],Classification!B:E,3,FALSE)</f>
        <v>#N/A</v>
      </c>
      <c r="AC78" t="e">
        <f>VLOOKUP(Table1[[#This Row],[Final Obj Type]],Classification!B:E,4,FALSE)</f>
        <v>#N/A</v>
      </c>
      <c r="AD78" t="str">
        <f>IF(Table1[[#This Row],[Position 1]]=0,"/0SAP/",MID(Table1[[#This Row],[Final Obj Name]],Table1[[#This Row],[Position 1]],Table1[[#This Row],[Position 2]]-Table1[[#This Row],[Position 1]]+1))</f>
        <v>/0SAP/</v>
      </c>
      <c r="AE78" t="str">
        <f>VLOOKUP(Table1[[#This Row],[/* Object]],Namespace!A:J,10,FALSE)</f>
        <v>SAP AG</v>
      </c>
      <c r="AF78" t="str">
        <f>IF(VLOOKUP(Table1[[#This Row],[/* Object]],Namespace!A:J,4,FALSE)=0,"",VLOOKUP(Table1[[#This Row],[/* Object]],Namespace!A:J,4,FALSE))</f>
        <v>X</v>
      </c>
      <c r="AG78" t="str">
        <f>IF(VLOOKUP(Table1[[#This Row],[/* Object]],Namespace!A:J,5,FALSE)=0,"",VLOOKUP(Table1[[#This Row],[/* Object]],Namespace!A:J,5,FALSE))</f>
        <v>X</v>
      </c>
      <c r="AH78" t="str">
        <f>IF(VLOOKUP(Table1[[#This Row],[/* Object]],Namespace!A:J,6,FALSE)=0,"",VLOOKUP(Table1[[#This Row],[/* Object]],Namespace!A:J,6,FALSE))</f>
        <v/>
      </c>
      <c r="AI78">
        <f>IFERROR(FIND("/",Table1[[#This Row],[Final Obj Name]],1),0)</f>
        <v>0</v>
      </c>
      <c r="AJ78">
        <f>IF(Table1[[#This Row],[Position 1]]=0,0,FIND("/",Table1[[#This Row],[Final Obj Name]],Table1[[#This Row],[Position 1]]+1))</f>
        <v>0</v>
      </c>
      <c r="AK78" t="str">
        <f>IF(LEFT(Table1[[#This Row],[Final Obj Name]],1)="/",LEFT(Table1[[#This Row],[Final Obj Name]],FIND("/",Table1[[#This Row],[Final Obj Name]],2)),"/0SAP/")</f>
        <v>/0SAP/</v>
      </c>
    </row>
    <row r="79">
      <c r="A79" t="str">
        <v>CLAS</v>
      </c>
      <c r="B79" t="str">
        <v>ZCL_MDGC_RU_ASGN_SEARCH_FEEDER</v>
      </c>
      <c r="C79" t="str">
        <v>CPRO</v>
      </c>
      <c r="D79" t="str">
        <v>ZCL_MDGC_RU_ASGN_SEARCH_FEEDER</v>
      </c>
      <c r="E79" t="str">
        <v>XXXX</v>
      </c>
      <c r="G79" t="str">
        <v>ALL</v>
      </c>
      <c r="K79" t="str">
        <v>E</v>
      </c>
      <c r="L79" t="str">
        <v>NSHAIK</v>
      </c>
      <c r="M79">
        <v>46021</v>
      </c>
      <c r="N79">
        <v>0.17429398148148</v>
      </c>
      <c r="Y79">
        <f>IF(Table1[[#This Row],[OPERATION]]="NOTE","NOTE",Table1[[#This Row],[SUB_TYPE]])</f>
        <v>0</v>
      </c>
      <c r="Z79">
        <f>IF(Table1[[#This Row],[OPERATION]]="NOTE",NUMBERVALUE(LEFT(Table1[[#This Row],[MOD_NAME]],LEN(Table1[[#This Row],[MOD_NAME]])-4)),Table1[[#This Row],[SUB_NAME]])</f>
        <v>0</v>
      </c>
      <c r="AA79" t="str">
        <f>CONCAT(Table1[[#This Row],[Final Obj Type]],"|",Table1[[#This Row],[Final Obj Name]])</f>
        <v>0|0</v>
      </c>
      <c r="AB79" t="e">
        <f>VLOOKUP(Table1[[#This Row],[Final Obj Type]],Classification!B:E,3,FALSE)</f>
        <v>#N/A</v>
      </c>
      <c r="AC79" t="e">
        <f>VLOOKUP(Table1[[#This Row],[Final Obj Type]],Classification!B:E,4,FALSE)</f>
        <v>#N/A</v>
      </c>
      <c r="AD79" t="str">
        <f>IF(Table1[[#This Row],[Position 1]]=0,"/0SAP/",MID(Table1[[#This Row],[Final Obj Name]],Table1[[#This Row],[Position 1]],Table1[[#This Row],[Position 2]]-Table1[[#This Row],[Position 1]]+1))</f>
        <v>/0SAP/</v>
      </c>
      <c r="AE79" t="str">
        <f>VLOOKUP(Table1[[#This Row],[/* Object]],Namespace!A:J,10,FALSE)</f>
        <v>SAP AG</v>
      </c>
      <c r="AF79" t="str">
        <f>IF(VLOOKUP(Table1[[#This Row],[/* Object]],Namespace!A:J,4,FALSE)=0,"",VLOOKUP(Table1[[#This Row],[/* Object]],Namespace!A:J,4,FALSE))</f>
        <v>X</v>
      </c>
      <c r="AG79" t="str">
        <f>IF(VLOOKUP(Table1[[#This Row],[/* Object]],Namespace!A:J,5,FALSE)=0,"",VLOOKUP(Table1[[#This Row],[/* Object]],Namespace!A:J,5,FALSE))</f>
        <v>X</v>
      </c>
      <c r="AH79" t="str">
        <f>IF(VLOOKUP(Table1[[#This Row],[/* Object]],Namespace!A:J,6,FALSE)=0,"",VLOOKUP(Table1[[#This Row],[/* Object]],Namespace!A:J,6,FALSE))</f>
        <v/>
      </c>
      <c r="AI79">
        <f>IFERROR(FIND("/",Table1[[#This Row],[Final Obj Name]],1),0)</f>
        <v>0</v>
      </c>
      <c r="AJ79">
        <f>IF(Table1[[#This Row],[Position 1]]=0,0,FIND("/",Table1[[#This Row],[Final Obj Name]],Table1[[#This Row],[Position 1]]+1))</f>
        <v>0</v>
      </c>
      <c r="AK79" t="str">
        <f>IF(LEFT(Table1[[#This Row],[Final Obj Name]],1)="/",LEFT(Table1[[#This Row],[Final Obj Name]],FIND("/",Table1[[#This Row],[Final Obj Name]],2)),"/0SAP/")</f>
        <v>/0SAP/</v>
      </c>
    </row>
    <row r="80">
      <c r="A80" t="str">
        <v>CLAS</v>
      </c>
      <c r="B80" t="str">
        <v>ZCL_MDGC_RU_ASGN_SEARCH_FEEDER</v>
      </c>
      <c r="C80" t="str">
        <v>CPUB</v>
      </c>
      <c r="D80" t="str">
        <v>ZCL_MDGC_RU_ASGN_SEARCH_FEEDER</v>
      </c>
      <c r="E80" t="str">
        <v>XXXX</v>
      </c>
      <c r="G80" t="str">
        <v>ALL</v>
      </c>
      <c r="K80" t="str">
        <v>E</v>
      </c>
      <c r="L80" t="str">
        <v>NSHAIK</v>
      </c>
      <c r="M80">
        <v>46021</v>
      </c>
      <c r="N80">
        <v>0.17429398148148</v>
      </c>
      <c r="Y80">
        <f>IF(Table1[[#This Row],[OPERATION]]="NOTE","NOTE",Table1[[#This Row],[SUB_TYPE]])</f>
        <v>0</v>
      </c>
      <c r="Z80">
        <f>IF(Table1[[#This Row],[OPERATION]]="NOTE",NUMBERVALUE(LEFT(Table1[[#This Row],[MOD_NAME]],LEN(Table1[[#This Row],[MOD_NAME]])-4)),Table1[[#This Row],[SUB_NAME]])</f>
        <v>0</v>
      </c>
      <c r="AA80" t="str">
        <f>CONCAT(Table1[[#This Row],[Final Obj Type]],"|",Table1[[#This Row],[Final Obj Name]])</f>
        <v>0|0</v>
      </c>
      <c r="AB80" t="e">
        <f>VLOOKUP(Table1[[#This Row],[Final Obj Type]],Classification!B:E,3,FALSE)</f>
        <v>#N/A</v>
      </c>
      <c r="AC80" t="e">
        <f>VLOOKUP(Table1[[#This Row],[Final Obj Type]],Classification!B:E,4,FALSE)</f>
        <v>#N/A</v>
      </c>
      <c r="AD80" t="str">
        <f>IF(Table1[[#This Row],[Position 1]]=0,"/0SAP/",MID(Table1[[#This Row],[Final Obj Name]],Table1[[#This Row],[Position 1]],Table1[[#This Row],[Position 2]]-Table1[[#This Row],[Position 1]]+1))</f>
        <v>/0SAP/</v>
      </c>
      <c r="AE80" t="str">
        <f>VLOOKUP(Table1[[#This Row],[/* Object]],Namespace!A:J,10,FALSE)</f>
        <v>SAP AG</v>
      </c>
      <c r="AF80" t="str">
        <f>IF(VLOOKUP(Table1[[#This Row],[/* Object]],Namespace!A:J,4,FALSE)=0,"",VLOOKUP(Table1[[#This Row],[/* Object]],Namespace!A:J,4,FALSE))</f>
        <v>X</v>
      </c>
      <c r="AG80" t="str">
        <f>IF(VLOOKUP(Table1[[#This Row],[/* Object]],Namespace!A:J,5,FALSE)=0,"",VLOOKUP(Table1[[#This Row],[/* Object]],Namespace!A:J,5,FALSE))</f>
        <v>X</v>
      </c>
      <c r="AH80" t="str">
        <f>IF(VLOOKUP(Table1[[#This Row],[/* Object]],Namespace!A:J,6,FALSE)=0,"",VLOOKUP(Table1[[#This Row],[/* Object]],Namespace!A:J,6,FALSE))</f>
        <v/>
      </c>
      <c r="AI80">
        <f>IFERROR(FIND("/",Table1[[#This Row],[Final Obj Name]],1),0)</f>
        <v>0</v>
      </c>
      <c r="AJ80">
        <f>IF(Table1[[#This Row],[Position 1]]=0,0,FIND("/",Table1[[#This Row],[Final Obj Name]],Table1[[#This Row],[Position 1]]+1))</f>
        <v>0</v>
      </c>
      <c r="AK80" t="str">
        <f>IF(LEFT(Table1[[#This Row],[Final Obj Name]],1)="/",LEFT(Table1[[#This Row],[Final Obj Name]],FIND("/",Table1[[#This Row],[Final Obj Name]],2)),"/0SAP/")</f>
        <v>/0SAP/</v>
      </c>
    </row>
    <row r="81">
      <c r="A81" t="str">
        <v>CLAS</v>
      </c>
      <c r="B81" t="str">
        <v>ZCL_MDGS_DUNS_ENRICH_FEEDER</v>
      </c>
      <c r="C81" t="str">
        <v>CPRI</v>
      </c>
      <c r="D81" t="str">
        <v>ZCL_MDGS_DUNS_ENRICH_FEEDER</v>
      </c>
      <c r="E81" t="str">
        <v>XXXX</v>
      </c>
      <c r="G81" t="str">
        <v>ALL</v>
      </c>
      <c r="K81" t="str">
        <v>E</v>
      </c>
      <c r="L81" t="str">
        <v>NSHAIK</v>
      </c>
      <c r="M81">
        <v>46021</v>
      </c>
      <c r="N81">
        <v>0.1746412037037</v>
      </c>
      <c r="Y81">
        <f>IF(Table1[[#This Row],[OPERATION]]="NOTE","NOTE",Table1[[#This Row],[SUB_TYPE]])</f>
        <v>0</v>
      </c>
      <c r="Z81">
        <f>IF(Table1[[#This Row],[OPERATION]]="NOTE",NUMBERVALUE(LEFT(Table1[[#This Row],[MOD_NAME]],LEN(Table1[[#This Row],[MOD_NAME]])-4)),Table1[[#This Row],[SUB_NAME]])</f>
        <v>0</v>
      </c>
      <c r="AA81" t="str">
        <f>CONCAT(Table1[[#This Row],[Final Obj Type]],"|",Table1[[#This Row],[Final Obj Name]])</f>
        <v>0|0</v>
      </c>
      <c r="AB81" t="e">
        <f>VLOOKUP(Table1[[#This Row],[Final Obj Type]],Classification!B:E,3,FALSE)</f>
        <v>#N/A</v>
      </c>
      <c r="AC81" t="e">
        <f>VLOOKUP(Table1[[#This Row],[Final Obj Type]],Classification!B:E,4,FALSE)</f>
        <v>#N/A</v>
      </c>
      <c r="AD81" t="str">
        <f>IF(Table1[[#This Row],[Position 1]]=0,"/0SAP/",MID(Table1[[#This Row],[Final Obj Name]],Table1[[#This Row],[Position 1]],Table1[[#This Row],[Position 2]]-Table1[[#This Row],[Position 1]]+1))</f>
        <v>/0SAP/</v>
      </c>
      <c r="AE81" t="str">
        <f>VLOOKUP(Table1[[#This Row],[/* Object]],Namespace!A:J,10,FALSE)</f>
        <v>SAP AG</v>
      </c>
      <c r="AF81" t="str">
        <f>IF(VLOOKUP(Table1[[#This Row],[/* Object]],Namespace!A:J,4,FALSE)=0,"",VLOOKUP(Table1[[#This Row],[/* Object]],Namespace!A:J,4,FALSE))</f>
        <v>X</v>
      </c>
      <c r="AG81" t="str">
        <f>IF(VLOOKUP(Table1[[#This Row],[/* Object]],Namespace!A:J,5,FALSE)=0,"",VLOOKUP(Table1[[#This Row],[/* Object]],Namespace!A:J,5,FALSE))</f>
        <v>X</v>
      </c>
      <c r="AH81" t="str">
        <f>IF(VLOOKUP(Table1[[#This Row],[/* Object]],Namespace!A:J,6,FALSE)=0,"",VLOOKUP(Table1[[#This Row],[/* Object]],Namespace!A:J,6,FALSE))</f>
        <v/>
      </c>
      <c r="AI81">
        <f>IFERROR(FIND("/",Table1[[#This Row],[Final Obj Name]],1),0)</f>
        <v>0</v>
      </c>
      <c r="AJ81">
        <f>IF(Table1[[#This Row],[Position 1]]=0,0,FIND("/",Table1[[#This Row],[Final Obj Name]],Table1[[#This Row],[Position 1]]+1))</f>
        <v>0</v>
      </c>
      <c r="AK81" t="str">
        <f>IF(LEFT(Table1[[#This Row],[Final Obj Name]],1)="/",LEFT(Table1[[#This Row],[Final Obj Name]],FIND("/",Table1[[#This Row],[Final Obj Name]],2)),"/0SAP/")</f>
        <v>/0SAP/</v>
      </c>
    </row>
    <row r="82">
      <c r="A82" t="str">
        <v>CLAS</v>
      </c>
      <c r="B82" t="str">
        <v>ZCL_MDGS_DUNS_ENRICH_FEEDER</v>
      </c>
      <c r="C82" t="str">
        <v>CPRO</v>
      </c>
      <c r="D82" t="str">
        <v>ZCL_MDGS_DUNS_ENRICH_FEEDER</v>
      </c>
      <c r="E82" t="str">
        <v>XXXX</v>
      </c>
      <c r="G82" t="str">
        <v>ALL</v>
      </c>
      <c r="K82" t="str">
        <v>E</v>
      </c>
      <c r="L82" t="str">
        <v>NSHAIK</v>
      </c>
      <c r="M82">
        <v>46021</v>
      </c>
      <c r="N82">
        <v>0.1746412037037</v>
      </c>
      <c r="Y82">
        <f>IF(Table1[[#This Row],[OPERATION]]="NOTE","NOTE",Table1[[#This Row],[SUB_TYPE]])</f>
        <v>0</v>
      </c>
      <c r="Z82">
        <f>IF(Table1[[#This Row],[OPERATION]]="NOTE",NUMBERVALUE(LEFT(Table1[[#This Row],[MOD_NAME]],LEN(Table1[[#This Row],[MOD_NAME]])-4)),Table1[[#This Row],[SUB_NAME]])</f>
        <v>0</v>
      </c>
      <c r="AA82" t="str">
        <f>CONCAT(Table1[[#This Row],[Final Obj Type]],"|",Table1[[#This Row],[Final Obj Name]])</f>
        <v>0|0</v>
      </c>
      <c r="AB82" t="e">
        <f>VLOOKUP(Table1[[#This Row],[Final Obj Type]],Classification!B:E,3,FALSE)</f>
        <v>#N/A</v>
      </c>
      <c r="AC82" t="e">
        <f>VLOOKUP(Table1[[#This Row],[Final Obj Type]],Classification!B:E,4,FALSE)</f>
        <v>#N/A</v>
      </c>
      <c r="AD82" t="str">
        <f>IF(Table1[[#This Row],[Position 1]]=0,"/0SAP/",MID(Table1[[#This Row],[Final Obj Name]],Table1[[#This Row],[Position 1]],Table1[[#This Row],[Position 2]]-Table1[[#This Row],[Position 1]]+1))</f>
        <v>/0SAP/</v>
      </c>
      <c r="AE82" t="str">
        <f>VLOOKUP(Table1[[#This Row],[/* Object]],Namespace!A:J,10,FALSE)</f>
        <v>SAP AG</v>
      </c>
      <c r="AF82" t="str">
        <f>IF(VLOOKUP(Table1[[#This Row],[/* Object]],Namespace!A:J,4,FALSE)=0,"",VLOOKUP(Table1[[#This Row],[/* Object]],Namespace!A:J,4,FALSE))</f>
        <v>X</v>
      </c>
      <c r="AG82" t="str">
        <f>IF(VLOOKUP(Table1[[#This Row],[/* Object]],Namespace!A:J,5,FALSE)=0,"",VLOOKUP(Table1[[#This Row],[/* Object]],Namespace!A:J,5,FALSE))</f>
        <v>X</v>
      </c>
      <c r="AH82" t="str">
        <f>IF(VLOOKUP(Table1[[#This Row],[/* Object]],Namespace!A:J,6,FALSE)=0,"",VLOOKUP(Table1[[#This Row],[/* Object]],Namespace!A:J,6,FALSE))</f>
        <v/>
      </c>
      <c r="AI82">
        <f>IFERROR(FIND("/",Table1[[#This Row],[Final Obj Name]],1),0)</f>
        <v>0</v>
      </c>
      <c r="AJ82">
        <f>IF(Table1[[#This Row],[Position 1]]=0,0,FIND("/",Table1[[#This Row],[Final Obj Name]],Table1[[#This Row],[Position 1]]+1))</f>
        <v>0</v>
      </c>
      <c r="AK82" t="str">
        <f>IF(LEFT(Table1[[#This Row],[Final Obj Name]],1)="/",LEFT(Table1[[#This Row],[Final Obj Name]],FIND("/",Table1[[#This Row],[Final Obj Name]],2)),"/0SAP/")</f>
        <v>/0SAP/</v>
      </c>
    </row>
    <row r="83">
      <c r="A83" t="str">
        <v>CLAS</v>
      </c>
      <c r="B83" t="str">
        <v>ZCL_MDGS_DUNS_ENRICH_FEEDER</v>
      </c>
      <c r="C83" t="str">
        <v>CPUB</v>
      </c>
      <c r="D83" t="str">
        <v>ZCL_MDGS_DUNS_ENRICH_FEEDER</v>
      </c>
      <c r="E83" t="str">
        <v>XXXX</v>
      </c>
      <c r="G83" t="str">
        <v>ALL</v>
      </c>
      <c r="K83" t="str">
        <v>E</v>
      </c>
      <c r="L83" t="str">
        <v>NSHAIK</v>
      </c>
      <c r="M83">
        <v>46021</v>
      </c>
      <c r="N83">
        <v>0.1746412037037</v>
      </c>
      <c r="Y83">
        <f>IF(Table1[[#This Row],[OPERATION]]="NOTE","NOTE",Table1[[#This Row],[SUB_TYPE]])</f>
        <v>0</v>
      </c>
      <c r="Z83">
        <f>IF(Table1[[#This Row],[OPERATION]]="NOTE",NUMBERVALUE(LEFT(Table1[[#This Row],[MOD_NAME]],LEN(Table1[[#This Row],[MOD_NAME]])-4)),Table1[[#This Row],[SUB_NAME]])</f>
        <v>0</v>
      </c>
      <c r="AA83" t="str">
        <f>CONCAT(Table1[[#This Row],[Final Obj Type]],"|",Table1[[#This Row],[Final Obj Name]])</f>
        <v>0|0</v>
      </c>
      <c r="AB83" t="e">
        <f>VLOOKUP(Table1[[#This Row],[Final Obj Type]],Classification!B:E,3,FALSE)</f>
        <v>#N/A</v>
      </c>
      <c r="AC83" t="e">
        <f>VLOOKUP(Table1[[#This Row],[Final Obj Type]],Classification!B:E,4,FALSE)</f>
        <v>#N/A</v>
      </c>
      <c r="AD83" t="str">
        <f>IF(Table1[[#This Row],[Position 1]]=0,"/0SAP/",MID(Table1[[#This Row],[Final Obj Name]],Table1[[#This Row],[Position 1]],Table1[[#This Row],[Position 2]]-Table1[[#This Row],[Position 1]]+1))</f>
        <v>/0SAP/</v>
      </c>
      <c r="AE83" t="str">
        <f>VLOOKUP(Table1[[#This Row],[/* Object]],Namespace!A:J,10,FALSE)</f>
        <v>SAP AG</v>
      </c>
      <c r="AF83" t="str">
        <f>IF(VLOOKUP(Table1[[#This Row],[/* Object]],Namespace!A:J,4,FALSE)=0,"",VLOOKUP(Table1[[#This Row],[/* Object]],Namespace!A:J,4,FALSE))</f>
        <v>X</v>
      </c>
      <c r="AG83" t="str">
        <f>IF(VLOOKUP(Table1[[#This Row],[/* Object]],Namespace!A:J,5,FALSE)=0,"",VLOOKUP(Table1[[#This Row],[/* Object]],Namespace!A:J,5,FALSE))</f>
        <v>X</v>
      </c>
      <c r="AH83" t="str">
        <f>IF(VLOOKUP(Table1[[#This Row],[/* Object]],Namespace!A:J,6,FALSE)=0,"",VLOOKUP(Table1[[#This Row],[/* Object]],Namespace!A:J,6,FALSE))</f>
        <v/>
      </c>
      <c r="AI83">
        <f>IFERROR(FIND("/",Table1[[#This Row],[Final Obj Name]],1),0)</f>
        <v>0</v>
      </c>
      <c r="AJ83">
        <f>IF(Table1[[#This Row],[Position 1]]=0,0,FIND("/",Table1[[#This Row],[Final Obj Name]],Table1[[#This Row],[Position 1]]+1))</f>
        <v>0</v>
      </c>
      <c r="AK83" t="str">
        <f>IF(LEFT(Table1[[#This Row],[Final Obj Name]],1)="/",LEFT(Table1[[#This Row],[Final Obj Name]],FIND("/",Table1[[#This Row],[Final Obj Name]],2)),"/0SAP/")</f>
        <v>/0SAP/</v>
      </c>
    </row>
    <row r="84">
      <c r="A84" t="str">
        <v>CLAS</v>
      </c>
      <c r="B84" t="str">
        <v>ZCL_MDGS_EMAIL_UTILITY</v>
      </c>
      <c r="C84" t="str">
        <v>CPRI</v>
      </c>
      <c r="D84" t="str">
        <v>ZCL_MDGS_EMAIL_UTILITY</v>
      </c>
      <c r="E84" t="str">
        <v>XXXX</v>
      </c>
      <c r="G84" t="str">
        <v>ALL</v>
      </c>
      <c r="K84" t="str">
        <v>E</v>
      </c>
      <c r="L84" t="str">
        <v>NSHAIK</v>
      </c>
      <c r="M84">
        <v>46021</v>
      </c>
      <c r="N84">
        <v>0.17501157407407</v>
      </c>
      <c r="Y84">
        <f>IF(Table1[[#This Row],[OPERATION]]="NOTE","NOTE",Table1[[#This Row],[SUB_TYPE]])</f>
        <v>0</v>
      </c>
      <c r="Z84">
        <f>IF(Table1[[#This Row],[OPERATION]]="NOTE",NUMBERVALUE(LEFT(Table1[[#This Row],[MOD_NAME]],LEN(Table1[[#This Row],[MOD_NAME]])-4)),Table1[[#This Row],[SUB_NAME]])</f>
        <v>0</v>
      </c>
      <c r="AA84" t="str">
        <f>CONCAT(Table1[[#This Row],[Final Obj Type]],"|",Table1[[#This Row],[Final Obj Name]])</f>
        <v>0|0</v>
      </c>
      <c r="AB84" t="e">
        <f>VLOOKUP(Table1[[#This Row],[Final Obj Type]],Classification!B:E,3,FALSE)</f>
        <v>#N/A</v>
      </c>
      <c r="AC84" t="e">
        <f>VLOOKUP(Table1[[#This Row],[Final Obj Type]],Classification!B:E,4,FALSE)</f>
        <v>#N/A</v>
      </c>
      <c r="AD84" t="str">
        <f>IF(Table1[[#This Row],[Position 1]]=0,"/0SAP/",MID(Table1[[#This Row],[Final Obj Name]],Table1[[#This Row],[Position 1]],Table1[[#This Row],[Position 2]]-Table1[[#This Row],[Position 1]]+1))</f>
        <v>/0SAP/</v>
      </c>
      <c r="AE84" t="str">
        <f>VLOOKUP(Table1[[#This Row],[/* Object]],Namespace!A:J,10,FALSE)</f>
        <v>SAP AG</v>
      </c>
      <c r="AF84" t="str">
        <f>IF(VLOOKUP(Table1[[#This Row],[/* Object]],Namespace!A:J,4,FALSE)=0,"",VLOOKUP(Table1[[#This Row],[/* Object]],Namespace!A:J,4,FALSE))</f>
        <v>X</v>
      </c>
      <c r="AG84" t="str">
        <f>IF(VLOOKUP(Table1[[#This Row],[/* Object]],Namespace!A:J,5,FALSE)=0,"",VLOOKUP(Table1[[#This Row],[/* Object]],Namespace!A:J,5,FALSE))</f>
        <v>X</v>
      </c>
      <c r="AH84" t="str">
        <f>IF(VLOOKUP(Table1[[#This Row],[/* Object]],Namespace!A:J,6,FALSE)=0,"",VLOOKUP(Table1[[#This Row],[/* Object]],Namespace!A:J,6,FALSE))</f>
        <v/>
      </c>
      <c r="AI84">
        <f>IFERROR(FIND("/",Table1[[#This Row],[Final Obj Name]],1),0)</f>
        <v>0</v>
      </c>
      <c r="AJ84">
        <f>IF(Table1[[#This Row],[Position 1]]=0,0,FIND("/",Table1[[#This Row],[Final Obj Name]],Table1[[#This Row],[Position 1]]+1))</f>
        <v>0</v>
      </c>
      <c r="AK84" t="str">
        <f>IF(LEFT(Table1[[#This Row],[Final Obj Name]],1)="/",LEFT(Table1[[#This Row],[Final Obj Name]],FIND("/",Table1[[#This Row],[Final Obj Name]],2)),"/0SAP/")</f>
        <v>/0SAP/</v>
      </c>
    </row>
    <row r="85">
      <c r="A85" t="str">
        <v>CLAS</v>
      </c>
      <c r="B85" t="str">
        <v>ZCL_MDGS_EMAIL_UTILITY</v>
      </c>
      <c r="C85" t="str">
        <v>CPRO</v>
      </c>
      <c r="D85" t="str">
        <v>ZCL_MDGS_EMAIL_UTILITY</v>
      </c>
      <c r="E85" t="str">
        <v>XXXX</v>
      </c>
      <c r="G85" t="str">
        <v>ALL</v>
      </c>
      <c r="K85" t="str">
        <v>E</v>
      </c>
      <c r="L85" t="str">
        <v>NSHAIK</v>
      </c>
      <c r="M85">
        <v>46021</v>
      </c>
      <c r="N85">
        <v>0.17501157407407</v>
      </c>
      <c r="Y85">
        <f>IF(Table1[[#This Row],[OPERATION]]="NOTE","NOTE",Table1[[#This Row],[SUB_TYPE]])</f>
        <v>0</v>
      </c>
      <c r="Z85">
        <f>IF(Table1[[#This Row],[OPERATION]]="NOTE",NUMBERVALUE(LEFT(Table1[[#This Row],[MOD_NAME]],LEN(Table1[[#This Row],[MOD_NAME]])-4)),Table1[[#This Row],[SUB_NAME]])</f>
        <v>0</v>
      </c>
      <c r="AA85" t="str">
        <f>CONCAT(Table1[[#This Row],[Final Obj Type]],"|",Table1[[#This Row],[Final Obj Name]])</f>
        <v>0|0</v>
      </c>
      <c r="AB85" t="e">
        <f>VLOOKUP(Table1[[#This Row],[Final Obj Type]],Classification!B:E,3,FALSE)</f>
        <v>#N/A</v>
      </c>
      <c r="AC85" t="e">
        <f>VLOOKUP(Table1[[#This Row],[Final Obj Type]],Classification!B:E,4,FALSE)</f>
        <v>#N/A</v>
      </c>
      <c r="AD85" t="str">
        <f>IF(Table1[[#This Row],[Position 1]]=0,"/0SAP/",MID(Table1[[#This Row],[Final Obj Name]],Table1[[#This Row],[Position 1]],Table1[[#This Row],[Position 2]]-Table1[[#This Row],[Position 1]]+1))</f>
        <v>/0SAP/</v>
      </c>
      <c r="AE85" t="str">
        <f>VLOOKUP(Table1[[#This Row],[/* Object]],Namespace!A:J,10,FALSE)</f>
        <v>SAP AG</v>
      </c>
      <c r="AF85" t="str">
        <f>IF(VLOOKUP(Table1[[#This Row],[/* Object]],Namespace!A:J,4,FALSE)=0,"",VLOOKUP(Table1[[#This Row],[/* Object]],Namespace!A:J,4,FALSE))</f>
        <v>X</v>
      </c>
      <c r="AG85" t="str">
        <f>IF(VLOOKUP(Table1[[#This Row],[/* Object]],Namespace!A:J,5,FALSE)=0,"",VLOOKUP(Table1[[#This Row],[/* Object]],Namespace!A:J,5,FALSE))</f>
        <v>X</v>
      </c>
      <c r="AH85" t="str">
        <f>IF(VLOOKUP(Table1[[#This Row],[/* Object]],Namespace!A:J,6,FALSE)=0,"",VLOOKUP(Table1[[#This Row],[/* Object]],Namespace!A:J,6,FALSE))</f>
        <v/>
      </c>
      <c r="AI85">
        <f>IFERROR(FIND("/",Table1[[#This Row],[Final Obj Name]],1),0)</f>
        <v>0</v>
      </c>
      <c r="AJ85">
        <f>IF(Table1[[#This Row],[Position 1]]=0,0,FIND("/",Table1[[#This Row],[Final Obj Name]],Table1[[#This Row],[Position 1]]+1))</f>
        <v>0</v>
      </c>
      <c r="AK85" t="str">
        <f>IF(LEFT(Table1[[#This Row],[Final Obj Name]],1)="/",LEFT(Table1[[#This Row],[Final Obj Name]],FIND("/",Table1[[#This Row],[Final Obj Name]],2)),"/0SAP/")</f>
        <v>/0SAP/</v>
      </c>
    </row>
    <row r="86">
      <c r="A86" t="str">
        <v>CLAS</v>
      </c>
      <c r="B86" t="str">
        <v>ZCL_MDGS_EMAIL_UTILITY</v>
      </c>
      <c r="C86" t="str">
        <v>CPUB</v>
      </c>
      <c r="D86" t="str">
        <v>ZCL_MDGS_EMAIL_UTILITY</v>
      </c>
      <c r="E86" t="str">
        <v>XXXX</v>
      </c>
      <c r="G86" t="str">
        <v>ALL</v>
      </c>
      <c r="K86" t="str">
        <v>E</v>
      </c>
      <c r="L86" t="str">
        <v>NSHAIK</v>
      </c>
      <c r="M86">
        <v>46021</v>
      </c>
      <c r="N86">
        <v>0.17501157407407</v>
      </c>
      <c r="Y86">
        <f>IF(Table1[[#This Row],[OPERATION]]="NOTE","NOTE",Table1[[#This Row],[SUB_TYPE]])</f>
        <v>0</v>
      </c>
      <c r="Z86">
        <f>IF(Table1[[#This Row],[OPERATION]]="NOTE",NUMBERVALUE(LEFT(Table1[[#This Row],[MOD_NAME]],LEN(Table1[[#This Row],[MOD_NAME]])-4)),Table1[[#This Row],[SUB_NAME]])</f>
        <v>0</v>
      </c>
      <c r="AA86" t="str">
        <f>CONCAT(Table1[[#This Row],[Final Obj Type]],"|",Table1[[#This Row],[Final Obj Name]])</f>
        <v>0|0</v>
      </c>
      <c r="AB86" t="e">
        <f>VLOOKUP(Table1[[#This Row],[Final Obj Type]],Classification!B:E,3,FALSE)</f>
        <v>#N/A</v>
      </c>
      <c r="AC86" t="e">
        <f>VLOOKUP(Table1[[#This Row],[Final Obj Type]],Classification!B:E,4,FALSE)</f>
        <v>#N/A</v>
      </c>
      <c r="AD86" t="str">
        <f>IF(Table1[[#This Row],[Position 1]]=0,"/0SAP/",MID(Table1[[#This Row],[Final Obj Name]],Table1[[#This Row],[Position 1]],Table1[[#This Row],[Position 2]]-Table1[[#This Row],[Position 1]]+1))</f>
        <v>/0SAP/</v>
      </c>
      <c r="AE86" t="str">
        <f>VLOOKUP(Table1[[#This Row],[/* Object]],Namespace!A:J,10,FALSE)</f>
        <v>SAP AG</v>
      </c>
      <c r="AF86" t="str">
        <f>IF(VLOOKUP(Table1[[#This Row],[/* Object]],Namespace!A:J,4,FALSE)=0,"",VLOOKUP(Table1[[#This Row],[/* Object]],Namespace!A:J,4,FALSE))</f>
        <v>X</v>
      </c>
      <c r="AG86" t="str">
        <f>IF(VLOOKUP(Table1[[#This Row],[/* Object]],Namespace!A:J,5,FALSE)=0,"",VLOOKUP(Table1[[#This Row],[/* Object]],Namespace!A:J,5,FALSE))</f>
        <v>X</v>
      </c>
      <c r="AH86" t="str">
        <f>IF(VLOOKUP(Table1[[#This Row],[/* Object]],Namespace!A:J,6,FALSE)=0,"",VLOOKUP(Table1[[#This Row],[/* Object]],Namespace!A:J,6,FALSE))</f>
        <v/>
      </c>
      <c r="AI86">
        <f>IFERROR(FIND("/",Table1[[#This Row],[Final Obj Name]],1),0)</f>
        <v>0</v>
      </c>
      <c r="AJ86">
        <f>IF(Table1[[#This Row],[Position 1]]=0,0,FIND("/",Table1[[#This Row],[Final Obj Name]],Table1[[#This Row],[Position 1]]+1))</f>
        <v>0</v>
      </c>
      <c r="AK86" t="str">
        <f>IF(LEFT(Table1[[#This Row],[Final Obj Name]],1)="/",LEFT(Table1[[#This Row],[Final Obj Name]],FIND("/",Table1[[#This Row],[Final Obj Name]],2)),"/0SAP/")</f>
        <v>/0SAP/</v>
      </c>
    </row>
    <row r="87">
      <c r="A87" t="str">
        <v>CLAS</v>
      </c>
      <c r="B87" t="str">
        <v>ZCL_MDGS_IOBD_I0207_DELL_BOOMI</v>
      </c>
      <c r="C87" t="str">
        <v>CPRI</v>
      </c>
      <c r="D87" t="str">
        <v>ZCL_MDGS_IOBD_I0207_DELL_BOOMI</v>
      </c>
      <c r="E87" t="str">
        <v>XXXX</v>
      </c>
      <c r="G87" t="str">
        <v>ALL</v>
      </c>
      <c r="K87" t="str">
        <v>E</v>
      </c>
      <c r="L87" t="str">
        <v>NSHAIK</v>
      </c>
      <c r="M87">
        <v>46020</v>
      </c>
      <c r="N87">
        <v>0.30512731481481</v>
      </c>
      <c r="Y87">
        <f>IF(Table1[[#This Row],[OPERATION]]="NOTE","NOTE",Table1[[#This Row],[SUB_TYPE]])</f>
        <v>0</v>
      </c>
      <c r="Z87">
        <f>IF(Table1[[#This Row],[OPERATION]]="NOTE",NUMBERVALUE(LEFT(Table1[[#This Row],[MOD_NAME]],LEN(Table1[[#This Row],[MOD_NAME]])-4)),Table1[[#This Row],[SUB_NAME]])</f>
        <v>0</v>
      </c>
      <c r="AA87" t="str">
        <f>CONCAT(Table1[[#This Row],[Final Obj Type]],"|",Table1[[#This Row],[Final Obj Name]])</f>
        <v>0|0</v>
      </c>
      <c r="AB87" t="e">
        <f>VLOOKUP(Table1[[#This Row],[Final Obj Type]],Classification!B:E,3,FALSE)</f>
        <v>#N/A</v>
      </c>
      <c r="AC87" t="e">
        <f>VLOOKUP(Table1[[#This Row],[Final Obj Type]],Classification!B:E,4,FALSE)</f>
        <v>#N/A</v>
      </c>
      <c r="AD87" t="str">
        <f>IF(Table1[[#This Row],[Position 1]]=0,"/0SAP/",MID(Table1[[#This Row],[Final Obj Name]],Table1[[#This Row],[Position 1]],Table1[[#This Row],[Position 2]]-Table1[[#This Row],[Position 1]]+1))</f>
        <v>/0SAP/</v>
      </c>
      <c r="AE87" t="str">
        <f>VLOOKUP(Table1[[#This Row],[/* Object]],Namespace!A:J,10,FALSE)</f>
        <v>SAP AG</v>
      </c>
      <c r="AF87" t="str">
        <f>IF(VLOOKUP(Table1[[#This Row],[/* Object]],Namespace!A:J,4,FALSE)=0,"",VLOOKUP(Table1[[#This Row],[/* Object]],Namespace!A:J,4,FALSE))</f>
        <v>X</v>
      </c>
      <c r="AG87" t="str">
        <f>IF(VLOOKUP(Table1[[#This Row],[/* Object]],Namespace!A:J,5,FALSE)=0,"",VLOOKUP(Table1[[#This Row],[/* Object]],Namespace!A:J,5,FALSE))</f>
        <v>X</v>
      </c>
      <c r="AH87" t="str">
        <f>IF(VLOOKUP(Table1[[#This Row],[/* Object]],Namespace!A:J,6,FALSE)=0,"",VLOOKUP(Table1[[#This Row],[/* Object]],Namespace!A:J,6,FALSE))</f>
        <v/>
      </c>
      <c r="AI87">
        <f>IFERROR(FIND("/",Table1[[#This Row],[Final Obj Name]],1),0)</f>
        <v>0</v>
      </c>
      <c r="AJ87">
        <f>IF(Table1[[#This Row],[Position 1]]=0,0,FIND("/",Table1[[#This Row],[Final Obj Name]],Table1[[#This Row],[Position 1]]+1))</f>
        <v>0</v>
      </c>
      <c r="AK87" t="str">
        <f>IF(LEFT(Table1[[#This Row],[Final Obj Name]],1)="/",LEFT(Table1[[#This Row],[Final Obj Name]],FIND("/",Table1[[#This Row],[Final Obj Name]],2)),"/0SAP/")</f>
        <v>/0SAP/</v>
      </c>
    </row>
    <row r="88">
      <c r="A88" t="str">
        <v>CLAS</v>
      </c>
      <c r="B88" t="str">
        <v>ZCL_MDGS_IOBD_I0207_DELL_BOOMI</v>
      </c>
      <c r="C88" t="str">
        <v>CPRO</v>
      </c>
      <c r="D88" t="str">
        <v>ZCL_MDGS_IOBD_I0207_DELL_BOOMI</v>
      </c>
      <c r="E88" t="str">
        <v>XXXX</v>
      </c>
      <c r="G88" t="str">
        <v>ALL</v>
      </c>
      <c r="K88" t="str">
        <v>E</v>
      </c>
      <c r="L88" t="str">
        <v>NSHAIK</v>
      </c>
      <c r="M88">
        <v>46020</v>
      </c>
      <c r="N88">
        <v>0.30512731481481</v>
      </c>
      <c r="Y88">
        <f>IF(Table1[[#This Row],[OPERATION]]="NOTE","NOTE",Table1[[#This Row],[SUB_TYPE]])</f>
        <v>0</v>
      </c>
      <c r="Z88">
        <f>IF(Table1[[#This Row],[OPERATION]]="NOTE",NUMBERVALUE(LEFT(Table1[[#This Row],[MOD_NAME]],LEN(Table1[[#This Row],[MOD_NAME]])-4)),Table1[[#This Row],[SUB_NAME]])</f>
        <v>0</v>
      </c>
      <c r="AA88" t="str">
        <f>CONCAT(Table1[[#This Row],[Final Obj Type]],"|",Table1[[#This Row],[Final Obj Name]])</f>
        <v>0|0</v>
      </c>
      <c r="AB88" t="e">
        <f>VLOOKUP(Table1[[#This Row],[Final Obj Type]],Classification!B:E,3,FALSE)</f>
        <v>#N/A</v>
      </c>
      <c r="AC88" t="e">
        <f>VLOOKUP(Table1[[#This Row],[Final Obj Type]],Classification!B:E,4,FALSE)</f>
        <v>#N/A</v>
      </c>
      <c r="AD88" t="str">
        <f>IF(Table1[[#This Row],[Position 1]]=0,"/0SAP/",MID(Table1[[#This Row],[Final Obj Name]],Table1[[#This Row],[Position 1]],Table1[[#This Row],[Position 2]]-Table1[[#This Row],[Position 1]]+1))</f>
        <v>/0SAP/</v>
      </c>
      <c r="AE88" t="str">
        <f>VLOOKUP(Table1[[#This Row],[/* Object]],Namespace!A:J,10,FALSE)</f>
        <v>SAP AG</v>
      </c>
      <c r="AF88" t="str">
        <f>IF(VLOOKUP(Table1[[#This Row],[/* Object]],Namespace!A:J,4,FALSE)=0,"",VLOOKUP(Table1[[#This Row],[/* Object]],Namespace!A:J,4,FALSE))</f>
        <v>X</v>
      </c>
      <c r="AG88" t="str">
        <f>IF(VLOOKUP(Table1[[#This Row],[/* Object]],Namespace!A:J,5,FALSE)=0,"",VLOOKUP(Table1[[#This Row],[/* Object]],Namespace!A:J,5,FALSE))</f>
        <v>X</v>
      </c>
      <c r="AH88" t="str">
        <f>IF(VLOOKUP(Table1[[#This Row],[/* Object]],Namespace!A:J,6,FALSE)=0,"",VLOOKUP(Table1[[#This Row],[/* Object]],Namespace!A:J,6,FALSE))</f>
        <v/>
      </c>
      <c r="AI88">
        <f>IFERROR(FIND("/",Table1[[#This Row],[Final Obj Name]],1),0)</f>
        <v>0</v>
      </c>
      <c r="AJ88">
        <f>IF(Table1[[#This Row],[Position 1]]=0,0,FIND("/",Table1[[#This Row],[Final Obj Name]],Table1[[#This Row],[Position 1]]+1))</f>
        <v>0</v>
      </c>
      <c r="AK88" t="str">
        <f>IF(LEFT(Table1[[#This Row],[Final Obj Name]],1)="/",LEFT(Table1[[#This Row],[Final Obj Name]],FIND("/",Table1[[#This Row],[Final Obj Name]],2)),"/0SAP/")</f>
        <v>/0SAP/</v>
      </c>
    </row>
    <row r="89">
      <c r="A89" t="str">
        <v>CLAS</v>
      </c>
      <c r="B89" t="str">
        <v>ZCL_MDGS_IOBD_I0207_DELL_BOOMI</v>
      </c>
      <c r="C89" t="str">
        <v>CPUB</v>
      </c>
      <c r="D89" t="str">
        <v>ZCL_MDGS_IOBD_I0207_DELL_BOOMI</v>
      </c>
      <c r="E89" t="str">
        <v>XXXX</v>
      </c>
      <c r="G89" t="str">
        <v>ALL</v>
      </c>
      <c r="K89" t="str">
        <v>E</v>
      </c>
      <c r="L89" t="str">
        <v>NSHAIK</v>
      </c>
      <c r="M89">
        <v>46020</v>
      </c>
      <c r="N89">
        <v>0.30512731481481</v>
      </c>
      <c r="Y89">
        <f>IF(Table1[[#This Row],[OPERATION]]="NOTE","NOTE",Table1[[#This Row],[SUB_TYPE]])</f>
        <v>0</v>
      </c>
      <c r="Z89">
        <f>IF(Table1[[#This Row],[OPERATION]]="NOTE",NUMBERVALUE(LEFT(Table1[[#This Row],[MOD_NAME]],LEN(Table1[[#This Row],[MOD_NAME]])-4)),Table1[[#This Row],[SUB_NAME]])</f>
        <v>0</v>
      </c>
      <c r="AA89" t="str">
        <f>CONCAT(Table1[[#This Row],[Final Obj Type]],"|",Table1[[#This Row],[Final Obj Name]])</f>
        <v>0|0</v>
      </c>
      <c r="AB89" t="e">
        <f>VLOOKUP(Table1[[#This Row],[Final Obj Type]],Classification!B:E,3,FALSE)</f>
        <v>#N/A</v>
      </c>
      <c r="AC89" t="e">
        <f>VLOOKUP(Table1[[#This Row],[Final Obj Type]],Classification!B:E,4,FALSE)</f>
        <v>#N/A</v>
      </c>
      <c r="AD89" t="str">
        <f>IF(Table1[[#This Row],[Position 1]]=0,"/0SAP/",MID(Table1[[#This Row],[Final Obj Name]],Table1[[#This Row],[Position 1]],Table1[[#This Row],[Position 2]]-Table1[[#This Row],[Position 1]]+1))</f>
        <v>/0SAP/</v>
      </c>
      <c r="AE89" t="str">
        <f>VLOOKUP(Table1[[#This Row],[/* Object]],Namespace!A:J,10,FALSE)</f>
        <v>SAP AG</v>
      </c>
      <c r="AF89" t="str">
        <f>IF(VLOOKUP(Table1[[#This Row],[/* Object]],Namespace!A:J,4,FALSE)=0,"",VLOOKUP(Table1[[#This Row],[/* Object]],Namespace!A:J,4,FALSE))</f>
        <v>X</v>
      </c>
      <c r="AG89" t="str">
        <f>IF(VLOOKUP(Table1[[#This Row],[/* Object]],Namespace!A:J,5,FALSE)=0,"",VLOOKUP(Table1[[#This Row],[/* Object]],Namespace!A:J,5,FALSE))</f>
        <v>X</v>
      </c>
      <c r="AH89" t="str">
        <f>IF(VLOOKUP(Table1[[#This Row],[/* Object]],Namespace!A:J,6,FALSE)=0,"",VLOOKUP(Table1[[#This Row],[/* Object]],Namespace!A:J,6,FALSE))</f>
        <v/>
      </c>
      <c r="AI89">
        <f>IFERROR(FIND("/",Table1[[#This Row],[Final Obj Name]],1),0)</f>
        <v>0</v>
      </c>
      <c r="AJ89">
        <f>IF(Table1[[#This Row],[Position 1]]=0,0,FIND("/",Table1[[#This Row],[Final Obj Name]],Table1[[#This Row],[Position 1]]+1))</f>
        <v>0</v>
      </c>
      <c r="AK89" t="str">
        <f>IF(LEFT(Table1[[#This Row],[Final Obj Name]],1)="/",LEFT(Table1[[#This Row],[Final Obj Name]],FIND("/",Table1[[#This Row],[Final Obj Name]],2)),"/0SAP/")</f>
        <v>/0SAP/</v>
      </c>
    </row>
    <row r="90">
      <c r="A90" t="str">
        <v>CLAS</v>
      </c>
      <c r="B90" t="str">
        <v>ZCL_MDGUSMD_CREQUEST_POWL</v>
      </c>
      <c r="C90" t="str">
        <v>CPRI</v>
      </c>
      <c r="D90" t="str">
        <v>ZCL_MDGUSMD_CREQUEST_POWL</v>
      </c>
      <c r="E90" t="str">
        <v>XXXX</v>
      </c>
      <c r="G90" t="str">
        <v>ALL</v>
      </c>
      <c r="K90" t="str">
        <v>E</v>
      </c>
      <c r="L90" t="str">
        <v>NSHAIK</v>
      </c>
      <c r="M90">
        <v>46021</v>
      </c>
      <c r="N90">
        <v>0.17532407407407</v>
      </c>
      <c r="Y90">
        <f>IF(Table1[[#This Row],[OPERATION]]="NOTE","NOTE",Table1[[#This Row],[SUB_TYPE]])</f>
        <v>0</v>
      </c>
      <c r="Z90">
        <f>IF(Table1[[#This Row],[OPERATION]]="NOTE",NUMBERVALUE(LEFT(Table1[[#This Row],[MOD_NAME]],LEN(Table1[[#This Row],[MOD_NAME]])-4)),Table1[[#This Row],[SUB_NAME]])</f>
        <v>0</v>
      </c>
      <c r="AA90" t="str">
        <f>CONCAT(Table1[[#This Row],[Final Obj Type]],"|",Table1[[#This Row],[Final Obj Name]])</f>
        <v>0|0</v>
      </c>
      <c r="AB90" t="e">
        <f>VLOOKUP(Table1[[#This Row],[Final Obj Type]],Classification!B:E,3,FALSE)</f>
        <v>#N/A</v>
      </c>
      <c r="AC90" t="e">
        <f>VLOOKUP(Table1[[#This Row],[Final Obj Type]],Classification!B:E,4,FALSE)</f>
        <v>#N/A</v>
      </c>
      <c r="AD90" t="str">
        <f>IF(Table1[[#This Row],[Position 1]]=0,"/0SAP/",MID(Table1[[#This Row],[Final Obj Name]],Table1[[#This Row],[Position 1]],Table1[[#This Row],[Position 2]]-Table1[[#This Row],[Position 1]]+1))</f>
        <v>/0SAP/</v>
      </c>
      <c r="AE90" t="str">
        <f>VLOOKUP(Table1[[#This Row],[/* Object]],Namespace!A:J,10,FALSE)</f>
        <v>SAP AG</v>
      </c>
      <c r="AF90" t="str">
        <f>IF(VLOOKUP(Table1[[#This Row],[/* Object]],Namespace!A:J,4,FALSE)=0,"",VLOOKUP(Table1[[#This Row],[/* Object]],Namespace!A:J,4,FALSE))</f>
        <v>X</v>
      </c>
      <c r="AG90" t="str">
        <f>IF(VLOOKUP(Table1[[#This Row],[/* Object]],Namespace!A:J,5,FALSE)=0,"",VLOOKUP(Table1[[#This Row],[/* Object]],Namespace!A:J,5,FALSE))</f>
        <v>X</v>
      </c>
      <c r="AH90" t="str">
        <f>IF(VLOOKUP(Table1[[#This Row],[/* Object]],Namespace!A:J,6,FALSE)=0,"",VLOOKUP(Table1[[#This Row],[/* Object]],Namespace!A:J,6,FALSE))</f>
        <v/>
      </c>
      <c r="AI90">
        <f>IFERROR(FIND("/",Table1[[#This Row],[Final Obj Name]],1),0)</f>
        <v>0</v>
      </c>
      <c r="AJ90">
        <f>IF(Table1[[#This Row],[Position 1]]=0,0,FIND("/",Table1[[#This Row],[Final Obj Name]],Table1[[#This Row],[Position 1]]+1))</f>
        <v>0</v>
      </c>
      <c r="AK90" t="str">
        <f>IF(LEFT(Table1[[#This Row],[Final Obj Name]],1)="/",LEFT(Table1[[#This Row],[Final Obj Name]],FIND("/",Table1[[#This Row],[Final Obj Name]],2)),"/0SAP/")</f>
        <v>/0SAP/</v>
      </c>
    </row>
    <row r="91">
      <c r="A91" t="str">
        <v>CLAS</v>
      </c>
      <c r="B91" t="str">
        <v>ZCL_MDGUSMD_CREQUEST_POWL</v>
      </c>
      <c r="C91" t="str">
        <v>CPRO</v>
      </c>
      <c r="D91" t="str">
        <v>ZCL_MDGUSMD_CREQUEST_POWL</v>
      </c>
      <c r="E91" t="str">
        <v>XXXX</v>
      </c>
      <c r="G91" t="str">
        <v>ALL</v>
      </c>
      <c r="K91" t="str">
        <v>E</v>
      </c>
      <c r="L91" t="str">
        <v>NSHAIK</v>
      </c>
      <c r="M91">
        <v>46021</v>
      </c>
      <c r="N91">
        <v>0.17532407407407</v>
      </c>
      <c r="Y91">
        <f>IF(Table1[[#This Row],[OPERATION]]="NOTE","NOTE",Table1[[#This Row],[SUB_TYPE]])</f>
        <v>0</v>
      </c>
      <c r="Z91">
        <f>IF(Table1[[#This Row],[OPERATION]]="NOTE",NUMBERVALUE(LEFT(Table1[[#This Row],[MOD_NAME]],LEN(Table1[[#This Row],[MOD_NAME]])-4)),Table1[[#This Row],[SUB_NAME]])</f>
        <v>0</v>
      </c>
      <c r="AA91" t="str">
        <f>CONCAT(Table1[[#This Row],[Final Obj Type]],"|",Table1[[#This Row],[Final Obj Name]])</f>
        <v>0|0</v>
      </c>
      <c r="AB91" t="e">
        <f>VLOOKUP(Table1[[#This Row],[Final Obj Type]],Classification!B:E,3,FALSE)</f>
        <v>#N/A</v>
      </c>
      <c r="AC91" t="e">
        <f>VLOOKUP(Table1[[#This Row],[Final Obj Type]],Classification!B:E,4,FALSE)</f>
        <v>#N/A</v>
      </c>
      <c r="AD91" t="str">
        <f>IF(Table1[[#This Row],[Position 1]]=0,"/0SAP/",MID(Table1[[#This Row],[Final Obj Name]],Table1[[#This Row],[Position 1]],Table1[[#This Row],[Position 2]]-Table1[[#This Row],[Position 1]]+1))</f>
        <v>/0SAP/</v>
      </c>
      <c r="AE91" t="str">
        <f>VLOOKUP(Table1[[#This Row],[/* Object]],Namespace!A:J,10,FALSE)</f>
        <v>SAP AG</v>
      </c>
      <c r="AF91" t="str">
        <f>IF(VLOOKUP(Table1[[#This Row],[/* Object]],Namespace!A:J,4,FALSE)=0,"",VLOOKUP(Table1[[#This Row],[/* Object]],Namespace!A:J,4,FALSE))</f>
        <v>X</v>
      </c>
      <c r="AG91" t="str">
        <f>IF(VLOOKUP(Table1[[#This Row],[/* Object]],Namespace!A:J,5,FALSE)=0,"",VLOOKUP(Table1[[#This Row],[/* Object]],Namespace!A:J,5,FALSE))</f>
        <v>X</v>
      </c>
      <c r="AH91" t="str">
        <f>IF(VLOOKUP(Table1[[#This Row],[/* Object]],Namespace!A:J,6,FALSE)=0,"",VLOOKUP(Table1[[#This Row],[/* Object]],Namespace!A:J,6,FALSE))</f>
        <v/>
      </c>
      <c r="AI91">
        <f>IFERROR(FIND("/",Table1[[#This Row],[Final Obj Name]],1),0)</f>
        <v>0</v>
      </c>
      <c r="AJ91">
        <f>IF(Table1[[#This Row],[Position 1]]=0,0,FIND("/",Table1[[#This Row],[Final Obj Name]],Table1[[#This Row],[Position 1]]+1))</f>
        <v>0</v>
      </c>
      <c r="AK91" t="str">
        <f>IF(LEFT(Table1[[#This Row],[Final Obj Name]],1)="/",LEFT(Table1[[#This Row],[Final Obj Name]],FIND("/",Table1[[#This Row],[Final Obj Name]],2)),"/0SAP/")</f>
        <v>/0SAP/</v>
      </c>
    </row>
    <row r="92">
      <c r="A92" t="str">
        <v>CLAS</v>
      </c>
      <c r="B92" t="str">
        <v>ZCL_MDGUSMD_CREQUEST_POWL</v>
      </c>
      <c r="C92" t="str">
        <v>CPUB</v>
      </c>
      <c r="D92" t="str">
        <v>ZCL_MDGUSMD_CREQUEST_POWL</v>
      </c>
      <c r="E92" t="str">
        <v>XXXX</v>
      </c>
      <c r="G92" t="str">
        <v>ALL</v>
      </c>
      <c r="K92" t="str">
        <v>E</v>
      </c>
      <c r="L92" t="str">
        <v>NSHAIK</v>
      </c>
      <c r="M92">
        <v>46021</v>
      </c>
      <c r="N92">
        <v>0.17532407407407</v>
      </c>
      <c r="Y92">
        <f>IF(Table1[[#This Row],[OPERATION]]="NOTE","NOTE",Table1[[#This Row],[SUB_TYPE]])</f>
        <v>0</v>
      </c>
      <c r="Z92">
        <f>IF(Table1[[#This Row],[OPERATION]]="NOTE",NUMBERVALUE(LEFT(Table1[[#This Row],[MOD_NAME]],LEN(Table1[[#This Row],[MOD_NAME]])-4)),Table1[[#This Row],[SUB_NAME]])</f>
        <v>0</v>
      </c>
      <c r="AA92" t="str">
        <f>CONCAT(Table1[[#This Row],[Final Obj Type]],"|",Table1[[#This Row],[Final Obj Name]])</f>
        <v>0|0</v>
      </c>
      <c r="AB92" t="e">
        <f>VLOOKUP(Table1[[#This Row],[Final Obj Type]],Classification!B:E,3,FALSE)</f>
        <v>#N/A</v>
      </c>
      <c r="AC92" t="e">
        <f>VLOOKUP(Table1[[#This Row],[Final Obj Type]],Classification!B:E,4,FALSE)</f>
        <v>#N/A</v>
      </c>
      <c r="AD92" t="str">
        <f>IF(Table1[[#This Row],[Position 1]]=0,"/0SAP/",MID(Table1[[#This Row],[Final Obj Name]],Table1[[#This Row],[Position 1]],Table1[[#This Row],[Position 2]]-Table1[[#This Row],[Position 1]]+1))</f>
        <v>/0SAP/</v>
      </c>
      <c r="AE92" t="str">
        <f>VLOOKUP(Table1[[#This Row],[/* Object]],Namespace!A:J,10,FALSE)</f>
        <v>SAP AG</v>
      </c>
      <c r="AF92" t="str">
        <f>IF(VLOOKUP(Table1[[#This Row],[/* Object]],Namespace!A:J,4,FALSE)=0,"",VLOOKUP(Table1[[#This Row],[/* Object]],Namespace!A:J,4,FALSE))</f>
        <v>X</v>
      </c>
      <c r="AG92" t="str">
        <f>IF(VLOOKUP(Table1[[#This Row],[/* Object]],Namespace!A:J,5,FALSE)=0,"",VLOOKUP(Table1[[#This Row],[/* Object]],Namespace!A:J,5,FALSE))</f>
        <v>X</v>
      </c>
      <c r="AH92" t="str">
        <f>IF(VLOOKUP(Table1[[#This Row],[/* Object]],Namespace!A:J,6,FALSE)=0,"",VLOOKUP(Table1[[#This Row],[/* Object]],Namespace!A:J,6,FALSE))</f>
        <v/>
      </c>
      <c r="AI92">
        <f>IFERROR(FIND("/",Table1[[#This Row],[Final Obj Name]],1),0)</f>
        <v>0</v>
      </c>
      <c r="AJ92">
        <f>IF(Table1[[#This Row],[Position 1]]=0,0,FIND("/",Table1[[#This Row],[Final Obj Name]],Table1[[#This Row],[Position 1]]+1))</f>
        <v>0</v>
      </c>
      <c r="AK92" t="str">
        <f>IF(LEFT(Table1[[#This Row],[Final Obj Name]],1)="/",LEFT(Table1[[#This Row],[Final Obj Name]],FIND("/",Table1[[#This Row],[Final Obj Name]],2)),"/0SAP/")</f>
        <v>/0SAP/</v>
      </c>
    </row>
    <row r="93">
      <c r="A93" t="str">
        <v>CLAS</v>
      </c>
      <c r="B93" t="str">
        <v>ZCL_MDG_BP_EMAIL_NOTE_HDL</v>
      </c>
      <c r="C93" t="str">
        <v>CPRI</v>
      </c>
      <c r="D93" t="str">
        <v>ZCL_MDG_BP_EMAIL_NOTE_HDL</v>
      </c>
      <c r="E93" t="str">
        <v>XXXX</v>
      </c>
      <c r="G93" t="str">
        <v>ALL</v>
      </c>
      <c r="K93" t="str">
        <v>E</v>
      </c>
      <c r="L93" t="str">
        <v>NSHAIK</v>
      </c>
      <c r="M93">
        <v>46021</v>
      </c>
      <c r="N93">
        <v>0.17565972222222</v>
      </c>
      <c r="Y93">
        <f>IF(Table1[[#This Row],[OPERATION]]="NOTE","NOTE",Table1[[#This Row],[SUB_TYPE]])</f>
        <v>0</v>
      </c>
      <c r="Z93">
        <f>IF(Table1[[#This Row],[OPERATION]]="NOTE",NUMBERVALUE(LEFT(Table1[[#This Row],[MOD_NAME]],LEN(Table1[[#This Row],[MOD_NAME]])-4)),Table1[[#This Row],[SUB_NAME]])</f>
        <v>0</v>
      </c>
      <c r="AA93" t="str">
        <f>CONCAT(Table1[[#This Row],[Final Obj Type]],"|",Table1[[#This Row],[Final Obj Name]])</f>
        <v>0|0</v>
      </c>
      <c r="AB93" t="e">
        <f>VLOOKUP(Table1[[#This Row],[Final Obj Type]],Classification!B:E,3,FALSE)</f>
        <v>#N/A</v>
      </c>
      <c r="AC93" t="e">
        <f>VLOOKUP(Table1[[#This Row],[Final Obj Type]],Classification!B:E,4,FALSE)</f>
        <v>#N/A</v>
      </c>
      <c r="AD93" t="str">
        <f>IF(Table1[[#This Row],[Position 1]]=0,"/0SAP/",MID(Table1[[#This Row],[Final Obj Name]],Table1[[#This Row],[Position 1]],Table1[[#This Row],[Position 2]]-Table1[[#This Row],[Position 1]]+1))</f>
        <v>/0SAP/</v>
      </c>
      <c r="AE93" t="str">
        <f>VLOOKUP(Table1[[#This Row],[/* Object]],Namespace!A:J,10,FALSE)</f>
        <v>SAP AG</v>
      </c>
      <c r="AF93" t="str">
        <f>IF(VLOOKUP(Table1[[#This Row],[/* Object]],Namespace!A:J,4,FALSE)=0,"",VLOOKUP(Table1[[#This Row],[/* Object]],Namespace!A:J,4,FALSE))</f>
        <v>X</v>
      </c>
      <c r="AG93" t="str">
        <f>IF(VLOOKUP(Table1[[#This Row],[/* Object]],Namespace!A:J,5,FALSE)=0,"",VLOOKUP(Table1[[#This Row],[/* Object]],Namespace!A:J,5,FALSE))</f>
        <v>X</v>
      </c>
      <c r="AH93" t="str">
        <f>IF(VLOOKUP(Table1[[#This Row],[/* Object]],Namespace!A:J,6,FALSE)=0,"",VLOOKUP(Table1[[#This Row],[/* Object]],Namespace!A:J,6,FALSE))</f>
        <v/>
      </c>
      <c r="AI93">
        <f>IFERROR(FIND("/",Table1[[#This Row],[Final Obj Name]],1),0)</f>
        <v>0</v>
      </c>
      <c r="AJ93">
        <f>IF(Table1[[#This Row],[Position 1]]=0,0,FIND("/",Table1[[#This Row],[Final Obj Name]],Table1[[#This Row],[Position 1]]+1))</f>
        <v>0</v>
      </c>
      <c r="AK93" t="str">
        <f>IF(LEFT(Table1[[#This Row],[Final Obj Name]],1)="/",LEFT(Table1[[#This Row],[Final Obj Name]],FIND("/",Table1[[#This Row],[Final Obj Name]],2)),"/0SAP/")</f>
        <v>/0SAP/</v>
      </c>
    </row>
    <row r="94">
      <c r="A94" t="str">
        <v>CLAS</v>
      </c>
      <c r="B94" t="str">
        <v>ZCL_MDG_BP_EMAIL_NOTE_HDL</v>
      </c>
      <c r="C94" t="str">
        <v>CPRO</v>
      </c>
      <c r="D94" t="str">
        <v>ZCL_MDG_BP_EMAIL_NOTE_HDL</v>
      </c>
      <c r="E94" t="str">
        <v>XXXX</v>
      </c>
      <c r="G94" t="str">
        <v>ALL</v>
      </c>
      <c r="K94" t="str">
        <v>E</v>
      </c>
      <c r="L94" t="str">
        <v>NSHAIK</v>
      </c>
      <c r="M94">
        <v>46021</v>
      </c>
      <c r="N94">
        <v>0.17565972222222</v>
      </c>
      <c r="Y94">
        <f>IF(Table1[[#This Row],[OPERATION]]="NOTE","NOTE",Table1[[#This Row],[SUB_TYPE]])</f>
        <v>0</v>
      </c>
      <c r="Z94">
        <f>IF(Table1[[#This Row],[OPERATION]]="NOTE",NUMBERVALUE(LEFT(Table1[[#This Row],[MOD_NAME]],LEN(Table1[[#This Row],[MOD_NAME]])-4)),Table1[[#This Row],[SUB_NAME]])</f>
        <v>0</v>
      </c>
      <c r="AA94" t="str">
        <f>CONCAT(Table1[[#This Row],[Final Obj Type]],"|",Table1[[#This Row],[Final Obj Name]])</f>
        <v>0|0</v>
      </c>
      <c r="AB94" t="e">
        <f>VLOOKUP(Table1[[#This Row],[Final Obj Type]],Classification!B:E,3,FALSE)</f>
        <v>#N/A</v>
      </c>
      <c r="AC94" t="e">
        <f>VLOOKUP(Table1[[#This Row],[Final Obj Type]],Classification!B:E,4,FALSE)</f>
        <v>#N/A</v>
      </c>
      <c r="AD94" t="str">
        <f>IF(Table1[[#This Row],[Position 1]]=0,"/0SAP/",MID(Table1[[#This Row],[Final Obj Name]],Table1[[#This Row],[Position 1]],Table1[[#This Row],[Position 2]]-Table1[[#This Row],[Position 1]]+1))</f>
        <v>/0SAP/</v>
      </c>
      <c r="AE94" t="str">
        <f>VLOOKUP(Table1[[#This Row],[/* Object]],Namespace!A:J,10,FALSE)</f>
        <v>SAP AG</v>
      </c>
      <c r="AF94" t="str">
        <f>IF(VLOOKUP(Table1[[#This Row],[/* Object]],Namespace!A:J,4,FALSE)=0,"",VLOOKUP(Table1[[#This Row],[/* Object]],Namespace!A:J,4,FALSE))</f>
        <v>X</v>
      </c>
      <c r="AG94" t="str">
        <f>IF(VLOOKUP(Table1[[#This Row],[/* Object]],Namespace!A:J,5,FALSE)=0,"",VLOOKUP(Table1[[#This Row],[/* Object]],Namespace!A:J,5,FALSE))</f>
        <v>X</v>
      </c>
      <c r="AH94" t="str">
        <f>IF(VLOOKUP(Table1[[#This Row],[/* Object]],Namespace!A:J,6,FALSE)=0,"",VLOOKUP(Table1[[#This Row],[/* Object]],Namespace!A:J,6,FALSE))</f>
        <v/>
      </c>
      <c r="AI94">
        <f>IFERROR(FIND("/",Table1[[#This Row],[Final Obj Name]],1),0)</f>
        <v>0</v>
      </c>
      <c r="AJ94">
        <f>IF(Table1[[#This Row],[Position 1]]=0,0,FIND("/",Table1[[#This Row],[Final Obj Name]],Table1[[#This Row],[Position 1]]+1))</f>
        <v>0</v>
      </c>
      <c r="AK94" t="str">
        <f>IF(LEFT(Table1[[#This Row],[Final Obj Name]],1)="/",LEFT(Table1[[#This Row],[Final Obj Name]],FIND("/",Table1[[#This Row],[Final Obj Name]],2)),"/0SAP/")</f>
        <v>/0SAP/</v>
      </c>
    </row>
    <row r="95">
      <c r="A95" t="str">
        <v>CLAS</v>
      </c>
      <c r="B95" t="str">
        <v>ZCL_MDG_BP_EMAIL_NOTE_HDL</v>
      </c>
      <c r="C95" t="str">
        <v>CPUB</v>
      </c>
      <c r="D95" t="str">
        <v>ZCL_MDG_BP_EMAIL_NOTE_HDL</v>
      </c>
      <c r="E95" t="str">
        <v>XXXX</v>
      </c>
      <c r="G95" t="str">
        <v>ALL</v>
      </c>
      <c r="K95" t="str">
        <v>E</v>
      </c>
      <c r="L95" t="str">
        <v>NSHAIK</v>
      </c>
      <c r="M95">
        <v>46021</v>
      </c>
      <c r="N95">
        <v>0.17565972222222</v>
      </c>
      <c r="Y95">
        <f>IF(Table1[[#This Row],[OPERATION]]="NOTE","NOTE",Table1[[#This Row],[SUB_TYPE]])</f>
        <v>0</v>
      </c>
      <c r="Z95">
        <f>IF(Table1[[#This Row],[OPERATION]]="NOTE",NUMBERVALUE(LEFT(Table1[[#This Row],[MOD_NAME]],LEN(Table1[[#This Row],[MOD_NAME]])-4)),Table1[[#This Row],[SUB_NAME]])</f>
        <v>0</v>
      </c>
      <c r="AA95" t="str">
        <f>CONCAT(Table1[[#This Row],[Final Obj Type]],"|",Table1[[#This Row],[Final Obj Name]])</f>
        <v>0|0</v>
      </c>
      <c r="AB95" t="e">
        <f>VLOOKUP(Table1[[#This Row],[Final Obj Type]],Classification!B:E,3,FALSE)</f>
        <v>#N/A</v>
      </c>
      <c r="AC95" t="e">
        <f>VLOOKUP(Table1[[#This Row],[Final Obj Type]],Classification!B:E,4,FALSE)</f>
        <v>#N/A</v>
      </c>
      <c r="AD95" t="str">
        <f>IF(Table1[[#This Row],[Position 1]]=0,"/0SAP/",MID(Table1[[#This Row],[Final Obj Name]],Table1[[#This Row],[Position 1]],Table1[[#This Row],[Position 2]]-Table1[[#This Row],[Position 1]]+1))</f>
        <v>/0SAP/</v>
      </c>
      <c r="AE95" t="str">
        <f>VLOOKUP(Table1[[#This Row],[/* Object]],Namespace!A:J,10,FALSE)</f>
        <v>SAP AG</v>
      </c>
      <c r="AF95" t="str">
        <f>IF(VLOOKUP(Table1[[#This Row],[/* Object]],Namespace!A:J,4,FALSE)=0,"",VLOOKUP(Table1[[#This Row],[/* Object]],Namespace!A:J,4,FALSE))</f>
        <v>X</v>
      </c>
      <c r="AG95" t="str">
        <f>IF(VLOOKUP(Table1[[#This Row],[/* Object]],Namespace!A:J,5,FALSE)=0,"",VLOOKUP(Table1[[#This Row],[/* Object]],Namespace!A:J,5,FALSE))</f>
        <v>X</v>
      </c>
      <c r="AH95" t="str">
        <f>IF(VLOOKUP(Table1[[#This Row],[/* Object]],Namespace!A:J,6,FALSE)=0,"",VLOOKUP(Table1[[#This Row],[/* Object]],Namespace!A:J,6,FALSE))</f>
        <v/>
      </c>
      <c r="AI95">
        <f>IFERROR(FIND("/",Table1[[#This Row],[Final Obj Name]],1),0)</f>
        <v>0</v>
      </c>
      <c r="AJ95">
        <f>IF(Table1[[#This Row],[Position 1]]=0,0,FIND("/",Table1[[#This Row],[Final Obj Name]],Table1[[#This Row],[Position 1]]+1))</f>
        <v>0</v>
      </c>
      <c r="AK95" t="str">
        <f>IF(LEFT(Table1[[#This Row],[Final Obj Name]],1)="/",LEFT(Table1[[#This Row],[Final Obj Name]],FIND("/",Table1[[#This Row],[Final Obj Name]],2)),"/0SAP/")</f>
        <v>/0SAP/</v>
      </c>
    </row>
    <row r="96">
      <c r="A96" t="str">
        <v>CLAS</v>
      </c>
      <c r="B96" t="str">
        <v>ZCL_MDG_CVIROLE_SET_GET</v>
      </c>
      <c r="C96" t="str">
        <v>CPRI</v>
      </c>
      <c r="D96" t="str">
        <v>ZCL_MDG_CVIROLE_SET_GET</v>
      </c>
      <c r="E96" t="str">
        <v>XXXX</v>
      </c>
      <c r="G96" t="str">
        <v>ALL</v>
      </c>
      <c r="K96" t="str">
        <v>E</v>
      </c>
      <c r="L96" t="str">
        <v>NSHAIK</v>
      </c>
      <c r="M96">
        <v>46021</v>
      </c>
      <c r="N96">
        <v>0.17605324074074</v>
      </c>
      <c r="Y96">
        <f>IF(Table1[[#This Row],[OPERATION]]="NOTE","NOTE",Table1[[#This Row],[SUB_TYPE]])</f>
        <v>0</v>
      </c>
      <c r="Z96">
        <f>IF(Table1[[#This Row],[OPERATION]]="NOTE",NUMBERVALUE(LEFT(Table1[[#This Row],[MOD_NAME]],LEN(Table1[[#This Row],[MOD_NAME]])-4)),Table1[[#This Row],[SUB_NAME]])</f>
        <v>0</v>
      </c>
      <c r="AA96" t="str">
        <f>CONCAT(Table1[[#This Row],[Final Obj Type]],"|",Table1[[#This Row],[Final Obj Name]])</f>
        <v>0|0</v>
      </c>
      <c r="AB96" t="e">
        <f>VLOOKUP(Table1[[#This Row],[Final Obj Type]],Classification!B:E,3,FALSE)</f>
        <v>#N/A</v>
      </c>
      <c r="AC96" t="e">
        <f>VLOOKUP(Table1[[#This Row],[Final Obj Type]],Classification!B:E,4,FALSE)</f>
        <v>#N/A</v>
      </c>
      <c r="AD96" t="str">
        <f>IF(Table1[[#This Row],[Position 1]]=0,"/0SAP/",MID(Table1[[#This Row],[Final Obj Name]],Table1[[#This Row],[Position 1]],Table1[[#This Row],[Position 2]]-Table1[[#This Row],[Position 1]]+1))</f>
        <v>/0SAP/</v>
      </c>
      <c r="AE96" t="str">
        <f>VLOOKUP(Table1[[#This Row],[/* Object]],Namespace!A:J,10,FALSE)</f>
        <v>SAP AG</v>
      </c>
      <c r="AF96" t="str">
        <f>IF(VLOOKUP(Table1[[#This Row],[/* Object]],Namespace!A:J,4,FALSE)=0,"",VLOOKUP(Table1[[#This Row],[/* Object]],Namespace!A:J,4,FALSE))</f>
        <v>X</v>
      </c>
      <c r="AG96" t="str">
        <f>IF(VLOOKUP(Table1[[#This Row],[/* Object]],Namespace!A:J,5,FALSE)=0,"",VLOOKUP(Table1[[#This Row],[/* Object]],Namespace!A:J,5,FALSE))</f>
        <v>X</v>
      </c>
      <c r="AH96" t="str">
        <f>IF(VLOOKUP(Table1[[#This Row],[/* Object]],Namespace!A:J,6,FALSE)=0,"",VLOOKUP(Table1[[#This Row],[/* Object]],Namespace!A:J,6,FALSE))</f>
        <v/>
      </c>
      <c r="AI96">
        <f>IFERROR(FIND("/",Table1[[#This Row],[Final Obj Name]],1),0)</f>
        <v>0</v>
      </c>
      <c r="AJ96">
        <f>IF(Table1[[#This Row],[Position 1]]=0,0,FIND("/",Table1[[#This Row],[Final Obj Name]],Table1[[#This Row],[Position 1]]+1))</f>
        <v>0</v>
      </c>
      <c r="AK96" t="str">
        <f>IF(LEFT(Table1[[#This Row],[Final Obj Name]],1)="/",LEFT(Table1[[#This Row],[Final Obj Name]],FIND("/",Table1[[#This Row],[Final Obj Name]],2)),"/0SAP/")</f>
        <v>/0SAP/</v>
      </c>
    </row>
    <row r="97">
      <c r="A97" t="str">
        <v>CLAS</v>
      </c>
      <c r="B97" t="str">
        <v>ZCL_MDG_CVIROLE_SET_GET</v>
      </c>
      <c r="C97" t="str">
        <v>CPRO</v>
      </c>
      <c r="D97" t="str">
        <v>ZCL_MDG_CVIROLE_SET_GET</v>
      </c>
      <c r="E97" t="str">
        <v>XXXX</v>
      </c>
      <c r="G97" t="str">
        <v>ALL</v>
      </c>
      <c r="K97" t="str">
        <v>E</v>
      </c>
      <c r="L97" t="str">
        <v>NSHAIK</v>
      </c>
      <c r="M97">
        <v>46021</v>
      </c>
      <c r="N97">
        <v>0.17605324074074</v>
      </c>
      <c r="Y97">
        <f>IF(Table1[[#This Row],[OPERATION]]="NOTE","NOTE",Table1[[#This Row],[SUB_TYPE]])</f>
        <v>0</v>
      </c>
      <c r="Z97">
        <f>IF(Table1[[#This Row],[OPERATION]]="NOTE",NUMBERVALUE(LEFT(Table1[[#This Row],[MOD_NAME]],LEN(Table1[[#This Row],[MOD_NAME]])-4)),Table1[[#This Row],[SUB_NAME]])</f>
        <v>0</v>
      </c>
      <c r="AA97" t="str">
        <f>CONCAT(Table1[[#This Row],[Final Obj Type]],"|",Table1[[#This Row],[Final Obj Name]])</f>
        <v>0|0</v>
      </c>
      <c r="AB97" t="e">
        <f>VLOOKUP(Table1[[#This Row],[Final Obj Type]],Classification!B:E,3,FALSE)</f>
        <v>#N/A</v>
      </c>
      <c r="AC97" t="e">
        <f>VLOOKUP(Table1[[#This Row],[Final Obj Type]],Classification!B:E,4,FALSE)</f>
        <v>#N/A</v>
      </c>
      <c r="AD97" t="str">
        <f>IF(Table1[[#This Row],[Position 1]]=0,"/0SAP/",MID(Table1[[#This Row],[Final Obj Name]],Table1[[#This Row],[Position 1]],Table1[[#This Row],[Position 2]]-Table1[[#This Row],[Position 1]]+1))</f>
        <v>/0SAP/</v>
      </c>
      <c r="AE97" t="str">
        <f>VLOOKUP(Table1[[#This Row],[/* Object]],Namespace!A:J,10,FALSE)</f>
        <v>SAP AG</v>
      </c>
      <c r="AF97" t="str">
        <f>IF(VLOOKUP(Table1[[#This Row],[/* Object]],Namespace!A:J,4,FALSE)=0,"",VLOOKUP(Table1[[#This Row],[/* Object]],Namespace!A:J,4,FALSE))</f>
        <v>X</v>
      </c>
      <c r="AG97" t="str">
        <f>IF(VLOOKUP(Table1[[#This Row],[/* Object]],Namespace!A:J,5,FALSE)=0,"",VLOOKUP(Table1[[#This Row],[/* Object]],Namespace!A:J,5,FALSE))</f>
        <v>X</v>
      </c>
      <c r="AH97" t="str">
        <f>IF(VLOOKUP(Table1[[#This Row],[/* Object]],Namespace!A:J,6,FALSE)=0,"",VLOOKUP(Table1[[#This Row],[/* Object]],Namespace!A:J,6,FALSE))</f>
        <v/>
      </c>
      <c r="AI97">
        <f>IFERROR(FIND("/",Table1[[#This Row],[Final Obj Name]],1),0)</f>
        <v>0</v>
      </c>
      <c r="AJ97">
        <f>IF(Table1[[#This Row],[Position 1]]=0,0,FIND("/",Table1[[#This Row],[Final Obj Name]],Table1[[#This Row],[Position 1]]+1))</f>
        <v>0</v>
      </c>
      <c r="AK97" t="str">
        <f>IF(LEFT(Table1[[#This Row],[Final Obj Name]],1)="/",LEFT(Table1[[#This Row],[Final Obj Name]],FIND("/",Table1[[#This Row],[Final Obj Name]],2)),"/0SAP/")</f>
        <v>/0SAP/</v>
      </c>
    </row>
    <row r="98">
      <c r="A98" t="str">
        <v>CLAS</v>
      </c>
      <c r="B98" t="str">
        <v>ZCL_MDG_CVIROLE_SET_GET</v>
      </c>
      <c r="C98" t="str">
        <v>CPUB</v>
      </c>
      <c r="D98" t="str">
        <v>ZCL_MDG_CVIROLE_SET_GET</v>
      </c>
      <c r="E98" t="str">
        <v>XXXX</v>
      </c>
      <c r="G98" t="str">
        <v>ALL</v>
      </c>
      <c r="K98" t="str">
        <v>E</v>
      </c>
      <c r="L98" t="str">
        <v>NSHAIK</v>
      </c>
      <c r="M98">
        <v>46021</v>
      </c>
      <c r="N98">
        <v>0.17605324074074</v>
      </c>
      <c r="Y98">
        <f>IF(Table1[[#This Row],[OPERATION]]="NOTE","NOTE",Table1[[#This Row],[SUB_TYPE]])</f>
        <v>0</v>
      </c>
      <c r="Z98">
        <f>IF(Table1[[#This Row],[OPERATION]]="NOTE",NUMBERVALUE(LEFT(Table1[[#This Row],[MOD_NAME]],LEN(Table1[[#This Row],[MOD_NAME]])-4)),Table1[[#This Row],[SUB_NAME]])</f>
        <v>0</v>
      </c>
      <c r="AA98" t="str">
        <f>CONCAT(Table1[[#This Row],[Final Obj Type]],"|",Table1[[#This Row],[Final Obj Name]])</f>
        <v>0|0</v>
      </c>
      <c r="AB98" t="e">
        <f>VLOOKUP(Table1[[#This Row],[Final Obj Type]],Classification!B:E,3,FALSE)</f>
        <v>#N/A</v>
      </c>
      <c r="AC98" t="e">
        <f>VLOOKUP(Table1[[#This Row],[Final Obj Type]],Classification!B:E,4,FALSE)</f>
        <v>#N/A</v>
      </c>
      <c r="AD98" t="str">
        <f>IF(Table1[[#This Row],[Position 1]]=0,"/0SAP/",MID(Table1[[#This Row],[Final Obj Name]],Table1[[#This Row],[Position 1]],Table1[[#This Row],[Position 2]]-Table1[[#This Row],[Position 1]]+1))</f>
        <v>/0SAP/</v>
      </c>
      <c r="AE98" t="str">
        <f>VLOOKUP(Table1[[#This Row],[/* Object]],Namespace!A:J,10,FALSE)</f>
        <v>SAP AG</v>
      </c>
      <c r="AF98" t="str">
        <f>IF(VLOOKUP(Table1[[#This Row],[/* Object]],Namespace!A:J,4,FALSE)=0,"",VLOOKUP(Table1[[#This Row],[/* Object]],Namespace!A:J,4,FALSE))</f>
        <v>X</v>
      </c>
      <c r="AG98" t="str">
        <f>IF(VLOOKUP(Table1[[#This Row],[/* Object]],Namespace!A:J,5,FALSE)=0,"",VLOOKUP(Table1[[#This Row],[/* Object]],Namespace!A:J,5,FALSE))</f>
        <v>X</v>
      </c>
      <c r="AH98" t="str">
        <f>IF(VLOOKUP(Table1[[#This Row],[/* Object]],Namespace!A:J,6,FALSE)=0,"",VLOOKUP(Table1[[#This Row],[/* Object]],Namespace!A:J,6,FALSE))</f>
        <v/>
      </c>
      <c r="AI98">
        <f>IFERROR(FIND("/",Table1[[#This Row],[Final Obj Name]],1),0)</f>
        <v>0</v>
      </c>
      <c r="AJ98">
        <f>IF(Table1[[#This Row],[Position 1]]=0,0,FIND("/",Table1[[#This Row],[Final Obj Name]],Table1[[#This Row],[Position 1]]+1))</f>
        <v>0</v>
      </c>
      <c r="AK98" t="str">
        <f>IF(LEFT(Table1[[#This Row],[Final Obj Name]],1)="/",LEFT(Table1[[#This Row],[Final Obj Name]],FIND("/",Table1[[#This Row],[Final Obj Name]],2)),"/0SAP/")</f>
        <v>/0SAP/</v>
      </c>
    </row>
    <row r="99">
      <c r="A99" t="str">
        <v>CLAS</v>
      </c>
      <c r="B99" t="str">
        <v>ZCL_MDG_GENERIC_EMAIL_UTIL</v>
      </c>
      <c r="C99" t="str">
        <v>CPRI</v>
      </c>
      <c r="D99" t="str">
        <v>ZCL_MDG_GENERIC_EMAIL_UTIL</v>
      </c>
      <c r="E99" t="str">
        <v>XXXX</v>
      </c>
      <c r="G99" t="str">
        <v>ALL</v>
      </c>
      <c r="K99" t="str">
        <v>E</v>
      </c>
      <c r="L99" t="str">
        <v>NSHAIK</v>
      </c>
      <c r="M99">
        <v>46020</v>
      </c>
      <c r="N99">
        <v>0.30548611111111</v>
      </c>
      <c r="Y99">
        <f>IF(Table1[[#This Row],[OPERATION]]="NOTE","NOTE",Table1[[#This Row],[SUB_TYPE]])</f>
        <v>0</v>
      </c>
      <c r="Z99">
        <f>IF(Table1[[#This Row],[OPERATION]]="NOTE",NUMBERVALUE(LEFT(Table1[[#This Row],[MOD_NAME]],LEN(Table1[[#This Row],[MOD_NAME]])-4)),Table1[[#This Row],[SUB_NAME]])</f>
        <v>0</v>
      </c>
      <c r="AA99" t="str">
        <f>CONCAT(Table1[[#This Row],[Final Obj Type]],"|",Table1[[#This Row],[Final Obj Name]])</f>
        <v>0|0</v>
      </c>
      <c r="AB99" t="e">
        <f>VLOOKUP(Table1[[#This Row],[Final Obj Type]],Classification!B:E,3,FALSE)</f>
        <v>#N/A</v>
      </c>
      <c r="AC99" t="e">
        <f>VLOOKUP(Table1[[#This Row],[Final Obj Type]],Classification!B:E,4,FALSE)</f>
        <v>#N/A</v>
      </c>
      <c r="AD99" t="str">
        <f>IF(Table1[[#This Row],[Position 1]]=0,"/0SAP/",MID(Table1[[#This Row],[Final Obj Name]],Table1[[#This Row],[Position 1]],Table1[[#This Row],[Position 2]]-Table1[[#This Row],[Position 1]]+1))</f>
        <v>/0SAP/</v>
      </c>
      <c r="AE99" t="str">
        <f>VLOOKUP(Table1[[#This Row],[/* Object]],Namespace!A:J,10,FALSE)</f>
        <v>SAP AG</v>
      </c>
      <c r="AF99" t="str">
        <f>IF(VLOOKUP(Table1[[#This Row],[/* Object]],Namespace!A:J,4,FALSE)=0,"",VLOOKUP(Table1[[#This Row],[/* Object]],Namespace!A:J,4,FALSE))</f>
        <v>X</v>
      </c>
      <c r="AG99" t="str">
        <f>IF(VLOOKUP(Table1[[#This Row],[/* Object]],Namespace!A:J,5,FALSE)=0,"",VLOOKUP(Table1[[#This Row],[/* Object]],Namespace!A:J,5,FALSE))</f>
        <v>X</v>
      </c>
      <c r="AH99" t="str">
        <f>IF(VLOOKUP(Table1[[#This Row],[/* Object]],Namespace!A:J,6,FALSE)=0,"",VLOOKUP(Table1[[#This Row],[/* Object]],Namespace!A:J,6,FALSE))</f>
        <v/>
      </c>
      <c r="AI99">
        <f>IFERROR(FIND("/",Table1[[#This Row],[Final Obj Name]],1),0)</f>
        <v>0</v>
      </c>
      <c r="AJ99">
        <f>IF(Table1[[#This Row],[Position 1]]=0,0,FIND("/",Table1[[#This Row],[Final Obj Name]],Table1[[#This Row],[Position 1]]+1))</f>
        <v>0</v>
      </c>
      <c r="AK99" t="str">
        <f>IF(LEFT(Table1[[#This Row],[Final Obj Name]],1)="/",LEFT(Table1[[#This Row],[Final Obj Name]],FIND("/",Table1[[#This Row],[Final Obj Name]],2)),"/0SAP/")</f>
        <v>/0SAP/</v>
      </c>
    </row>
    <row r="100">
      <c r="A100" t="str">
        <v>CLAS</v>
      </c>
      <c r="B100" t="str">
        <v>ZCL_MDG_GENERIC_EMAIL_UTIL</v>
      </c>
      <c r="C100" t="str">
        <v>CPRO</v>
      </c>
      <c r="D100" t="str">
        <v>ZCL_MDG_GENERIC_EMAIL_UTIL</v>
      </c>
      <c r="E100" t="str">
        <v>XXXX</v>
      </c>
      <c r="G100" t="str">
        <v>ALL</v>
      </c>
      <c r="K100" t="str">
        <v>E</v>
      </c>
      <c r="L100" t="str">
        <v>NSHAIK</v>
      </c>
      <c r="M100">
        <v>46020</v>
      </c>
      <c r="N100">
        <v>0.30548611111111</v>
      </c>
      <c r="Y100">
        <f>IF(Table1[[#This Row],[OPERATION]]="NOTE","NOTE",Table1[[#This Row],[SUB_TYPE]])</f>
        <v>0</v>
      </c>
      <c r="Z100">
        <f>IF(Table1[[#This Row],[OPERATION]]="NOTE",NUMBERVALUE(LEFT(Table1[[#This Row],[MOD_NAME]],LEN(Table1[[#This Row],[MOD_NAME]])-4)),Table1[[#This Row],[SUB_NAME]])</f>
        <v>0</v>
      </c>
      <c r="AA100" t="str">
        <f>CONCAT(Table1[[#This Row],[Final Obj Type]],"|",Table1[[#This Row],[Final Obj Name]])</f>
        <v>0|0</v>
      </c>
      <c r="AB100" t="e">
        <f>VLOOKUP(Table1[[#This Row],[Final Obj Type]],Classification!B:E,3,FALSE)</f>
        <v>#N/A</v>
      </c>
      <c r="AC100" t="e">
        <f>VLOOKUP(Table1[[#This Row],[Final Obj Type]],Classification!B:E,4,FALSE)</f>
        <v>#N/A</v>
      </c>
      <c r="AD100" t="str">
        <f>IF(Table1[[#This Row],[Position 1]]=0,"/0SAP/",MID(Table1[[#This Row],[Final Obj Name]],Table1[[#This Row],[Position 1]],Table1[[#This Row],[Position 2]]-Table1[[#This Row],[Position 1]]+1))</f>
        <v>/0SAP/</v>
      </c>
      <c r="AE100" t="str">
        <f>VLOOKUP(Table1[[#This Row],[/* Object]],Namespace!A:J,10,FALSE)</f>
        <v>SAP AG</v>
      </c>
      <c r="AF100" t="str">
        <f>IF(VLOOKUP(Table1[[#This Row],[/* Object]],Namespace!A:J,4,FALSE)=0,"",VLOOKUP(Table1[[#This Row],[/* Object]],Namespace!A:J,4,FALSE))</f>
        <v>X</v>
      </c>
      <c r="AG100" t="str">
        <f>IF(VLOOKUP(Table1[[#This Row],[/* Object]],Namespace!A:J,5,FALSE)=0,"",VLOOKUP(Table1[[#This Row],[/* Object]],Namespace!A:J,5,FALSE))</f>
        <v>X</v>
      </c>
      <c r="AH100" t="str">
        <f>IF(VLOOKUP(Table1[[#This Row],[/* Object]],Namespace!A:J,6,FALSE)=0,"",VLOOKUP(Table1[[#This Row],[/* Object]],Namespace!A:J,6,FALSE))</f>
        <v/>
      </c>
      <c r="AI100">
        <f>IFERROR(FIND("/",Table1[[#This Row],[Final Obj Name]],1),0)</f>
        <v>0</v>
      </c>
      <c r="AJ100">
        <f>IF(Table1[[#This Row],[Position 1]]=0,0,FIND("/",Table1[[#This Row],[Final Obj Name]],Table1[[#This Row],[Position 1]]+1))</f>
        <v>0</v>
      </c>
      <c r="AK100" t="str">
        <f>IF(LEFT(Table1[[#This Row],[Final Obj Name]],1)="/",LEFT(Table1[[#This Row],[Final Obj Name]],FIND("/",Table1[[#This Row],[Final Obj Name]],2)),"/0SAP/")</f>
        <v>/0SAP/</v>
      </c>
    </row>
    <row r="101">
      <c r="A101" t="str">
        <v>CLAS</v>
      </c>
      <c r="B101" t="str">
        <v>ZCL_MDG_GENERIC_EMAIL_UTIL</v>
      </c>
      <c r="C101" t="str">
        <v>CPUB</v>
      </c>
      <c r="D101" t="str">
        <v>ZCL_MDG_GENERIC_EMAIL_UTIL</v>
      </c>
      <c r="E101" t="str">
        <v>XXXX</v>
      </c>
      <c r="G101" t="str">
        <v>ALL</v>
      </c>
      <c r="K101" t="str">
        <v>E</v>
      </c>
      <c r="L101" t="str">
        <v>NSHAIK</v>
      </c>
      <c r="M101">
        <v>46020</v>
      </c>
      <c r="N101">
        <v>0.30548611111111</v>
      </c>
      <c r="Y101">
        <f>IF(Table1[[#This Row],[OPERATION]]="NOTE","NOTE",Table1[[#This Row],[SUB_TYPE]])</f>
        <v>0</v>
      </c>
      <c r="Z101">
        <f>IF(Table1[[#This Row],[OPERATION]]="NOTE",NUMBERVALUE(LEFT(Table1[[#This Row],[MOD_NAME]],LEN(Table1[[#This Row],[MOD_NAME]])-4)),Table1[[#This Row],[SUB_NAME]])</f>
        <v>0</v>
      </c>
      <c r="AA101" t="str">
        <f>CONCAT(Table1[[#This Row],[Final Obj Type]],"|",Table1[[#This Row],[Final Obj Name]])</f>
        <v>0|0</v>
      </c>
      <c r="AB101" t="e">
        <f>VLOOKUP(Table1[[#This Row],[Final Obj Type]],Classification!B:E,3,FALSE)</f>
        <v>#N/A</v>
      </c>
      <c r="AC101" t="e">
        <f>VLOOKUP(Table1[[#This Row],[Final Obj Type]],Classification!B:E,4,FALSE)</f>
        <v>#N/A</v>
      </c>
      <c r="AD101" t="str">
        <f>IF(Table1[[#This Row],[Position 1]]=0,"/0SAP/",MID(Table1[[#This Row],[Final Obj Name]],Table1[[#This Row],[Position 1]],Table1[[#This Row],[Position 2]]-Table1[[#This Row],[Position 1]]+1))</f>
        <v>/0SAP/</v>
      </c>
      <c r="AE101" t="str">
        <f>VLOOKUP(Table1[[#This Row],[/* Object]],Namespace!A:J,10,FALSE)</f>
        <v>SAP AG</v>
      </c>
      <c r="AF101" t="str">
        <f>IF(VLOOKUP(Table1[[#This Row],[/* Object]],Namespace!A:J,4,FALSE)=0,"",VLOOKUP(Table1[[#This Row],[/* Object]],Namespace!A:J,4,FALSE))</f>
        <v>X</v>
      </c>
      <c r="AG101" t="str">
        <f>IF(VLOOKUP(Table1[[#This Row],[/* Object]],Namespace!A:J,5,FALSE)=0,"",VLOOKUP(Table1[[#This Row],[/* Object]],Namespace!A:J,5,FALSE))</f>
        <v>X</v>
      </c>
      <c r="AH101" t="str">
        <f>IF(VLOOKUP(Table1[[#This Row],[/* Object]],Namespace!A:J,6,FALSE)=0,"",VLOOKUP(Table1[[#This Row],[/* Object]],Namespace!A:J,6,FALSE))</f>
        <v/>
      </c>
      <c r="AI101">
        <f>IFERROR(FIND("/",Table1[[#This Row],[Final Obj Name]],1),0)</f>
        <v>0</v>
      </c>
      <c r="AJ101">
        <f>IF(Table1[[#This Row],[Position 1]]=0,0,FIND("/",Table1[[#This Row],[Final Obj Name]],Table1[[#This Row],[Position 1]]+1))</f>
        <v>0</v>
      </c>
      <c r="AK101" t="str">
        <f>IF(LEFT(Table1[[#This Row],[Final Obj Name]],1)="/",LEFT(Table1[[#This Row],[Final Obj Name]],FIND("/",Table1[[#This Row],[Final Obj Name]],2)),"/0SAP/")</f>
        <v>/0SAP/</v>
      </c>
    </row>
    <row r="102">
      <c r="A102" t="str">
        <v>CLAS</v>
      </c>
      <c r="B102" t="str">
        <v>ZCL_MDG_GENERIC_READ_ENTITY</v>
      </c>
      <c r="C102" t="str">
        <v>CPRI</v>
      </c>
      <c r="D102" t="str">
        <v>ZCL_MDG_GENERIC_READ_ENTITY</v>
      </c>
      <c r="E102" t="str">
        <v>XXXX</v>
      </c>
      <c r="G102" t="str">
        <v>ALL</v>
      </c>
      <c r="K102" t="str">
        <v>E</v>
      </c>
      <c r="L102" t="str">
        <v>NSHAIK</v>
      </c>
      <c r="M102">
        <v>46020</v>
      </c>
      <c r="N102">
        <v>0.30586805555556</v>
      </c>
      <c r="Y102">
        <f>IF(Table1[[#This Row],[OPERATION]]="NOTE","NOTE",Table1[[#This Row],[SUB_TYPE]])</f>
        <v>0</v>
      </c>
      <c r="Z102">
        <f>IF(Table1[[#This Row],[OPERATION]]="NOTE",NUMBERVALUE(LEFT(Table1[[#This Row],[MOD_NAME]],LEN(Table1[[#This Row],[MOD_NAME]])-4)),Table1[[#This Row],[SUB_NAME]])</f>
        <v>0</v>
      </c>
      <c r="AA102" t="str">
        <f>CONCAT(Table1[[#This Row],[Final Obj Type]],"|",Table1[[#This Row],[Final Obj Name]])</f>
        <v>0|0</v>
      </c>
      <c r="AB102" t="e">
        <f>VLOOKUP(Table1[[#This Row],[Final Obj Type]],Classification!B:E,3,FALSE)</f>
        <v>#N/A</v>
      </c>
      <c r="AC102" t="e">
        <f>VLOOKUP(Table1[[#This Row],[Final Obj Type]],Classification!B:E,4,FALSE)</f>
        <v>#N/A</v>
      </c>
      <c r="AD102" t="str">
        <f>IF(Table1[[#This Row],[Position 1]]=0,"/0SAP/",MID(Table1[[#This Row],[Final Obj Name]],Table1[[#This Row],[Position 1]],Table1[[#This Row],[Position 2]]-Table1[[#This Row],[Position 1]]+1))</f>
        <v>/0SAP/</v>
      </c>
      <c r="AE102" t="str">
        <f>VLOOKUP(Table1[[#This Row],[/* Object]],Namespace!A:J,10,FALSE)</f>
        <v>SAP AG</v>
      </c>
      <c r="AF102" t="str">
        <f>IF(VLOOKUP(Table1[[#This Row],[/* Object]],Namespace!A:J,4,FALSE)=0,"",VLOOKUP(Table1[[#This Row],[/* Object]],Namespace!A:J,4,FALSE))</f>
        <v>X</v>
      </c>
      <c r="AG102" t="str">
        <f>IF(VLOOKUP(Table1[[#This Row],[/* Object]],Namespace!A:J,5,FALSE)=0,"",VLOOKUP(Table1[[#This Row],[/* Object]],Namespace!A:J,5,FALSE))</f>
        <v>X</v>
      </c>
      <c r="AH102" t="str">
        <f>IF(VLOOKUP(Table1[[#This Row],[/* Object]],Namespace!A:J,6,FALSE)=0,"",VLOOKUP(Table1[[#This Row],[/* Object]],Namespace!A:J,6,FALSE))</f>
        <v/>
      </c>
      <c r="AI102">
        <f>IFERROR(FIND("/",Table1[[#This Row],[Final Obj Name]],1),0)</f>
        <v>0</v>
      </c>
      <c r="AJ102">
        <f>IF(Table1[[#This Row],[Position 1]]=0,0,FIND("/",Table1[[#This Row],[Final Obj Name]],Table1[[#This Row],[Position 1]]+1))</f>
        <v>0</v>
      </c>
      <c r="AK102" t="str">
        <f>IF(LEFT(Table1[[#This Row],[Final Obj Name]],1)="/",LEFT(Table1[[#This Row],[Final Obj Name]],FIND("/",Table1[[#This Row],[Final Obj Name]],2)),"/0SAP/")</f>
        <v>/0SAP/</v>
      </c>
    </row>
    <row r="103">
      <c r="A103" t="str">
        <v>CLAS</v>
      </c>
      <c r="B103" t="str">
        <v>ZCL_MDG_GENERIC_READ_ENTITY</v>
      </c>
      <c r="C103" t="str">
        <v>CPRO</v>
      </c>
      <c r="D103" t="str">
        <v>ZCL_MDG_GENERIC_READ_ENTITY</v>
      </c>
      <c r="E103" t="str">
        <v>XXXX</v>
      </c>
      <c r="G103" t="str">
        <v>ALL</v>
      </c>
      <c r="K103" t="str">
        <v>E</v>
      </c>
      <c r="L103" t="str">
        <v>NSHAIK</v>
      </c>
      <c r="M103">
        <v>46020</v>
      </c>
      <c r="N103">
        <v>0.30586805555556</v>
      </c>
      <c r="Y103">
        <f>IF(Table1[[#This Row],[OPERATION]]="NOTE","NOTE",Table1[[#This Row],[SUB_TYPE]])</f>
        <v>0</v>
      </c>
      <c r="Z103">
        <f>IF(Table1[[#This Row],[OPERATION]]="NOTE",NUMBERVALUE(LEFT(Table1[[#This Row],[MOD_NAME]],LEN(Table1[[#This Row],[MOD_NAME]])-4)),Table1[[#This Row],[SUB_NAME]])</f>
        <v>0</v>
      </c>
      <c r="AA103" t="str">
        <f>CONCAT(Table1[[#This Row],[Final Obj Type]],"|",Table1[[#This Row],[Final Obj Name]])</f>
        <v>0|0</v>
      </c>
      <c r="AB103" t="e">
        <f>VLOOKUP(Table1[[#This Row],[Final Obj Type]],Classification!B:E,3,FALSE)</f>
        <v>#N/A</v>
      </c>
      <c r="AC103" t="e">
        <f>VLOOKUP(Table1[[#This Row],[Final Obj Type]],Classification!B:E,4,FALSE)</f>
        <v>#N/A</v>
      </c>
      <c r="AD103" t="str">
        <f>IF(Table1[[#This Row],[Position 1]]=0,"/0SAP/",MID(Table1[[#This Row],[Final Obj Name]],Table1[[#This Row],[Position 1]],Table1[[#This Row],[Position 2]]-Table1[[#This Row],[Position 1]]+1))</f>
        <v>/0SAP/</v>
      </c>
      <c r="AE103" t="str">
        <f>VLOOKUP(Table1[[#This Row],[/* Object]],Namespace!A:J,10,FALSE)</f>
        <v>SAP AG</v>
      </c>
      <c r="AF103" t="str">
        <f>IF(VLOOKUP(Table1[[#This Row],[/* Object]],Namespace!A:J,4,FALSE)=0,"",VLOOKUP(Table1[[#This Row],[/* Object]],Namespace!A:J,4,FALSE))</f>
        <v>X</v>
      </c>
      <c r="AG103" t="str">
        <f>IF(VLOOKUP(Table1[[#This Row],[/* Object]],Namespace!A:J,5,FALSE)=0,"",VLOOKUP(Table1[[#This Row],[/* Object]],Namespace!A:J,5,FALSE))</f>
        <v>X</v>
      </c>
      <c r="AH103" t="str">
        <f>IF(VLOOKUP(Table1[[#This Row],[/* Object]],Namespace!A:J,6,FALSE)=0,"",VLOOKUP(Table1[[#This Row],[/* Object]],Namespace!A:J,6,FALSE))</f>
        <v/>
      </c>
      <c r="AI103">
        <f>IFERROR(FIND("/",Table1[[#This Row],[Final Obj Name]],1),0)</f>
        <v>0</v>
      </c>
      <c r="AJ103">
        <f>IF(Table1[[#This Row],[Position 1]]=0,0,FIND("/",Table1[[#This Row],[Final Obj Name]],Table1[[#This Row],[Position 1]]+1))</f>
        <v>0</v>
      </c>
      <c r="AK103" t="str">
        <f>IF(LEFT(Table1[[#This Row],[Final Obj Name]],1)="/",LEFT(Table1[[#This Row],[Final Obj Name]],FIND("/",Table1[[#This Row],[Final Obj Name]],2)),"/0SAP/")</f>
        <v>/0SAP/</v>
      </c>
    </row>
    <row r="104">
      <c r="A104" t="str">
        <v>CLAS</v>
      </c>
      <c r="B104" t="str">
        <v>ZCL_MDG_GENERIC_READ_ENTITY</v>
      </c>
      <c r="C104" t="str">
        <v>CPUB</v>
      </c>
      <c r="D104" t="str">
        <v>ZCL_MDG_GENERIC_READ_ENTITY</v>
      </c>
      <c r="E104" t="str">
        <v>XXXX</v>
      </c>
      <c r="G104" t="str">
        <v>ALL</v>
      </c>
      <c r="K104" t="str">
        <v>E</v>
      </c>
      <c r="L104" t="str">
        <v>NSHAIK</v>
      </c>
      <c r="M104">
        <v>46020</v>
      </c>
      <c r="N104">
        <v>0.30586805555556</v>
      </c>
      <c r="Y104">
        <f>IF(Table1[[#This Row],[OPERATION]]="NOTE","NOTE",Table1[[#This Row],[SUB_TYPE]])</f>
        <v>0</v>
      </c>
      <c r="Z104">
        <f>IF(Table1[[#This Row],[OPERATION]]="NOTE",NUMBERVALUE(LEFT(Table1[[#This Row],[MOD_NAME]],LEN(Table1[[#This Row],[MOD_NAME]])-4)),Table1[[#This Row],[SUB_NAME]])</f>
        <v>0</v>
      </c>
      <c r="AA104" t="str">
        <f>CONCAT(Table1[[#This Row],[Final Obj Type]],"|",Table1[[#This Row],[Final Obj Name]])</f>
        <v>0|0</v>
      </c>
      <c r="AB104" t="e">
        <f>VLOOKUP(Table1[[#This Row],[Final Obj Type]],Classification!B:E,3,FALSE)</f>
        <v>#N/A</v>
      </c>
      <c r="AC104" t="e">
        <f>VLOOKUP(Table1[[#This Row],[Final Obj Type]],Classification!B:E,4,FALSE)</f>
        <v>#N/A</v>
      </c>
      <c r="AD104" t="str">
        <f>IF(Table1[[#This Row],[Position 1]]=0,"/0SAP/",MID(Table1[[#This Row],[Final Obj Name]],Table1[[#This Row],[Position 1]],Table1[[#This Row],[Position 2]]-Table1[[#This Row],[Position 1]]+1))</f>
        <v>/0SAP/</v>
      </c>
      <c r="AE104" t="str">
        <f>VLOOKUP(Table1[[#This Row],[/* Object]],Namespace!A:J,10,FALSE)</f>
        <v>SAP AG</v>
      </c>
      <c r="AF104" t="str">
        <f>IF(VLOOKUP(Table1[[#This Row],[/* Object]],Namespace!A:J,4,FALSE)=0,"",VLOOKUP(Table1[[#This Row],[/* Object]],Namespace!A:J,4,FALSE))</f>
        <v>X</v>
      </c>
      <c r="AG104" t="str">
        <f>IF(VLOOKUP(Table1[[#This Row],[/* Object]],Namespace!A:J,5,FALSE)=0,"",VLOOKUP(Table1[[#This Row],[/* Object]],Namespace!A:J,5,FALSE))</f>
        <v>X</v>
      </c>
      <c r="AH104" t="str">
        <f>IF(VLOOKUP(Table1[[#This Row],[/* Object]],Namespace!A:J,6,FALSE)=0,"",VLOOKUP(Table1[[#This Row],[/* Object]],Namespace!A:J,6,FALSE))</f>
        <v/>
      </c>
      <c r="AI104">
        <f>IFERROR(FIND("/",Table1[[#This Row],[Final Obj Name]],1),0)</f>
        <v>0</v>
      </c>
      <c r="AJ104">
        <f>IF(Table1[[#This Row],[Position 1]]=0,0,FIND("/",Table1[[#This Row],[Final Obj Name]],Table1[[#This Row],[Position 1]]+1))</f>
        <v>0</v>
      </c>
      <c r="AK104" t="str">
        <f>IF(LEFT(Table1[[#This Row],[Final Obj Name]],1)="/",LEFT(Table1[[#This Row],[Final Obj Name]],FIND("/",Table1[[#This Row],[Final Obj Name]],2)),"/0SAP/")</f>
        <v>/0SAP/</v>
      </c>
    </row>
    <row r="105">
      <c r="A105" t="str">
        <v>CLAS</v>
      </c>
      <c r="B105" t="str">
        <v>ZCL_MDG_IDM_GET_LCL_SYSTEM</v>
      </c>
      <c r="C105" t="str">
        <v>CPRI</v>
      </c>
      <c r="D105" t="str">
        <v>ZCL_MDG_IDM_GET_LCL_SYSTEM</v>
      </c>
      <c r="E105" t="str">
        <v>XXXX</v>
      </c>
      <c r="G105" t="str">
        <v>ALL</v>
      </c>
      <c r="K105" t="str">
        <v>E</v>
      </c>
      <c r="L105" t="str">
        <v>NSHAIK</v>
      </c>
      <c r="M105">
        <v>46021</v>
      </c>
      <c r="N105">
        <v>0.17636574074074</v>
      </c>
      <c r="Y105">
        <f>IF(Table1[[#This Row],[OPERATION]]="NOTE","NOTE",Table1[[#This Row],[SUB_TYPE]])</f>
        <v>0</v>
      </c>
      <c r="Z105">
        <f>IF(Table1[[#This Row],[OPERATION]]="NOTE",NUMBERVALUE(LEFT(Table1[[#This Row],[MOD_NAME]],LEN(Table1[[#This Row],[MOD_NAME]])-4)),Table1[[#This Row],[SUB_NAME]])</f>
        <v>0</v>
      </c>
      <c r="AA105" t="str">
        <f>CONCAT(Table1[[#This Row],[Final Obj Type]],"|",Table1[[#This Row],[Final Obj Name]])</f>
        <v>0|0</v>
      </c>
      <c r="AB105" t="e">
        <f>VLOOKUP(Table1[[#This Row],[Final Obj Type]],Classification!B:E,3,FALSE)</f>
        <v>#N/A</v>
      </c>
      <c r="AC105" t="e">
        <f>VLOOKUP(Table1[[#This Row],[Final Obj Type]],Classification!B:E,4,FALSE)</f>
        <v>#N/A</v>
      </c>
      <c r="AD105" t="str">
        <f>IF(Table1[[#This Row],[Position 1]]=0,"/0SAP/",MID(Table1[[#This Row],[Final Obj Name]],Table1[[#This Row],[Position 1]],Table1[[#This Row],[Position 2]]-Table1[[#This Row],[Position 1]]+1))</f>
        <v>/0SAP/</v>
      </c>
      <c r="AE105" t="str">
        <f>VLOOKUP(Table1[[#This Row],[/* Object]],Namespace!A:J,10,FALSE)</f>
        <v>SAP AG</v>
      </c>
      <c r="AF105" t="str">
        <f>IF(VLOOKUP(Table1[[#This Row],[/* Object]],Namespace!A:J,4,FALSE)=0,"",VLOOKUP(Table1[[#This Row],[/* Object]],Namespace!A:J,4,FALSE))</f>
        <v>X</v>
      </c>
      <c r="AG105" t="str">
        <f>IF(VLOOKUP(Table1[[#This Row],[/* Object]],Namespace!A:J,5,FALSE)=0,"",VLOOKUP(Table1[[#This Row],[/* Object]],Namespace!A:J,5,FALSE))</f>
        <v>X</v>
      </c>
      <c r="AH105" t="str">
        <f>IF(VLOOKUP(Table1[[#This Row],[/* Object]],Namespace!A:J,6,FALSE)=0,"",VLOOKUP(Table1[[#This Row],[/* Object]],Namespace!A:J,6,FALSE))</f>
        <v/>
      </c>
      <c r="AI105">
        <f>IFERROR(FIND("/",Table1[[#This Row],[Final Obj Name]],1),0)</f>
        <v>0</v>
      </c>
      <c r="AJ105">
        <f>IF(Table1[[#This Row],[Position 1]]=0,0,FIND("/",Table1[[#This Row],[Final Obj Name]],Table1[[#This Row],[Position 1]]+1))</f>
        <v>0</v>
      </c>
      <c r="AK105" t="str">
        <f>IF(LEFT(Table1[[#This Row],[Final Obj Name]],1)="/",LEFT(Table1[[#This Row],[Final Obj Name]],FIND("/",Table1[[#This Row],[Final Obj Name]],2)),"/0SAP/")</f>
        <v>/0SAP/</v>
      </c>
    </row>
    <row r="106">
      <c r="A106" t="str">
        <v>CLAS</v>
      </c>
      <c r="B106" t="str">
        <v>ZCL_MDG_IDM_GET_LCL_SYSTEM</v>
      </c>
      <c r="C106" t="str">
        <v>CPRO</v>
      </c>
      <c r="D106" t="str">
        <v>ZCL_MDG_IDM_GET_LCL_SYSTEM</v>
      </c>
      <c r="E106" t="str">
        <v>XXXX</v>
      </c>
      <c r="G106" t="str">
        <v>ALL</v>
      </c>
      <c r="K106" t="str">
        <v>E</v>
      </c>
      <c r="L106" t="str">
        <v>NSHAIK</v>
      </c>
      <c r="M106">
        <v>46021</v>
      </c>
      <c r="N106">
        <v>0.17636574074074</v>
      </c>
      <c r="Y106">
        <f>IF(Table1[[#This Row],[OPERATION]]="NOTE","NOTE",Table1[[#This Row],[SUB_TYPE]])</f>
        <v>0</v>
      </c>
      <c r="Z106">
        <f>IF(Table1[[#This Row],[OPERATION]]="NOTE",NUMBERVALUE(LEFT(Table1[[#This Row],[MOD_NAME]],LEN(Table1[[#This Row],[MOD_NAME]])-4)),Table1[[#This Row],[SUB_NAME]])</f>
        <v>0</v>
      </c>
      <c r="AA106" t="str">
        <f>CONCAT(Table1[[#This Row],[Final Obj Type]],"|",Table1[[#This Row],[Final Obj Name]])</f>
        <v>0|0</v>
      </c>
      <c r="AB106" t="e">
        <f>VLOOKUP(Table1[[#This Row],[Final Obj Type]],Classification!B:E,3,FALSE)</f>
        <v>#N/A</v>
      </c>
      <c r="AC106" t="e">
        <f>VLOOKUP(Table1[[#This Row],[Final Obj Type]],Classification!B:E,4,FALSE)</f>
        <v>#N/A</v>
      </c>
      <c r="AD106" t="str">
        <f>IF(Table1[[#This Row],[Position 1]]=0,"/0SAP/",MID(Table1[[#This Row],[Final Obj Name]],Table1[[#This Row],[Position 1]],Table1[[#This Row],[Position 2]]-Table1[[#This Row],[Position 1]]+1))</f>
        <v>/0SAP/</v>
      </c>
      <c r="AE106" t="str">
        <f>VLOOKUP(Table1[[#This Row],[/* Object]],Namespace!A:J,10,FALSE)</f>
        <v>SAP AG</v>
      </c>
      <c r="AF106" t="str">
        <f>IF(VLOOKUP(Table1[[#This Row],[/* Object]],Namespace!A:J,4,FALSE)=0,"",VLOOKUP(Table1[[#This Row],[/* Object]],Namespace!A:J,4,FALSE))</f>
        <v>X</v>
      </c>
      <c r="AG106" t="str">
        <f>IF(VLOOKUP(Table1[[#This Row],[/* Object]],Namespace!A:J,5,FALSE)=0,"",VLOOKUP(Table1[[#This Row],[/* Object]],Namespace!A:J,5,FALSE))</f>
        <v>X</v>
      </c>
      <c r="AH106" t="str">
        <f>IF(VLOOKUP(Table1[[#This Row],[/* Object]],Namespace!A:J,6,FALSE)=0,"",VLOOKUP(Table1[[#This Row],[/* Object]],Namespace!A:J,6,FALSE))</f>
        <v/>
      </c>
      <c r="AI106">
        <f>IFERROR(FIND("/",Table1[[#This Row],[Final Obj Name]],1),0)</f>
        <v>0</v>
      </c>
      <c r="AJ106">
        <f>IF(Table1[[#This Row],[Position 1]]=0,0,FIND("/",Table1[[#This Row],[Final Obj Name]],Table1[[#This Row],[Position 1]]+1))</f>
        <v>0</v>
      </c>
      <c r="AK106" t="str">
        <f>IF(LEFT(Table1[[#This Row],[Final Obj Name]],1)="/",LEFT(Table1[[#This Row],[Final Obj Name]],FIND("/",Table1[[#This Row],[Final Obj Name]],2)),"/0SAP/")</f>
        <v>/0SAP/</v>
      </c>
    </row>
    <row r="107">
      <c r="A107" t="str">
        <v>CLAS</v>
      </c>
      <c r="B107" t="str">
        <v>ZCL_MDG_IDM_GET_LCL_SYSTEM</v>
      </c>
      <c r="C107" t="str">
        <v>CPUB</v>
      </c>
      <c r="D107" t="str">
        <v>ZCL_MDG_IDM_GET_LCL_SYSTEM</v>
      </c>
      <c r="E107" t="str">
        <v>XXXX</v>
      </c>
      <c r="G107" t="str">
        <v>ALL</v>
      </c>
      <c r="K107" t="str">
        <v>E</v>
      </c>
      <c r="L107" t="str">
        <v>NSHAIK</v>
      </c>
      <c r="M107">
        <v>46021</v>
      </c>
      <c r="N107">
        <v>0.17636574074074</v>
      </c>
      <c r="Y107">
        <f>IF(Table1[[#This Row],[OPERATION]]="NOTE","NOTE",Table1[[#This Row],[SUB_TYPE]])</f>
        <v>0</v>
      </c>
      <c r="Z107">
        <f>IF(Table1[[#This Row],[OPERATION]]="NOTE",NUMBERVALUE(LEFT(Table1[[#This Row],[MOD_NAME]],LEN(Table1[[#This Row],[MOD_NAME]])-4)),Table1[[#This Row],[SUB_NAME]])</f>
        <v>0</v>
      </c>
      <c r="AA107" t="str">
        <f>CONCAT(Table1[[#This Row],[Final Obj Type]],"|",Table1[[#This Row],[Final Obj Name]])</f>
        <v>0|0</v>
      </c>
      <c r="AB107" t="e">
        <f>VLOOKUP(Table1[[#This Row],[Final Obj Type]],Classification!B:E,3,FALSE)</f>
        <v>#N/A</v>
      </c>
      <c r="AC107" t="e">
        <f>VLOOKUP(Table1[[#This Row],[Final Obj Type]],Classification!B:E,4,FALSE)</f>
        <v>#N/A</v>
      </c>
      <c r="AD107" t="str">
        <f>IF(Table1[[#This Row],[Position 1]]=0,"/0SAP/",MID(Table1[[#This Row],[Final Obj Name]],Table1[[#This Row],[Position 1]],Table1[[#This Row],[Position 2]]-Table1[[#This Row],[Position 1]]+1))</f>
        <v>/0SAP/</v>
      </c>
      <c r="AE107" t="str">
        <f>VLOOKUP(Table1[[#This Row],[/* Object]],Namespace!A:J,10,FALSE)</f>
        <v>SAP AG</v>
      </c>
      <c r="AF107" t="str">
        <f>IF(VLOOKUP(Table1[[#This Row],[/* Object]],Namespace!A:J,4,FALSE)=0,"",VLOOKUP(Table1[[#This Row],[/* Object]],Namespace!A:J,4,FALSE))</f>
        <v>X</v>
      </c>
      <c r="AG107" t="str">
        <f>IF(VLOOKUP(Table1[[#This Row],[/* Object]],Namespace!A:J,5,FALSE)=0,"",VLOOKUP(Table1[[#This Row],[/* Object]],Namespace!A:J,5,FALSE))</f>
        <v>X</v>
      </c>
      <c r="AH107" t="str">
        <f>IF(VLOOKUP(Table1[[#This Row],[/* Object]],Namespace!A:J,6,FALSE)=0,"",VLOOKUP(Table1[[#This Row],[/* Object]],Namespace!A:J,6,FALSE))</f>
        <v/>
      </c>
      <c r="AI107">
        <f>IFERROR(FIND("/",Table1[[#This Row],[Final Obj Name]],1),0)</f>
        <v>0</v>
      </c>
      <c r="AJ107">
        <f>IF(Table1[[#This Row],[Position 1]]=0,0,FIND("/",Table1[[#This Row],[Final Obj Name]],Table1[[#This Row],[Position 1]]+1))</f>
        <v>0</v>
      </c>
      <c r="AK107" t="str">
        <f>IF(LEFT(Table1[[#This Row],[Final Obj Name]],1)="/",LEFT(Table1[[#This Row],[Final Obj Name]],FIND("/",Table1[[#This Row],[Final Obj Name]],2)),"/0SAP/")</f>
        <v>/0SAP/</v>
      </c>
    </row>
    <row r="108">
      <c r="A108" t="str">
        <v>CLAS</v>
      </c>
      <c r="B108" t="str">
        <v>ZCL_MDG_VEND_FILE_HELPER</v>
      </c>
      <c r="C108" t="str">
        <v>CPRI</v>
      </c>
      <c r="D108" t="str">
        <v>ZCL_MDG_VEND_FILE_HELPER</v>
      </c>
      <c r="E108" t="str">
        <v>XXXX</v>
      </c>
      <c r="G108" t="str">
        <v>ALL</v>
      </c>
      <c r="K108" t="str">
        <v>E</v>
      </c>
      <c r="L108" t="str">
        <v>NSHAIK</v>
      </c>
      <c r="M108">
        <v>46015</v>
      </c>
      <c r="N108">
        <v>0.23383101851852</v>
      </c>
      <c r="Y108">
        <f>IF(Table1[[#This Row],[OPERATION]]="NOTE","NOTE",Table1[[#This Row],[SUB_TYPE]])</f>
        <v>0</v>
      </c>
      <c r="Z108">
        <f>IF(Table1[[#This Row],[OPERATION]]="NOTE",NUMBERVALUE(LEFT(Table1[[#This Row],[MOD_NAME]],LEN(Table1[[#This Row],[MOD_NAME]])-4)),Table1[[#This Row],[SUB_NAME]])</f>
        <v>0</v>
      </c>
      <c r="AA108" t="str">
        <f>CONCAT(Table1[[#This Row],[Final Obj Type]],"|",Table1[[#This Row],[Final Obj Name]])</f>
        <v>0|0</v>
      </c>
      <c r="AB108" t="e">
        <f>VLOOKUP(Table1[[#This Row],[Final Obj Type]],Classification!B:E,3,FALSE)</f>
        <v>#N/A</v>
      </c>
      <c r="AC108" t="e">
        <f>VLOOKUP(Table1[[#This Row],[Final Obj Type]],Classification!B:E,4,FALSE)</f>
        <v>#N/A</v>
      </c>
      <c r="AD108" t="str">
        <f>IF(Table1[[#This Row],[Position 1]]=0,"/0SAP/",MID(Table1[[#This Row],[Final Obj Name]],Table1[[#This Row],[Position 1]],Table1[[#This Row],[Position 2]]-Table1[[#This Row],[Position 1]]+1))</f>
        <v>/0SAP/</v>
      </c>
      <c r="AE108" t="str">
        <f>VLOOKUP(Table1[[#This Row],[/* Object]],Namespace!A:J,10,FALSE)</f>
        <v>SAP AG</v>
      </c>
      <c r="AF108" t="str">
        <f>IF(VLOOKUP(Table1[[#This Row],[/* Object]],Namespace!A:J,4,FALSE)=0,"",VLOOKUP(Table1[[#This Row],[/* Object]],Namespace!A:J,4,FALSE))</f>
        <v>X</v>
      </c>
      <c r="AG108" t="str">
        <f>IF(VLOOKUP(Table1[[#This Row],[/* Object]],Namespace!A:J,5,FALSE)=0,"",VLOOKUP(Table1[[#This Row],[/* Object]],Namespace!A:J,5,FALSE))</f>
        <v>X</v>
      </c>
      <c r="AH108" t="str">
        <f>IF(VLOOKUP(Table1[[#This Row],[/* Object]],Namespace!A:J,6,FALSE)=0,"",VLOOKUP(Table1[[#This Row],[/* Object]],Namespace!A:J,6,FALSE))</f>
        <v/>
      </c>
      <c r="AI108">
        <f>IFERROR(FIND("/",Table1[[#This Row],[Final Obj Name]],1),0)</f>
        <v>0</v>
      </c>
      <c r="AJ108">
        <f>IF(Table1[[#This Row],[Position 1]]=0,0,FIND("/",Table1[[#This Row],[Final Obj Name]],Table1[[#This Row],[Position 1]]+1))</f>
        <v>0</v>
      </c>
      <c r="AK108" t="str">
        <f>IF(LEFT(Table1[[#This Row],[Final Obj Name]],1)="/",LEFT(Table1[[#This Row],[Final Obj Name]],FIND("/",Table1[[#This Row],[Final Obj Name]],2)),"/0SAP/")</f>
        <v>/0SAP/</v>
      </c>
    </row>
    <row r="109">
      <c r="A109" t="str">
        <v>CLAS</v>
      </c>
      <c r="B109" t="str">
        <v>ZCL_MDG_VEND_FILE_HELPER</v>
      </c>
      <c r="C109" t="str">
        <v>CPRO</v>
      </c>
      <c r="D109" t="str">
        <v>ZCL_MDG_VEND_FILE_HELPER</v>
      </c>
      <c r="E109" t="str">
        <v>XXXX</v>
      </c>
      <c r="G109" t="str">
        <v>ALL</v>
      </c>
      <c r="K109" t="str">
        <v>E</v>
      </c>
      <c r="L109" t="str">
        <v>NSHAIK</v>
      </c>
      <c r="M109">
        <v>46015</v>
      </c>
      <c r="N109">
        <v>0.23383101851852</v>
      </c>
      <c r="Y109">
        <f>IF(Table1[[#This Row],[OPERATION]]="NOTE","NOTE",Table1[[#This Row],[SUB_TYPE]])</f>
        <v>0</v>
      </c>
      <c r="Z109">
        <f>IF(Table1[[#This Row],[OPERATION]]="NOTE",NUMBERVALUE(LEFT(Table1[[#This Row],[MOD_NAME]],LEN(Table1[[#This Row],[MOD_NAME]])-4)),Table1[[#This Row],[SUB_NAME]])</f>
        <v>0</v>
      </c>
      <c r="AA109" t="str">
        <f>CONCAT(Table1[[#This Row],[Final Obj Type]],"|",Table1[[#This Row],[Final Obj Name]])</f>
        <v>0|0</v>
      </c>
      <c r="AB109" t="e">
        <f>VLOOKUP(Table1[[#This Row],[Final Obj Type]],Classification!B:E,3,FALSE)</f>
        <v>#N/A</v>
      </c>
      <c r="AC109" t="e">
        <f>VLOOKUP(Table1[[#This Row],[Final Obj Type]],Classification!B:E,4,FALSE)</f>
        <v>#N/A</v>
      </c>
      <c r="AD109" t="str">
        <f>IF(Table1[[#This Row],[Position 1]]=0,"/0SAP/",MID(Table1[[#This Row],[Final Obj Name]],Table1[[#This Row],[Position 1]],Table1[[#This Row],[Position 2]]-Table1[[#This Row],[Position 1]]+1))</f>
        <v>/0SAP/</v>
      </c>
      <c r="AE109" t="str">
        <f>VLOOKUP(Table1[[#This Row],[/* Object]],Namespace!A:J,10,FALSE)</f>
        <v>SAP AG</v>
      </c>
      <c r="AF109" t="str">
        <f>IF(VLOOKUP(Table1[[#This Row],[/* Object]],Namespace!A:J,4,FALSE)=0,"",VLOOKUP(Table1[[#This Row],[/* Object]],Namespace!A:J,4,FALSE))</f>
        <v>X</v>
      </c>
      <c r="AG109" t="str">
        <f>IF(VLOOKUP(Table1[[#This Row],[/* Object]],Namespace!A:J,5,FALSE)=0,"",VLOOKUP(Table1[[#This Row],[/* Object]],Namespace!A:J,5,FALSE))</f>
        <v>X</v>
      </c>
      <c r="AH109" t="str">
        <f>IF(VLOOKUP(Table1[[#This Row],[/* Object]],Namespace!A:J,6,FALSE)=0,"",VLOOKUP(Table1[[#This Row],[/* Object]],Namespace!A:J,6,FALSE))</f>
        <v/>
      </c>
      <c r="AI109">
        <f>IFERROR(FIND("/",Table1[[#This Row],[Final Obj Name]],1),0)</f>
        <v>0</v>
      </c>
      <c r="AJ109">
        <f>IF(Table1[[#This Row],[Position 1]]=0,0,FIND("/",Table1[[#This Row],[Final Obj Name]],Table1[[#This Row],[Position 1]]+1))</f>
        <v>0</v>
      </c>
      <c r="AK109" t="str">
        <f>IF(LEFT(Table1[[#This Row],[Final Obj Name]],1)="/",LEFT(Table1[[#This Row],[Final Obj Name]],FIND("/",Table1[[#This Row],[Final Obj Name]],2)),"/0SAP/")</f>
        <v>/0SAP/</v>
      </c>
    </row>
    <row r="110">
      <c r="A110" t="str">
        <v>CLAS</v>
      </c>
      <c r="B110" t="str">
        <v>ZCL_MDG_VEND_FILE_HELPER</v>
      </c>
      <c r="C110" t="str">
        <v>CPUB</v>
      </c>
      <c r="D110" t="str">
        <v>ZCL_MDG_VEND_FILE_HELPER</v>
      </c>
      <c r="E110" t="str">
        <v>XXXX</v>
      </c>
      <c r="G110" t="str">
        <v>ALL</v>
      </c>
      <c r="K110" t="str">
        <v>E</v>
      </c>
      <c r="L110" t="str">
        <v>NSHAIK</v>
      </c>
      <c r="M110">
        <v>46015</v>
      </c>
      <c r="N110">
        <v>0.23383101851852</v>
      </c>
      <c r="Y110">
        <f>IF(Table1[[#This Row],[OPERATION]]="NOTE","NOTE",Table1[[#This Row],[SUB_TYPE]])</f>
        <v>0</v>
      </c>
      <c r="Z110">
        <f>IF(Table1[[#This Row],[OPERATION]]="NOTE",NUMBERVALUE(LEFT(Table1[[#This Row],[MOD_NAME]],LEN(Table1[[#This Row],[MOD_NAME]])-4)),Table1[[#This Row],[SUB_NAME]])</f>
        <v>0</v>
      </c>
      <c r="AA110" t="str">
        <f>CONCAT(Table1[[#This Row],[Final Obj Type]],"|",Table1[[#This Row],[Final Obj Name]])</f>
        <v>0|0</v>
      </c>
      <c r="AB110" t="e">
        <f>VLOOKUP(Table1[[#This Row],[Final Obj Type]],Classification!B:E,3,FALSE)</f>
        <v>#N/A</v>
      </c>
      <c r="AC110" t="e">
        <f>VLOOKUP(Table1[[#This Row],[Final Obj Type]],Classification!B:E,4,FALSE)</f>
        <v>#N/A</v>
      </c>
      <c r="AD110" t="str">
        <f>IF(Table1[[#This Row],[Position 1]]=0,"/0SAP/",MID(Table1[[#This Row],[Final Obj Name]],Table1[[#This Row],[Position 1]],Table1[[#This Row],[Position 2]]-Table1[[#This Row],[Position 1]]+1))</f>
        <v>/0SAP/</v>
      </c>
      <c r="AE110" t="str">
        <f>VLOOKUP(Table1[[#This Row],[/* Object]],Namespace!A:J,10,FALSE)</f>
        <v>SAP AG</v>
      </c>
      <c r="AF110" t="str">
        <f>IF(VLOOKUP(Table1[[#This Row],[/* Object]],Namespace!A:J,4,FALSE)=0,"",VLOOKUP(Table1[[#This Row],[/* Object]],Namespace!A:J,4,FALSE))</f>
        <v>X</v>
      </c>
      <c r="AG110" t="str">
        <f>IF(VLOOKUP(Table1[[#This Row],[/* Object]],Namespace!A:J,5,FALSE)=0,"",VLOOKUP(Table1[[#This Row],[/* Object]],Namespace!A:J,5,FALSE))</f>
        <v>X</v>
      </c>
      <c r="AH110" t="str">
        <f>IF(VLOOKUP(Table1[[#This Row],[/* Object]],Namespace!A:J,6,FALSE)=0,"",VLOOKUP(Table1[[#This Row],[/* Object]],Namespace!A:J,6,FALSE))</f>
        <v/>
      </c>
      <c r="AI110">
        <f>IFERROR(FIND("/",Table1[[#This Row],[Final Obj Name]],1),0)</f>
        <v>0</v>
      </c>
      <c r="AJ110">
        <f>IF(Table1[[#This Row],[Position 1]]=0,0,FIND("/",Table1[[#This Row],[Final Obj Name]],Table1[[#This Row],[Position 1]]+1))</f>
        <v>0</v>
      </c>
      <c r="AK110" t="str">
        <f>IF(LEFT(Table1[[#This Row],[Final Obj Name]],1)="/",LEFT(Table1[[#This Row],[Final Obj Name]],FIND("/",Table1[[#This Row],[Final Obj Name]],2)),"/0SAP/")</f>
        <v>/0SAP/</v>
      </c>
    </row>
    <row r="111">
      <c r="A111" t="str">
        <v>CLAS</v>
      </c>
      <c r="B111" t="str">
        <v>ZCL_MDG_VEND_MIG</v>
      </c>
      <c r="C111" t="str">
        <v>CPRI</v>
      </c>
      <c r="D111" t="str">
        <v>ZCL_MDG_VEND_MIG</v>
      </c>
      <c r="E111" t="str">
        <v>XXXX</v>
      </c>
      <c r="G111" t="str">
        <v>ALL</v>
      </c>
      <c r="K111" t="str">
        <v>E</v>
      </c>
      <c r="L111" t="str">
        <v>NSHAIK</v>
      </c>
      <c r="M111">
        <v>46020</v>
      </c>
      <c r="N111">
        <v>0.30622685185185</v>
      </c>
      <c r="Y111">
        <f>IF(Table1[[#This Row],[OPERATION]]="NOTE","NOTE",Table1[[#This Row],[SUB_TYPE]])</f>
        <v>0</v>
      </c>
      <c r="Z111">
        <f>IF(Table1[[#This Row],[OPERATION]]="NOTE",NUMBERVALUE(LEFT(Table1[[#This Row],[MOD_NAME]],LEN(Table1[[#This Row],[MOD_NAME]])-4)),Table1[[#This Row],[SUB_NAME]])</f>
        <v>0</v>
      </c>
      <c r="AA111" t="str">
        <f>CONCAT(Table1[[#This Row],[Final Obj Type]],"|",Table1[[#This Row],[Final Obj Name]])</f>
        <v>0|0</v>
      </c>
      <c r="AB111" t="e">
        <f>VLOOKUP(Table1[[#This Row],[Final Obj Type]],Classification!B:E,3,FALSE)</f>
        <v>#N/A</v>
      </c>
      <c r="AC111" t="e">
        <f>VLOOKUP(Table1[[#This Row],[Final Obj Type]],Classification!B:E,4,FALSE)</f>
        <v>#N/A</v>
      </c>
      <c r="AD111" t="str">
        <f>IF(Table1[[#This Row],[Position 1]]=0,"/0SAP/",MID(Table1[[#This Row],[Final Obj Name]],Table1[[#This Row],[Position 1]],Table1[[#This Row],[Position 2]]-Table1[[#This Row],[Position 1]]+1))</f>
        <v>/0SAP/</v>
      </c>
      <c r="AE111" t="str">
        <f>VLOOKUP(Table1[[#This Row],[/* Object]],Namespace!A:J,10,FALSE)</f>
        <v>SAP AG</v>
      </c>
      <c r="AF111" t="str">
        <f>IF(VLOOKUP(Table1[[#This Row],[/* Object]],Namespace!A:J,4,FALSE)=0,"",VLOOKUP(Table1[[#This Row],[/* Object]],Namespace!A:J,4,FALSE))</f>
        <v>X</v>
      </c>
      <c r="AG111" t="str">
        <f>IF(VLOOKUP(Table1[[#This Row],[/* Object]],Namespace!A:J,5,FALSE)=0,"",VLOOKUP(Table1[[#This Row],[/* Object]],Namespace!A:J,5,FALSE))</f>
        <v>X</v>
      </c>
      <c r="AH111" t="str">
        <f>IF(VLOOKUP(Table1[[#This Row],[/* Object]],Namespace!A:J,6,FALSE)=0,"",VLOOKUP(Table1[[#This Row],[/* Object]],Namespace!A:J,6,FALSE))</f>
        <v/>
      </c>
      <c r="AI111">
        <f>IFERROR(FIND("/",Table1[[#This Row],[Final Obj Name]],1),0)</f>
        <v>0</v>
      </c>
      <c r="AJ111">
        <f>IF(Table1[[#This Row],[Position 1]]=0,0,FIND("/",Table1[[#This Row],[Final Obj Name]],Table1[[#This Row],[Position 1]]+1))</f>
        <v>0</v>
      </c>
      <c r="AK111" t="str">
        <f>IF(LEFT(Table1[[#This Row],[Final Obj Name]],1)="/",LEFT(Table1[[#This Row],[Final Obj Name]],FIND("/",Table1[[#This Row],[Final Obj Name]],2)),"/0SAP/")</f>
        <v>/0SAP/</v>
      </c>
    </row>
    <row r="112">
      <c r="A112" t="str">
        <v>CLAS</v>
      </c>
      <c r="B112" t="str">
        <v>ZCL_MDG_VEND_MIG</v>
      </c>
      <c r="C112" t="str">
        <v>CPRO</v>
      </c>
      <c r="D112" t="str">
        <v>ZCL_MDG_VEND_MIG</v>
      </c>
      <c r="E112" t="str">
        <v>XXXX</v>
      </c>
      <c r="G112" t="str">
        <v>ALL</v>
      </c>
      <c r="K112" t="str">
        <v>E</v>
      </c>
      <c r="L112" t="str">
        <v>NSHAIK</v>
      </c>
      <c r="M112">
        <v>46020</v>
      </c>
      <c r="N112">
        <v>0.30622685185185</v>
      </c>
      <c r="Y112">
        <f>IF(Table1[[#This Row],[OPERATION]]="NOTE","NOTE",Table1[[#This Row],[SUB_TYPE]])</f>
        <v>0</v>
      </c>
      <c r="Z112">
        <f>IF(Table1[[#This Row],[OPERATION]]="NOTE",NUMBERVALUE(LEFT(Table1[[#This Row],[MOD_NAME]],LEN(Table1[[#This Row],[MOD_NAME]])-4)),Table1[[#This Row],[SUB_NAME]])</f>
        <v>0</v>
      </c>
      <c r="AA112" t="str">
        <f>CONCAT(Table1[[#This Row],[Final Obj Type]],"|",Table1[[#This Row],[Final Obj Name]])</f>
        <v>0|0</v>
      </c>
      <c r="AB112" t="e">
        <f>VLOOKUP(Table1[[#This Row],[Final Obj Type]],Classification!B:E,3,FALSE)</f>
        <v>#N/A</v>
      </c>
      <c r="AC112" t="e">
        <f>VLOOKUP(Table1[[#This Row],[Final Obj Type]],Classification!B:E,4,FALSE)</f>
        <v>#N/A</v>
      </c>
      <c r="AD112" t="str">
        <f>IF(Table1[[#This Row],[Position 1]]=0,"/0SAP/",MID(Table1[[#This Row],[Final Obj Name]],Table1[[#This Row],[Position 1]],Table1[[#This Row],[Position 2]]-Table1[[#This Row],[Position 1]]+1))</f>
        <v>/0SAP/</v>
      </c>
      <c r="AE112" t="str">
        <f>VLOOKUP(Table1[[#This Row],[/* Object]],Namespace!A:J,10,FALSE)</f>
        <v>SAP AG</v>
      </c>
      <c r="AF112" t="str">
        <f>IF(VLOOKUP(Table1[[#This Row],[/* Object]],Namespace!A:J,4,FALSE)=0,"",VLOOKUP(Table1[[#This Row],[/* Object]],Namespace!A:J,4,FALSE))</f>
        <v>X</v>
      </c>
      <c r="AG112" t="str">
        <f>IF(VLOOKUP(Table1[[#This Row],[/* Object]],Namespace!A:J,5,FALSE)=0,"",VLOOKUP(Table1[[#This Row],[/* Object]],Namespace!A:J,5,FALSE))</f>
        <v>X</v>
      </c>
      <c r="AH112" t="str">
        <f>IF(VLOOKUP(Table1[[#This Row],[/* Object]],Namespace!A:J,6,FALSE)=0,"",VLOOKUP(Table1[[#This Row],[/* Object]],Namespace!A:J,6,FALSE))</f>
        <v/>
      </c>
      <c r="AI112">
        <f>IFERROR(FIND("/",Table1[[#This Row],[Final Obj Name]],1),0)</f>
        <v>0</v>
      </c>
      <c r="AJ112">
        <f>IF(Table1[[#This Row],[Position 1]]=0,0,FIND("/",Table1[[#This Row],[Final Obj Name]],Table1[[#This Row],[Position 1]]+1))</f>
        <v>0</v>
      </c>
      <c r="AK112" t="str">
        <f>IF(LEFT(Table1[[#This Row],[Final Obj Name]],1)="/",LEFT(Table1[[#This Row],[Final Obj Name]],FIND("/",Table1[[#This Row],[Final Obj Name]],2)),"/0SAP/")</f>
        <v>/0SAP/</v>
      </c>
    </row>
    <row r="113">
      <c r="A113" t="str">
        <v>CLAS</v>
      </c>
      <c r="B113" t="str">
        <v>ZCL_MDG_VEND_MIG</v>
      </c>
      <c r="C113" t="str">
        <v>CPUB</v>
      </c>
      <c r="D113" t="str">
        <v>ZCL_MDG_VEND_MIG</v>
      </c>
      <c r="E113" t="str">
        <v>XXXX</v>
      </c>
      <c r="G113" t="str">
        <v>ALL</v>
      </c>
      <c r="K113" t="str">
        <v>E</v>
      </c>
      <c r="L113" t="str">
        <v>NSHAIK</v>
      </c>
      <c r="M113">
        <v>46020</v>
      </c>
      <c r="N113">
        <v>0.30622685185185</v>
      </c>
      <c r="Y113">
        <f>IF(Table1[[#This Row],[OPERATION]]="NOTE","NOTE",Table1[[#This Row],[SUB_TYPE]])</f>
        <v>0</v>
      </c>
      <c r="Z113">
        <f>IF(Table1[[#This Row],[OPERATION]]="NOTE",NUMBERVALUE(LEFT(Table1[[#This Row],[MOD_NAME]],LEN(Table1[[#This Row],[MOD_NAME]])-4)),Table1[[#This Row],[SUB_NAME]])</f>
        <v>0</v>
      </c>
      <c r="AA113" t="str">
        <f>CONCAT(Table1[[#This Row],[Final Obj Type]],"|",Table1[[#This Row],[Final Obj Name]])</f>
        <v>0|0</v>
      </c>
      <c r="AB113" t="e">
        <f>VLOOKUP(Table1[[#This Row],[Final Obj Type]],Classification!B:E,3,FALSE)</f>
        <v>#N/A</v>
      </c>
      <c r="AC113" t="e">
        <f>VLOOKUP(Table1[[#This Row],[Final Obj Type]],Classification!B:E,4,FALSE)</f>
        <v>#N/A</v>
      </c>
      <c r="AD113" t="str">
        <f>IF(Table1[[#This Row],[Position 1]]=0,"/0SAP/",MID(Table1[[#This Row],[Final Obj Name]],Table1[[#This Row],[Position 1]],Table1[[#This Row],[Position 2]]-Table1[[#This Row],[Position 1]]+1))</f>
        <v>/0SAP/</v>
      </c>
      <c r="AE113" t="str">
        <f>VLOOKUP(Table1[[#This Row],[/* Object]],Namespace!A:J,10,FALSE)</f>
        <v>SAP AG</v>
      </c>
      <c r="AF113" t="str">
        <f>IF(VLOOKUP(Table1[[#This Row],[/* Object]],Namespace!A:J,4,FALSE)=0,"",VLOOKUP(Table1[[#This Row],[/* Object]],Namespace!A:J,4,FALSE))</f>
        <v>X</v>
      </c>
      <c r="AG113" t="str">
        <f>IF(VLOOKUP(Table1[[#This Row],[/* Object]],Namespace!A:J,5,FALSE)=0,"",VLOOKUP(Table1[[#This Row],[/* Object]],Namespace!A:J,5,FALSE))</f>
        <v>X</v>
      </c>
      <c r="AH113" t="str">
        <f>IF(VLOOKUP(Table1[[#This Row],[/* Object]],Namespace!A:J,6,FALSE)=0,"",VLOOKUP(Table1[[#This Row],[/* Object]],Namespace!A:J,6,FALSE))</f>
        <v/>
      </c>
      <c r="AI113">
        <f>IFERROR(FIND("/",Table1[[#This Row],[Final Obj Name]],1),0)</f>
        <v>0</v>
      </c>
      <c r="AJ113">
        <f>IF(Table1[[#This Row],[Position 1]]=0,0,FIND("/",Table1[[#This Row],[Final Obj Name]],Table1[[#This Row],[Position 1]]+1))</f>
        <v>0</v>
      </c>
      <c r="AK113" t="str">
        <f>IF(LEFT(Table1[[#This Row],[Final Obj Name]],1)="/",LEFT(Table1[[#This Row],[Final Obj Name]],FIND("/",Table1[[#This Row],[Final Obj Name]],2)),"/0SAP/")</f>
        <v>/0SAP/</v>
      </c>
    </row>
    <row r="114">
      <c r="A114" t="str">
        <v>CLAS</v>
      </c>
      <c r="B114" t="str">
        <v>ZCL_MDG_VTP_HELPER</v>
      </c>
      <c r="C114" t="str">
        <v>CPRI</v>
      </c>
      <c r="D114" t="str">
        <v>ZCL_MDG_VTP_HELPER</v>
      </c>
      <c r="E114" t="str">
        <v>XXXX</v>
      </c>
      <c r="G114" t="str">
        <v>ALL</v>
      </c>
      <c r="K114" t="str">
        <v>E</v>
      </c>
      <c r="L114" t="str">
        <v>NSHAIK</v>
      </c>
      <c r="M114">
        <v>46015</v>
      </c>
      <c r="N114">
        <v>0.22024305555556</v>
      </c>
      <c r="Y114">
        <f>IF(Table1[[#This Row],[OPERATION]]="NOTE","NOTE",Table1[[#This Row],[SUB_TYPE]])</f>
        <v>0</v>
      </c>
      <c r="Z114">
        <f>IF(Table1[[#This Row],[OPERATION]]="NOTE",NUMBERVALUE(LEFT(Table1[[#This Row],[MOD_NAME]],LEN(Table1[[#This Row],[MOD_NAME]])-4)),Table1[[#This Row],[SUB_NAME]])</f>
        <v>0</v>
      </c>
      <c r="AA114" t="str">
        <f>CONCAT(Table1[[#This Row],[Final Obj Type]],"|",Table1[[#This Row],[Final Obj Name]])</f>
        <v>0|0</v>
      </c>
      <c r="AB114" t="e">
        <f>VLOOKUP(Table1[[#This Row],[Final Obj Type]],Classification!B:E,3,FALSE)</f>
        <v>#N/A</v>
      </c>
      <c r="AC114" t="e">
        <f>VLOOKUP(Table1[[#This Row],[Final Obj Type]],Classification!B:E,4,FALSE)</f>
        <v>#N/A</v>
      </c>
      <c r="AD114" t="str">
        <f>IF(Table1[[#This Row],[Position 1]]=0,"/0SAP/",MID(Table1[[#This Row],[Final Obj Name]],Table1[[#This Row],[Position 1]],Table1[[#This Row],[Position 2]]-Table1[[#This Row],[Position 1]]+1))</f>
        <v>/0SAP/</v>
      </c>
      <c r="AE114" t="str">
        <f>VLOOKUP(Table1[[#This Row],[/* Object]],Namespace!A:J,10,FALSE)</f>
        <v>SAP AG</v>
      </c>
      <c r="AF114" t="str">
        <f>IF(VLOOKUP(Table1[[#This Row],[/* Object]],Namespace!A:J,4,FALSE)=0,"",VLOOKUP(Table1[[#This Row],[/* Object]],Namespace!A:J,4,FALSE))</f>
        <v>X</v>
      </c>
      <c r="AG114" t="str">
        <f>IF(VLOOKUP(Table1[[#This Row],[/* Object]],Namespace!A:J,5,FALSE)=0,"",VLOOKUP(Table1[[#This Row],[/* Object]],Namespace!A:J,5,FALSE))</f>
        <v>X</v>
      </c>
      <c r="AH114" t="str">
        <f>IF(VLOOKUP(Table1[[#This Row],[/* Object]],Namespace!A:J,6,FALSE)=0,"",VLOOKUP(Table1[[#This Row],[/* Object]],Namespace!A:J,6,FALSE))</f>
        <v/>
      </c>
      <c r="AI114">
        <f>IFERROR(FIND("/",Table1[[#This Row],[Final Obj Name]],1),0)</f>
        <v>0</v>
      </c>
      <c r="AJ114">
        <f>IF(Table1[[#This Row],[Position 1]]=0,0,FIND("/",Table1[[#This Row],[Final Obj Name]],Table1[[#This Row],[Position 1]]+1))</f>
        <v>0</v>
      </c>
      <c r="AK114" t="str">
        <f>IF(LEFT(Table1[[#This Row],[Final Obj Name]],1)="/",LEFT(Table1[[#This Row],[Final Obj Name]],FIND("/",Table1[[#This Row],[Final Obj Name]],2)),"/0SAP/")</f>
        <v>/0SAP/</v>
      </c>
    </row>
    <row r="115">
      <c r="A115" t="str">
        <v>CLAS</v>
      </c>
      <c r="B115" t="str">
        <v>ZCL_MDG_VTP_HELPER</v>
      </c>
      <c r="C115" t="str">
        <v>CPRO</v>
      </c>
      <c r="D115" t="str">
        <v>ZCL_MDG_VTP_HELPER</v>
      </c>
      <c r="E115" t="str">
        <v>XXXX</v>
      </c>
      <c r="G115" t="str">
        <v>ALL</v>
      </c>
      <c r="K115" t="str">
        <v>E</v>
      </c>
      <c r="L115" t="str">
        <v>NSHAIK</v>
      </c>
      <c r="M115">
        <v>46015</v>
      </c>
      <c r="N115">
        <v>0.22024305555556</v>
      </c>
      <c r="Y115">
        <f>IF(Table1[[#This Row],[OPERATION]]="NOTE","NOTE",Table1[[#This Row],[SUB_TYPE]])</f>
        <v>0</v>
      </c>
      <c r="Z115">
        <f>IF(Table1[[#This Row],[OPERATION]]="NOTE",NUMBERVALUE(LEFT(Table1[[#This Row],[MOD_NAME]],LEN(Table1[[#This Row],[MOD_NAME]])-4)),Table1[[#This Row],[SUB_NAME]])</f>
        <v>0</v>
      </c>
      <c r="AA115" t="str">
        <f>CONCAT(Table1[[#This Row],[Final Obj Type]],"|",Table1[[#This Row],[Final Obj Name]])</f>
        <v>0|0</v>
      </c>
      <c r="AB115" t="e">
        <f>VLOOKUP(Table1[[#This Row],[Final Obj Type]],Classification!B:E,3,FALSE)</f>
        <v>#N/A</v>
      </c>
      <c r="AC115" t="e">
        <f>VLOOKUP(Table1[[#This Row],[Final Obj Type]],Classification!B:E,4,FALSE)</f>
        <v>#N/A</v>
      </c>
      <c r="AD115" t="str">
        <f>IF(Table1[[#This Row],[Position 1]]=0,"/0SAP/",MID(Table1[[#This Row],[Final Obj Name]],Table1[[#This Row],[Position 1]],Table1[[#This Row],[Position 2]]-Table1[[#This Row],[Position 1]]+1))</f>
        <v>/0SAP/</v>
      </c>
      <c r="AE115" t="str">
        <f>VLOOKUP(Table1[[#This Row],[/* Object]],Namespace!A:J,10,FALSE)</f>
        <v>SAP AG</v>
      </c>
      <c r="AF115" t="str">
        <f>IF(VLOOKUP(Table1[[#This Row],[/* Object]],Namespace!A:J,4,FALSE)=0,"",VLOOKUP(Table1[[#This Row],[/* Object]],Namespace!A:J,4,FALSE))</f>
        <v>X</v>
      </c>
      <c r="AG115" t="str">
        <f>IF(VLOOKUP(Table1[[#This Row],[/* Object]],Namespace!A:J,5,FALSE)=0,"",VLOOKUP(Table1[[#This Row],[/* Object]],Namespace!A:J,5,FALSE))</f>
        <v>X</v>
      </c>
      <c r="AH115" t="str">
        <f>IF(VLOOKUP(Table1[[#This Row],[/* Object]],Namespace!A:J,6,FALSE)=0,"",VLOOKUP(Table1[[#This Row],[/* Object]],Namespace!A:J,6,FALSE))</f>
        <v/>
      </c>
      <c r="AI115">
        <f>IFERROR(FIND("/",Table1[[#This Row],[Final Obj Name]],1),0)</f>
        <v>0</v>
      </c>
      <c r="AJ115">
        <f>IF(Table1[[#This Row],[Position 1]]=0,0,FIND("/",Table1[[#This Row],[Final Obj Name]],Table1[[#This Row],[Position 1]]+1))</f>
        <v>0</v>
      </c>
      <c r="AK115" t="str">
        <f>IF(LEFT(Table1[[#This Row],[Final Obj Name]],1)="/",LEFT(Table1[[#This Row],[Final Obj Name]],FIND("/",Table1[[#This Row],[Final Obj Name]],2)),"/0SAP/")</f>
        <v>/0SAP/</v>
      </c>
    </row>
    <row r="116">
      <c r="A116" t="str">
        <v>CLAS</v>
      </c>
      <c r="B116" t="str">
        <v>ZCL_MDG_VTP_HELPER</v>
      </c>
      <c r="C116" t="str">
        <v>CPUB</v>
      </c>
      <c r="D116" t="str">
        <v>ZCL_MDG_VTP_HELPER</v>
      </c>
      <c r="E116" t="str">
        <v>XXXX</v>
      </c>
      <c r="G116" t="str">
        <v>ALL</v>
      </c>
      <c r="K116" t="str">
        <v>E</v>
      </c>
      <c r="L116" t="str">
        <v>NSHAIK</v>
      </c>
      <c r="M116">
        <v>46015</v>
      </c>
      <c r="N116">
        <v>0.22024305555556</v>
      </c>
      <c r="Y116">
        <f>IF(Table1[[#This Row],[OPERATION]]="NOTE","NOTE",Table1[[#This Row],[SUB_TYPE]])</f>
        <v>0</v>
      </c>
      <c r="Z116">
        <f>IF(Table1[[#This Row],[OPERATION]]="NOTE",NUMBERVALUE(LEFT(Table1[[#This Row],[MOD_NAME]],LEN(Table1[[#This Row],[MOD_NAME]])-4)),Table1[[#This Row],[SUB_NAME]])</f>
        <v>0</v>
      </c>
      <c r="AA116" t="str">
        <f>CONCAT(Table1[[#This Row],[Final Obj Type]],"|",Table1[[#This Row],[Final Obj Name]])</f>
        <v>0|0</v>
      </c>
      <c r="AB116" t="e">
        <f>VLOOKUP(Table1[[#This Row],[Final Obj Type]],Classification!B:E,3,FALSE)</f>
        <v>#N/A</v>
      </c>
      <c r="AC116" t="e">
        <f>VLOOKUP(Table1[[#This Row],[Final Obj Type]],Classification!B:E,4,FALSE)</f>
        <v>#N/A</v>
      </c>
      <c r="AD116" t="str">
        <f>IF(Table1[[#This Row],[Position 1]]=0,"/0SAP/",MID(Table1[[#This Row],[Final Obj Name]],Table1[[#This Row],[Position 1]],Table1[[#This Row],[Position 2]]-Table1[[#This Row],[Position 1]]+1))</f>
        <v>/0SAP/</v>
      </c>
      <c r="AE116" t="str">
        <f>VLOOKUP(Table1[[#This Row],[/* Object]],Namespace!A:J,10,FALSE)</f>
        <v>SAP AG</v>
      </c>
      <c r="AF116" t="str">
        <f>IF(VLOOKUP(Table1[[#This Row],[/* Object]],Namespace!A:J,4,FALSE)=0,"",VLOOKUP(Table1[[#This Row],[/* Object]],Namespace!A:J,4,FALSE))</f>
        <v>X</v>
      </c>
      <c r="AG116" t="str">
        <f>IF(VLOOKUP(Table1[[#This Row],[/* Object]],Namespace!A:J,5,FALSE)=0,"",VLOOKUP(Table1[[#This Row],[/* Object]],Namespace!A:J,5,FALSE))</f>
        <v>X</v>
      </c>
      <c r="AH116" t="str">
        <f>IF(VLOOKUP(Table1[[#This Row],[/* Object]],Namespace!A:J,6,FALSE)=0,"",VLOOKUP(Table1[[#This Row],[/* Object]],Namespace!A:J,6,FALSE))</f>
        <v/>
      </c>
      <c r="AI116">
        <f>IFERROR(FIND("/",Table1[[#This Row],[Final Obj Name]],1),0)</f>
        <v>0</v>
      </c>
      <c r="AJ116">
        <f>IF(Table1[[#This Row],[Position 1]]=0,0,FIND("/",Table1[[#This Row],[Final Obj Name]],Table1[[#This Row],[Position 1]]+1))</f>
        <v>0</v>
      </c>
      <c r="AK116" t="str">
        <f>IF(LEFT(Table1[[#This Row],[Final Obj Name]],1)="/",LEFT(Table1[[#This Row],[Final Obj Name]],FIND("/",Table1[[#This Row],[Final Obj Name]],2)),"/0SAP/")</f>
        <v>/0SAP/</v>
      </c>
    </row>
    <row r="117">
      <c r="A117" t="str">
        <v>CLAS</v>
      </c>
      <c r="B117" t="str">
        <v>ZCL_PP_INVENTORY_ANALYSIS_01</v>
      </c>
      <c r="C117" t="str">
        <v>CPRO</v>
      </c>
      <c r="D117" t="str">
        <v>ZCL_PP_INVENTORY_ANALYSIS_01</v>
      </c>
      <c r="E117" t="str">
        <v>INTF</v>
      </c>
      <c r="G117" t="str">
        <v>ALL</v>
      </c>
      <c r="K117" t="str">
        <v>E</v>
      </c>
      <c r="L117" t="str">
        <v>CST_SOURYA</v>
      </c>
      <c r="M117">
        <v>46199</v>
      </c>
      <c r="N117">
        <v>0.1587962962963</v>
      </c>
      <c r="W117" t="str">
        <v>S01K930019</v>
      </c>
      <c r="Y117">
        <f>IF(Table1[[#This Row],[OPERATION]]="NOTE","NOTE",Table1[[#This Row],[SUB_TYPE]])</f>
        <v>0</v>
      </c>
      <c r="Z117">
        <f>IF(Table1[[#This Row],[OPERATION]]="NOTE",NUMBERVALUE(LEFT(Table1[[#This Row],[MOD_NAME]],LEN(Table1[[#This Row],[MOD_NAME]])-4)),Table1[[#This Row],[SUB_NAME]])</f>
        <v>0</v>
      </c>
      <c r="AA117" t="str">
        <f>CONCAT(Table1[[#This Row],[Final Obj Type]],"|",Table1[[#This Row],[Final Obj Name]])</f>
        <v>0|0</v>
      </c>
      <c r="AB117" t="e">
        <f>VLOOKUP(Table1[[#This Row],[Final Obj Type]],Classification!B:E,3,FALSE)</f>
        <v>#N/A</v>
      </c>
      <c r="AC117" t="e">
        <f>VLOOKUP(Table1[[#This Row],[Final Obj Type]],Classification!B:E,4,FALSE)</f>
        <v>#N/A</v>
      </c>
      <c r="AD117" t="str">
        <f>IF(Table1[[#This Row],[Position 1]]=0,"/0SAP/",MID(Table1[[#This Row],[Final Obj Name]],Table1[[#This Row],[Position 1]],Table1[[#This Row],[Position 2]]-Table1[[#This Row],[Position 1]]+1))</f>
        <v>/0SAP/</v>
      </c>
      <c r="AE117" t="str">
        <f>VLOOKUP(Table1[[#This Row],[/* Object]],Namespace!A:J,10,FALSE)</f>
        <v>SAP AG</v>
      </c>
      <c r="AF117" t="str">
        <f>IF(VLOOKUP(Table1[[#This Row],[/* Object]],Namespace!A:J,4,FALSE)=0,"",VLOOKUP(Table1[[#This Row],[/* Object]],Namespace!A:J,4,FALSE))</f>
        <v>X</v>
      </c>
      <c r="AG117" t="str">
        <f>IF(VLOOKUP(Table1[[#This Row],[/* Object]],Namespace!A:J,5,FALSE)=0,"",VLOOKUP(Table1[[#This Row],[/* Object]],Namespace!A:J,5,FALSE))</f>
        <v>X</v>
      </c>
      <c r="AH117" t="str">
        <f>IF(VLOOKUP(Table1[[#This Row],[/* Object]],Namespace!A:J,6,FALSE)=0,"",VLOOKUP(Table1[[#This Row],[/* Object]],Namespace!A:J,6,FALSE))</f>
        <v/>
      </c>
      <c r="AI117">
        <f>IFERROR(FIND("/",Table1[[#This Row],[Final Obj Name]],1),0)</f>
        <v>0</v>
      </c>
      <c r="AJ117">
        <f>IF(Table1[[#This Row],[Position 1]]=0,0,FIND("/",Table1[[#This Row],[Final Obj Name]],Table1[[#This Row],[Position 1]]+1))</f>
        <v>0</v>
      </c>
      <c r="AK117" t="str">
        <f>IF(LEFT(Table1[[#This Row],[Final Obj Name]],1)="/",LEFT(Table1[[#This Row],[Final Obj Name]],FIND("/",Table1[[#This Row],[Final Obj Name]],2)),"/0SAP/")</f>
        <v>/0SAP/</v>
      </c>
    </row>
    <row r="118">
      <c r="A118" t="str">
        <v>CLAS</v>
      </c>
      <c r="B118" t="str">
        <v>ZCL_PP_INVENTORY_ANALYSIS_01</v>
      </c>
      <c r="C118" t="str">
        <v>CPUB</v>
      </c>
      <c r="D118" t="str">
        <v>ZCL_PP_INVENTORY_ANALYSIS_01</v>
      </c>
      <c r="E118" t="str">
        <v>INTF</v>
      </c>
      <c r="G118" t="str">
        <v>ALL</v>
      </c>
      <c r="K118" t="str">
        <v>E</v>
      </c>
      <c r="L118">
        <v>50118299</v>
      </c>
      <c r="M118">
        <v>45181</v>
      </c>
      <c r="N118">
        <v>0.47361111111111</v>
      </c>
      <c r="W118" t="str">
        <v>S01K918243</v>
      </c>
      <c r="Y118">
        <f>IF(Table1[[#This Row],[OPERATION]]="NOTE","NOTE",Table1[[#This Row],[SUB_TYPE]])</f>
        <v>0</v>
      </c>
      <c r="Z118">
        <f>IF(Table1[[#This Row],[OPERATION]]="NOTE",NUMBERVALUE(LEFT(Table1[[#This Row],[MOD_NAME]],LEN(Table1[[#This Row],[MOD_NAME]])-4)),Table1[[#This Row],[SUB_NAME]])</f>
        <v>0</v>
      </c>
      <c r="AA118" t="str">
        <f>CONCAT(Table1[[#This Row],[Final Obj Type]],"|",Table1[[#This Row],[Final Obj Name]])</f>
        <v>0|0</v>
      </c>
      <c r="AB118" t="e">
        <f>VLOOKUP(Table1[[#This Row],[Final Obj Type]],Classification!B:E,3,FALSE)</f>
        <v>#N/A</v>
      </c>
      <c r="AC118" t="e">
        <f>VLOOKUP(Table1[[#This Row],[Final Obj Type]],Classification!B:E,4,FALSE)</f>
        <v>#N/A</v>
      </c>
      <c r="AD118" t="str">
        <f>IF(Table1[[#This Row],[Position 1]]=0,"/0SAP/",MID(Table1[[#This Row],[Final Obj Name]],Table1[[#This Row],[Position 1]],Table1[[#This Row],[Position 2]]-Table1[[#This Row],[Position 1]]+1))</f>
        <v>/0SAP/</v>
      </c>
      <c r="AE118" t="str">
        <f>VLOOKUP(Table1[[#This Row],[/* Object]],Namespace!A:J,10,FALSE)</f>
        <v>SAP AG</v>
      </c>
      <c r="AF118" t="str">
        <f>IF(VLOOKUP(Table1[[#This Row],[/* Object]],Namespace!A:J,4,FALSE)=0,"",VLOOKUP(Table1[[#This Row],[/* Object]],Namespace!A:J,4,FALSE))</f>
        <v>X</v>
      </c>
      <c r="AG118" t="str">
        <f>IF(VLOOKUP(Table1[[#This Row],[/* Object]],Namespace!A:J,5,FALSE)=0,"",VLOOKUP(Table1[[#This Row],[/* Object]],Namespace!A:J,5,FALSE))</f>
        <v>X</v>
      </c>
      <c r="AH118" t="str">
        <f>IF(VLOOKUP(Table1[[#This Row],[/* Object]],Namespace!A:J,6,FALSE)=0,"",VLOOKUP(Table1[[#This Row],[/* Object]],Namespace!A:J,6,FALSE))</f>
        <v/>
      </c>
      <c r="AI118">
        <f>IFERROR(FIND("/",Table1[[#This Row],[Final Obj Name]],1),0)</f>
        <v>0</v>
      </c>
      <c r="AJ118">
        <f>IF(Table1[[#This Row],[Position 1]]=0,0,FIND("/",Table1[[#This Row],[Final Obj Name]],Table1[[#This Row],[Position 1]]+1))</f>
        <v>0</v>
      </c>
      <c r="AK118" t="str">
        <f>IF(LEFT(Table1[[#This Row],[Final Obj Name]],1)="/",LEFT(Table1[[#This Row],[Final Obj Name]],FIND("/",Table1[[#This Row],[Final Obj Name]],2)),"/0SAP/")</f>
        <v>/0SAP/</v>
      </c>
    </row>
    <row r="119">
      <c r="A119" t="str">
        <v>CLAS</v>
      </c>
      <c r="B119" t="str">
        <v>ZCL_PP_INVENTORY_ANALYSIS_01</v>
      </c>
      <c r="C119" t="str">
        <v>METH</v>
      </c>
      <c r="D119" t="str">
        <v>ZCL_PP_INVENTORY_ANALYSIS_01  GET_DATA_FROM_CDS</v>
      </c>
      <c r="E119" t="str">
        <v>PN</v>
      </c>
      <c r="G119" t="str">
        <v>MOD</v>
      </c>
      <c r="H119" t="str">
        <v>ZCL_PP_INVENTORY_ANALYSIS_01==CP</v>
      </c>
      <c r="K119" t="str">
        <v>E</v>
      </c>
      <c r="L119" t="str">
        <v>CST_SOURYA</v>
      </c>
      <c r="M119">
        <v>46199</v>
      </c>
      <c r="N119">
        <v>0.19694444444444</v>
      </c>
      <c r="W119" t="str">
        <v>S01K930021</v>
      </c>
      <c r="Y119">
        <f>IF(Table1[[#This Row],[OPERATION]]="NOTE","NOTE",Table1[[#This Row],[SUB_TYPE]])</f>
        <v>0</v>
      </c>
      <c r="Z119">
        <f>IF(Table1[[#This Row],[OPERATION]]="NOTE",NUMBERVALUE(LEFT(Table1[[#This Row],[MOD_NAME]],LEN(Table1[[#This Row],[MOD_NAME]])-4)),Table1[[#This Row],[SUB_NAME]])</f>
        <v>0</v>
      </c>
      <c r="AA119" t="str">
        <f>CONCAT(Table1[[#This Row],[Final Obj Type]],"|",Table1[[#This Row],[Final Obj Name]])</f>
        <v>0|0</v>
      </c>
      <c r="AB119" t="e">
        <f>VLOOKUP(Table1[[#This Row],[Final Obj Type]],Classification!B:E,3,FALSE)</f>
        <v>#N/A</v>
      </c>
      <c r="AC119" t="e">
        <f>VLOOKUP(Table1[[#This Row],[Final Obj Type]],Classification!B:E,4,FALSE)</f>
        <v>#N/A</v>
      </c>
      <c r="AD119" t="str">
        <f>IF(Table1[[#This Row],[Position 1]]=0,"/0SAP/",MID(Table1[[#This Row],[Final Obj Name]],Table1[[#This Row],[Position 1]],Table1[[#This Row],[Position 2]]-Table1[[#This Row],[Position 1]]+1))</f>
        <v>/0SAP/</v>
      </c>
      <c r="AE119" t="str">
        <f>VLOOKUP(Table1[[#This Row],[/* Object]],Namespace!A:J,10,FALSE)</f>
        <v>SAP AG</v>
      </c>
      <c r="AF119" t="str">
        <f>IF(VLOOKUP(Table1[[#This Row],[/* Object]],Namespace!A:J,4,FALSE)=0,"",VLOOKUP(Table1[[#This Row],[/* Object]],Namespace!A:J,4,FALSE))</f>
        <v>X</v>
      </c>
      <c r="AG119" t="str">
        <f>IF(VLOOKUP(Table1[[#This Row],[/* Object]],Namespace!A:J,5,FALSE)=0,"",VLOOKUP(Table1[[#This Row],[/* Object]],Namespace!A:J,5,FALSE))</f>
        <v>X</v>
      </c>
      <c r="AH119" t="str">
        <f>IF(VLOOKUP(Table1[[#This Row],[/* Object]],Namespace!A:J,6,FALSE)=0,"",VLOOKUP(Table1[[#This Row],[/* Object]],Namespace!A:J,6,FALSE))</f>
        <v/>
      </c>
      <c r="AI119">
        <f>IFERROR(FIND("/",Table1[[#This Row],[Final Obj Name]],1),0)</f>
        <v>0</v>
      </c>
      <c r="AJ119">
        <f>IF(Table1[[#This Row],[Position 1]]=0,0,FIND("/",Table1[[#This Row],[Final Obj Name]],Table1[[#This Row],[Position 1]]+1))</f>
        <v>0</v>
      </c>
      <c r="AK119" t="str">
        <f>IF(LEFT(Table1[[#This Row],[Final Obj Name]],1)="/",LEFT(Table1[[#This Row],[Final Obj Name]],FIND("/",Table1[[#This Row],[Final Obj Name]],2)),"/0SAP/")</f>
        <v>/0SAP/</v>
      </c>
    </row>
    <row r="120">
      <c r="A120" t="str">
        <v>CLAS</v>
      </c>
      <c r="B120" t="str">
        <v>ZCL_PTM_ORDER_AUTO_SETTLE</v>
      </c>
      <c r="C120" t="str">
        <v>METH</v>
      </c>
      <c r="D120" t="str">
        <v>ZCL_PTM_ORDER_AUTO_SETTLE     SETTLE_ORDER</v>
      </c>
      <c r="E120" t="str">
        <v>PN</v>
      </c>
      <c r="G120" t="str">
        <v>MOD</v>
      </c>
      <c r="H120" t="str">
        <v>ZCL_PTM_ORDER_AUTO_SETTLE=====CP</v>
      </c>
      <c r="K120" t="str">
        <v>E</v>
      </c>
      <c r="L120" t="str">
        <v>CST_UKHANNA</v>
      </c>
      <c r="M120">
        <v>43945</v>
      </c>
      <c r="N120">
        <v>0.47001157407407</v>
      </c>
      <c r="W120" t="str">
        <v>S01K907664</v>
      </c>
      <c r="Y120">
        <f>IF(Table1[[#This Row],[OPERATION]]="NOTE","NOTE",Table1[[#This Row],[SUB_TYPE]])</f>
        <v>0</v>
      </c>
      <c r="Z120">
        <f>IF(Table1[[#This Row],[OPERATION]]="NOTE",NUMBERVALUE(LEFT(Table1[[#This Row],[MOD_NAME]],LEN(Table1[[#This Row],[MOD_NAME]])-4)),Table1[[#This Row],[SUB_NAME]])</f>
        <v>0</v>
      </c>
      <c r="AA120" t="str">
        <f>CONCAT(Table1[[#This Row],[Final Obj Type]],"|",Table1[[#This Row],[Final Obj Name]])</f>
        <v>0|0</v>
      </c>
      <c r="AB120" t="e">
        <f>VLOOKUP(Table1[[#This Row],[Final Obj Type]],Classification!B:E,3,FALSE)</f>
        <v>#N/A</v>
      </c>
      <c r="AC120" t="e">
        <f>VLOOKUP(Table1[[#This Row],[Final Obj Type]],Classification!B:E,4,FALSE)</f>
        <v>#N/A</v>
      </c>
      <c r="AD120" t="str">
        <f>IF(Table1[[#This Row],[Position 1]]=0,"/0SAP/",MID(Table1[[#This Row],[Final Obj Name]],Table1[[#This Row],[Position 1]],Table1[[#This Row],[Position 2]]-Table1[[#This Row],[Position 1]]+1))</f>
        <v>/0SAP/</v>
      </c>
      <c r="AE120" t="str">
        <f>VLOOKUP(Table1[[#This Row],[/* Object]],Namespace!A:J,10,FALSE)</f>
        <v>SAP AG</v>
      </c>
      <c r="AF120" t="str">
        <f>IF(VLOOKUP(Table1[[#This Row],[/* Object]],Namespace!A:J,4,FALSE)=0,"",VLOOKUP(Table1[[#This Row],[/* Object]],Namespace!A:J,4,FALSE))</f>
        <v>X</v>
      </c>
      <c r="AG120" t="str">
        <f>IF(VLOOKUP(Table1[[#This Row],[/* Object]],Namespace!A:J,5,FALSE)=0,"",VLOOKUP(Table1[[#This Row],[/* Object]],Namespace!A:J,5,FALSE))</f>
        <v>X</v>
      </c>
      <c r="AH120" t="str">
        <f>IF(VLOOKUP(Table1[[#This Row],[/* Object]],Namespace!A:J,6,FALSE)=0,"",VLOOKUP(Table1[[#This Row],[/* Object]],Namespace!A:J,6,FALSE))</f>
        <v/>
      </c>
      <c r="AI120">
        <f>IFERROR(FIND("/",Table1[[#This Row],[Final Obj Name]],1),0)</f>
        <v>0</v>
      </c>
      <c r="AJ120">
        <f>IF(Table1[[#This Row],[Position 1]]=0,0,FIND("/",Table1[[#This Row],[Final Obj Name]],Table1[[#This Row],[Position 1]]+1))</f>
        <v>0</v>
      </c>
      <c r="AK120" t="str">
        <f>IF(LEFT(Table1[[#This Row],[Final Obj Name]],1)="/",LEFT(Table1[[#This Row],[Final Obj Name]],FIND("/",Table1[[#This Row],[Final Obj Name]],2)),"/0SAP/")</f>
        <v>/0SAP/</v>
      </c>
    </row>
    <row r="121">
      <c r="A121" t="str">
        <v>CLAS</v>
      </c>
      <c r="B121" t="str">
        <v>ZCL_PTM_WINDCHILL_CHARACTER</v>
      </c>
      <c r="C121" t="str">
        <v>CPRI</v>
      </c>
      <c r="D121" t="str">
        <v>ZCL_PTM_WINDCHILL_CHARACTER</v>
      </c>
      <c r="E121" t="str">
        <v>XXXX</v>
      </c>
      <c r="G121" t="str">
        <v>ALL</v>
      </c>
      <c r="K121" t="str">
        <v>E</v>
      </c>
      <c r="L121">
        <v>50117141</v>
      </c>
      <c r="M121">
        <v>45397</v>
      </c>
      <c r="N121">
        <v>0.69836805555556</v>
      </c>
      <c r="W121" t="str">
        <v>S01K921189</v>
      </c>
      <c r="Y121">
        <f>IF(Table1[[#This Row],[OPERATION]]="NOTE","NOTE",Table1[[#This Row],[SUB_TYPE]])</f>
        <v>0</v>
      </c>
      <c r="Z121">
        <f>IF(Table1[[#This Row],[OPERATION]]="NOTE",NUMBERVALUE(LEFT(Table1[[#This Row],[MOD_NAME]],LEN(Table1[[#This Row],[MOD_NAME]])-4)),Table1[[#This Row],[SUB_NAME]])</f>
        <v>0</v>
      </c>
      <c r="AA121" t="str">
        <f>CONCAT(Table1[[#This Row],[Final Obj Type]],"|",Table1[[#This Row],[Final Obj Name]])</f>
        <v>0|0</v>
      </c>
      <c r="AB121" t="e">
        <f>VLOOKUP(Table1[[#This Row],[Final Obj Type]],Classification!B:E,3,FALSE)</f>
        <v>#N/A</v>
      </c>
      <c r="AC121" t="e">
        <f>VLOOKUP(Table1[[#This Row],[Final Obj Type]],Classification!B:E,4,FALSE)</f>
        <v>#N/A</v>
      </c>
      <c r="AD121" t="str">
        <f>IF(Table1[[#This Row],[Position 1]]=0,"/0SAP/",MID(Table1[[#This Row],[Final Obj Name]],Table1[[#This Row],[Position 1]],Table1[[#This Row],[Position 2]]-Table1[[#This Row],[Position 1]]+1))</f>
        <v>/0SAP/</v>
      </c>
      <c r="AE121" t="str">
        <f>VLOOKUP(Table1[[#This Row],[/* Object]],Namespace!A:J,10,FALSE)</f>
        <v>SAP AG</v>
      </c>
      <c r="AF121" t="str">
        <f>IF(VLOOKUP(Table1[[#This Row],[/* Object]],Namespace!A:J,4,FALSE)=0,"",VLOOKUP(Table1[[#This Row],[/* Object]],Namespace!A:J,4,FALSE))</f>
        <v>X</v>
      </c>
      <c r="AG121" t="str">
        <f>IF(VLOOKUP(Table1[[#This Row],[/* Object]],Namespace!A:J,5,FALSE)=0,"",VLOOKUP(Table1[[#This Row],[/* Object]],Namespace!A:J,5,FALSE))</f>
        <v>X</v>
      </c>
      <c r="AH121" t="str">
        <f>IF(VLOOKUP(Table1[[#This Row],[/* Object]],Namespace!A:J,6,FALSE)=0,"",VLOOKUP(Table1[[#This Row],[/* Object]],Namespace!A:J,6,FALSE))</f>
        <v/>
      </c>
      <c r="AI121">
        <f>IFERROR(FIND("/",Table1[[#This Row],[Final Obj Name]],1),0)</f>
        <v>0</v>
      </c>
      <c r="AJ121">
        <f>IF(Table1[[#This Row],[Position 1]]=0,0,FIND("/",Table1[[#This Row],[Final Obj Name]],Table1[[#This Row],[Position 1]]+1))</f>
        <v>0</v>
      </c>
      <c r="AK121" t="str">
        <f>IF(LEFT(Table1[[#This Row],[Final Obj Name]],1)="/",LEFT(Table1[[#This Row],[Final Obj Name]],FIND("/",Table1[[#This Row],[Final Obj Name]],2)),"/0SAP/")</f>
        <v>/0SAP/</v>
      </c>
    </row>
    <row r="122">
      <c r="A122" t="str">
        <v>CLAS</v>
      </c>
      <c r="B122" t="str">
        <v>ZCL_PTM_WINDCHILL_CHARACTER</v>
      </c>
      <c r="C122" t="str">
        <v>CPRO</v>
      </c>
      <c r="D122" t="str">
        <v>ZCL_PTM_WINDCHILL_CHARACTER</v>
      </c>
      <c r="E122" t="str">
        <v>XXXX</v>
      </c>
      <c r="G122" t="str">
        <v>ALL</v>
      </c>
      <c r="K122" t="str">
        <v>E</v>
      </c>
      <c r="L122">
        <v>50117141</v>
      </c>
      <c r="M122">
        <v>45397</v>
      </c>
      <c r="N122">
        <v>0.69836805555556</v>
      </c>
      <c r="W122" t="str">
        <v>S01K921189</v>
      </c>
      <c r="Y122">
        <f>IF(Table1[[#This Row],[OPERATION]]="NOTE","NOTE",Table1[[#This Row],[SUB_TYPE]])</f>
        <v>0</v>
      </c>
      <c r="Z122">
        <f>IF(Table1[[#This Row],[OPERATION]]="NOTE",NUMBERVALUE(LEFT(Table1[[#This Row],[MOD_NAME]],LEN(Table1[[#This Row],[MOD_NAME]])-4)),Table1[[#This Row],[SUB_NAME]])</f>
        <v>0</v>
      </c>
      <c r="AA122" t="str">
        <f>CONCAT(Table1[[#This Row],[Final Obj Type]],"|",Table1[[#This Row],[Final Obj Name]])</f>
        <v>0|0</v>
      </c>
      <c r="AB122" t="e">
        <f>VLOOKUP(Table1[[#This Row],[Final Obj Type]],Classification!B:E,3,FALSE)</f>
        <v>#N/A</v>
      </c>
      <c r="AC122" t="e">
        <f>VLOOKUP(Table1[[#This Row],[Final Obj Type]],Classification!B:E,4,FALSE)</f>
        <v>#N/A</v>
      </c>
      <c r="AD122" t="str">
        <f>IF(Table1[[#This Row],[Position 1]]=0,"/0SAP/",MID(Table1[[#This Row],[Final Obj Name]],Table1[[#This Row],[Position 1]],Table1[[#This Row],[Position 2]]-Table1[[#This Row],[Position 1]]+1))</f>
        <v>/0SAP/</v>
      </c>
      <c r="AE122" t="str">
        <f>VLOOKUP(Table1[[#This Row],[/* Object]],Namespace!A:J,10,FALSE)</f>
        <v>SAP AG</v>
      </c>
      <c r="AF122" t="str">
        <f>IF(VLOOKUP(Table1[[#This Row],[/* Object]],Namespace!A:J,4,FALSE)=0,"",VLOOKUP(Table1[[#This Row],[/* Object]],Namespace!A:J,4,FALSE))</f>
        <v>X</v>
      </c>
      <c r="AG122" t="str">
        <f>IF(VLOOKUP(Table1[[#This Row],[/* Object]],Namespace!A:J,5,FALSE)=0,"",VLOOKUP(Table1[[#This Row],[/* Object]],Namespace!A:J,5,FALSE))</f>
        <v>X</v>
      </c>
      <c r="AH122" t="str">
        <f>IF(VLOOKUP(Table1[[#This Row],[/* Object]],Namespace!A:J,6,FALSE)=0,"",VLOOKUP(Table1[[#This Row],[/* Object]],Namespace!A:J,6,FALSE))</f>
        <v/>
      </c>
      <c r="AI122">
        <f>IFERROR(FIND("/",Table1[[#This Row],[Final Obj Name]],1),0)</f>
        <v>0</v>
      </c>
      <c r="AJ122">
        <f>IF(Table1[[#This Row],[Position 1]]=0,0,FIND("/",Table1[[#This Row],[Final Obj Name]],Table1[[#This Row],[Position 1]]+1))</f>
        <v>0</v>
      </c>
      <c r="AK122" t="str">
        <f>IF(LEFT(Table1[[#This Row],[Final Obj Name]],1)="/",LEFT(Table1[[#This Row],[Final Obj Name]],FIND("/",Table1[[#This Row],[Final Obj Name]],2)),"/0SAP/")</f>
        <v>/0SAP/</v>
      </c>
    </row>
    <row r="123">
      <c r="A123" t="str">
        <v>CLAS</v>
      </c>
      <c r="B123" t="str">
        <v>ZCL_PTM_WINDCHILL_CHARACTER</v>
      </c>
      <c r="C123" t="str">
        <v>CPUB</v>
      </c>
      <c r="D123" t="str">
        <v>ZCL_PTM_WINDCHILL_CHARACTER</v>
      </c>
      <c r="E123" t="str">
        <v>XXXX</v>
      </c>
      <c r="G123" t="str">
        <v>ALL</v>
      </c>
      <c r="K123" t="str">
        <v>E</v>
      </c>
      <c r="L123">
        <v>50117141</v>
      </c>
      <c r="M123">
        <v>45397</v>
      </c>
      <c r="N123">
        <v>0.69836805555556</v>
      </c>
      <c r="W123" t="str">
        <v>S01K921189</v>
      </c>
      <c r="Y123">
        <f>IF(Table1[[#This Row],[OPERATION]]="NOTE","NOTE",Table1[[#This Row],[SUB_TYPE]])</f>
        <v>0</v>
      </c>
      <c r="Z123">
        <f>IF(Table1[[#This Row],[OPERATION]]="NOTE",NUMBERVALUE(LEFT(Table1[[#This Row],[MOD_NAME]],LEN(Table1[[#This Row],[MOD_NAME]])-4)),Table1[[#This Row],[SUB_NAME]])</f>
        <v>0</v>
      </c>
      <c r="AA123" t="str">
        <f>CONCAT(Table1[[#This Row],[Final Obj Type]],"|",Table1[[#This Row],[Final Obj Name]])</f>
        <v>0|0</v>
      </c>
      <c r="AB123" t="e">
        <f>VLOOKUP(Table1[[#This Row],[Final Obj Type]],Classification!B:E,3,FALSE)</f>
        <v>#N/A</v>
      </c>
      <c r="AC123" t="e">
        <f>VLOOKUP(Table1[[#This Row],[Final Obj Type]],Classification!B:E,4,FALSE)</f>
        <v>#N/A</v>
      </c>
      <c r="AD123" t="str">
        <f>IF(Table1[[#This Row],[Position 1]]=0,"/0SAP/",MID(Table1[[#This Row],[Final Obj Name]],Table1[[#This Row],[Position 1]],Table1[[#This Row],[Position 2]]-Table1[[#This Row],[Position 1]]+1))</f>
        <v>/0SAP/</v>
      </c>
      <c r="AE123" t="str">
        <f>VLOOKUP(Table1[[#This Row],[/* Object]],Namespace!A:J,10,FALSE)</f>
        <v>SAP AG</v>
      </c>
      <c r="AF123" t="str">
        <f>IF(VLOOKUP(Table1[[#This Row],[/* Object]],Namespace!A:J,4,FALSE)=0,"",VLOOKUP(Table1[[#This Row],[/* Object]],Namespace!A:J,4,FALSE))</f>
        <v>X</v>
      </c>
      <c r="AG123" t="str">
        <f>IF(VLOOKUP(Table1[[#This Row],[/* Object]],Namespace!A:J,5,FALSE)=0,"",VLOOKUP(Table1[[#This Row],[/* Object]],Namespace!A:J,5,FALSE))</f>
        <v>X</v>
      </c>
      <c r="AH123" t="str">
        <f>IF(VLOOKUP(Table1[[#This Row],[/* Object]],Namespace!A:J,6,FALSE)=0,"",VLOOKUP(Table1[[#This Row],[/* Object]],Namespace!A:J,6,FALSE))</f>
        <v/>
      </c>
      <c r="AI123">
        <f>IFERROR(FIND("/",Table1[[#This Row],[Final Obj Name]],1),0)</f>
        <v>0</v>
      </c>
      <c r="AJ123">
        <f>IF(Table1[[#This Row],[Position 1]]=0,0,FIND("/",Table1[[#This Row],[Final Obj Name]],Table1[[#This Row],[Position 1]]+1))</f>
        <v>0</v>
      </c>
      <c r="AK123" t="str">
        <f>IF(LEFT(Table1[[#This Row],[Final Obj Name]],1)="/",LEFT(Table1[[#This Row],[Final Obj Name]],FIND("/",Table1[[#This Row],[Final Obj Name]],2)),"/0SAP/")</f>
        <v>/0SAP/</v>
      </c>
    </row>
    <row r="124">
      <c r="A124" t="str">
        <v>CLAS</v>
      </c>
      <c r="B124" t="str">
        <v>ZCL_PTP_AMDP_GET_SIW_DATA</v>
      </c>
      <c r="C124" t="str">
        <v>CPRI</v>
      </c>
      <c r="D124" t="str">
        <v>ZCL_PTP_AMDP_GET_SIW_DATA</v>
      </c>
      <c r="E124" t="str">
        <v>XXXX</v>
      </c>
      <c r="G124" t="str">
        <v>ALL</v>
      </c>
      <c r="K124" t="str">
        <v>E</v>
      </c>
      <c r="L124">
        <v>50116387</v>
      </c>
      <c r="M124">
        <v>44789</v>
      </c>
      <c r="N124">
        <v>0.30306712962963</v>
      </c>
      <c r="W124" t="str">
        <v>S01K914357</v>
      </c>
      <c r="Y124">
        <f>IF(Table1[[#This Row],[OPERATION]]="NOTE","NOTE",Table1[[#This Row],[SUB_TYPE]])</f>
        <v>0</v>
      </c>
      <c r="Z124">
        <f>IF(Table1[[#This Row],[OPERATION]]="NOTE",NUMBERVALUE(LEFT(Table1[[#This Row],[MOD_NAME]],LEN(Table1[[#This Row],[MOD_NAME]])-4)),Table1[[#This Row],[SUB_NAME]])</f>
        <v>0</v>
      </c>
      <c r="AA124" t="str">
        <f>CONCAT(Table1[[#This Row],[Final Obj Type]],"|",Table1[[#This Row],[Final Obj Name]])</f>
        <v>0|0</v>
      </c>
      <c r="AB124" t="e">
        <f>VLOOKUP(Table1[[#This Row],[Final Obj Type]],Classification!B:E,3,FALSE)</f>
        <v>#N/A</v>
      </c>
      <c r="AC124" t="e">
        <f>VLOOKUP(Table1[[#This Row],[Final Obj Type]],Classification!B:E,4,FALSE)</f>
        <v>#N/A</v>
      </c>
      <c r="AD124" t="str">
        <f>IF(Table1[[#This Row],[Position 1]]=0,"/0SAP/",MID(Table1[[#This Row],[Final Obj Name]],Table1[[#This Row],[Position 1]],Table1[[#This Row],[Position 2]]-Table1[[#This Row],[Position 1]]+1))</f>
        <v>/0SAP/</v>
      </c>
      <c r="AE124" t="str">
        <f>VLOOKUP(Table1[[#This Row],[/* Object]],Namespace!A:J,10,FALSE)</f>
        <v>SAP AG</v>
      </c>
      <c r="AF124" t="str">
        <f>IF(VLOOKUP(Table1[[#This Row],[/* Object]],Namespace!A:J,4,FALSE)=0,"",VLOOKUP(Table1[[#This Row],[/* Object]],Namespace!A:J,4,FALSE))</f>
        <v>X</v>
      </c>
      <c r="AG124" t="str">
        <f>IF(VLOOKUP(Table1[[#This Row],[/* Object]],Namespace!A:J,5,FALSE)=0,"",VLOOKUP(Table1[[#This Row],[/* Object]],Namespace!A:J,5,FALSE))</f>
        <v>X</v>
      </c>
      <c r="AH124" t="str">
        <f>IF(VLOOKUP(Table1[[#This Row],[/* Object]],Namespace!A:J,6,FALSE)=0,"",VLOOKUP(Table1[[#This Row],[/* Object]],Namespace!A:J,6,FALSE))</f>
        <v/>
      </c>
      <c r="AI124">
        <f>IFERROR(FIND("/",Table1[[#This Row],[Final Obj Name]],1),0)</f>
        <v>0</v>
      </c>
      <c r="AJ124">
        <f>IF(Table1[[#This Row],[Position 1]]=0,0,FIND("/",Table1[[#This Row],[Final Obj Name]],Table1[[#This Row],[Position 1]]+1))</f>
        <v>0</v>
      </c>
      <c r="AK124" t="str">
        <f>IF(LEFT(Table1[[#This Row],[Final Obj Name]],1)="/",LEFT(Table1[[#This Row],[Final Obj Name]],FIND("/",Table1[[#This Row],[Final Obj Name]],2)),"/0SAP/")</f>
        <v>/0SAP/</v>
      </c>
    </row>
    <row r="125">
      <c r="A125" t="str">
        <v>CLAS</v>
      </c>
      <c r="B125" t="str">
        <v>ZCL_PTP_AMDP_GET_SIW_DATA</v>
      </c>
      <c r="C125" t="str">
        <v>CPRO</v>
      </c>
      <c r="D125" t="str">
        <v>ZCL_PTP_AMDP_GET_SIW_DATA</v>
      </c>
      <c r="E125" t="str">
        <v>XXXX</v>
      </c>
      <c r="G125" t="str">
        <v>ALL</v>
      </c>
      <c r="K125" t="str">
        <v>E</v>
      </c>
      <c r="L125">
        <v>50116387</v>
      </c>
      <c r="M125">
        <v>44789</v>
      </c>
      <c r="N125">
        <v>0.30306712962963</v>
      </c>
      <c r="W125" t="str">
        <v>S01K914357</v>
      </c>
      <c r="Y125">
        <f>IF(Table1[[#This Row],[OPERATION]]="NOTE","NOTE",Table1[[#This Row],[SUB_TYPE]])</f>
        <v>0</v>
      </c>
      <c r="Z125">
        <f>IF(Table1[[#This Row],[OPERATION]]="NOTE",NUMBERVALUE(LEFT(Table1[[#This Row],[MOD_NAME]],LEN(Table1[[#This Row],[MOD_NAME]])-4)),Table1[[#This Row],[SUB_NAME]])</f>
        <v>0</v>
      </c>
      <c r="AA125" t="str">
        <f>CONCAT(Table1[[#This Row],[Final Obj Type]],"|",Table1[[#This Row],[Final Obj Name]])</f>
        <v>0|0</v>
      </c>
      <c r="AB125" t="e">
        <f>VLOOKUP(Table1[[#This Row],[Final Obj Type]],Classification!B:E,3,FALSE)</f>
        <v>#N/A</v>
      </c>
      <c r="AC125" t="e">
        <f>VLOOKUP(Table1[[#This Row],[Final Obj Type]],Classification!B:E,4,FALSE)</f>
        <v>#N/A</v>
      </c>
      <c r="AD125" t="str">
        <f>IF(Table1[[#This Row],[Position 1]]=0,"/0SAP/",MID(Table1[[#This Row],[Final Obj Name]],Table1[[#This Row],[Position 1]],Table1[[#This Row],[Position 2]]-Table1[[#This Row],[Position 1]]+1))</f>
        <v>/0SAP/</v>
      </c>
      <c r="AE125" t="str">
        <f>VLOOKUP(Table1[[#This Row],[/* Object]],Namespace!A:J,10,FALSE)</f>
        <v>SAP AG</v>
      </c>
      <c r="AF125" t="str">
        <f>IF(VLOOKUP(Table1[[#This Row],[/* Object]],Namespace!A:J,4,FALSE)=0,"",VLOOKUP(Table1[[#This Row],[/* Object]],Namespace!A:J,4,FALSE))</f>
        <v>X</v>
      </c>
      <c r="AG125" t="str">
        <f>IF(VLOOKUP(Table1[[#This Row],[/* Object]],Namespace!A:J,5,FALSE)=0,"",VLOOKUP(Table1[[#This Row],[/* Object]],Namespace!A:J,5,FALSE))</f>
        <v>X</v>
      </c>
      <c r="AH125" t="str">
        <f>IF(VLOOKUP(Table1[[#This Row],[/* Object]],Namespace!A:J,6,FALSE)=0,"",VLOOKUP(Table1[[#This Row],[/* Object]],Namespace!A:J,6,FALSE))</f>
        <v/>
      </c>
      <c r="AI125">
        <f>IFERROR(FIND("/",Table1[[#This Row],[Final Obj Name]],1),0)</f>
        <v>0</v>
      </c>
      <c r="AJ125">
        <f>IF(Table1[[#This Row],[Position 1]]=0,0,FIND("/",Table1[[#This Row],[Final Obj Name]],Table1[[#This Row],[Position 1]]+1))</f>
        <v>0</v>
      </c>
      <c r="AK125" t="str">
        <f>IF(LEFT(Table1[[#This Row],[Final Obj Name]],1)="/",LEFT(Table1[[#This Row],[Final Obj Name]],FIND("/",Table1[[#This Row],[Final Obj Name]],2)),"/0SAP/")</f>
        <v>/0SAP/</v>
      </c>
    </row>
    <row r="126">
      <c r="A126" t="str">
        <v>CLAS</v>
      </c>
      <c r="B126" t="str">
        <v>ZCL_PTP_AMDP_GET_SIW_DATA</v>
      </c>
      <c r="C126" t="str">
        <v>CPUB</v>
      </c>
      <c r="D126" t="str">
        <v>ZCL_PTP_AMDP_GET_SIW_DATA</v>
      </c>
      <c r="E126" t="str">
        <v>XXXX</v>
      </c>
      <c r="G126" t="str">
        <v>ALL</v>
      </c>
      <c r="K126" t="str">
        <v>E</v>
      </c>
      <c r="L126">
        <v>50116387</v>
      </c>
      <c r="M126">
        <v>44789</v>
      </c>
      <c r="N126">
        <v>0.30306712962963</v>
      </c>
      <c r="W126" t="str">
        <v>S01K914357</v>
      </c>
      <c r="Y126">
        <f>IF(Table1[[#This Row],[OPERATION]]="NOTE","NOTE",Table1[[#This Row],[SUB_TYPE]])</f>
        <v>0</v>
      </c>
      <c r="Z126">
        <f>IF(Table1[[#This Row],[OPERATION]]="NOTE",NUMBERVALUE(LEFT(Table1[[#This Row],[MOD_NAME]],LEN(Table1[[#This Row],[MOD_NAME]])-4)),Table1[[#This Row],[SUB_NAME]])</f>
        <v>0</v>
      </c>
      <c r="AA126" t="str">
        <f>CONCAT(Table1[[#This Row],[Final Obj Type]],"|",Table1[[#This Row],[Final Obj Name]])</f>
        <v>0|0</v>
      </c>
      <c r="AB126" t="e">
        <f>VLOOKUP(Table1[[#This Row],[Final Obj Type]],Classification!B:E,3,FALSE)</f>
        <v>#N/A</v>
      </c>
      <c r="AC126" t="e">
        <f>VLOOKUP(Table1[[#This Row],[Final Obj Type]],Classification!B:E,4,FALSE)</f>
        <v>#N/A</v>
      </c>
      <c r="AD126" t="str">
        <f>IF(Table1[[#This Row],[Position 1]]=0,"/0SAP/",MID(Table1[[#This Row],[Final Obj Name]],Table1[[#This Row],[Position 1]],Table1[[#This Row],[Position 2]]-Table1[[#This Row],[Position 1]]+1))</f>
        <v>/0SAP/</v>
      </c>
      <c r="AE126" t="str">
        <f>VLOOKUP(Table1[[#This Row],[/* Object]],Namespace!A:J,10,FALSE)</f>
        <v>SAP AG</v>
      </c>
      <c r="AF126" t="str">
        <f>IF(VLOOKUP(Table1[[#This Row],[/* Object]],Namespace!A:J,4,FALSE)=0,"",VLOOKUP(Table1[[#This Row],[/* Object]],Namespace!A:J,4,FALSE))</f>
        <v>X</v>
      </c>
      <c r="AG126" t="str">
        <f>IF(VLOOKUP(Table1[[#This Row],[/* Object]],Namespace!A:J,5,FALSE)=0,"",VLOOKUP(Table1[[#This Row],[/* Object]],Namespace!A:J,5,FALSE))</f>
        <v>X</v>
      </c>
      <c r="AH126" t="str">
        <f>IF(VLOOKUP(Table1[[#This Row],[/* Object]],Namespace!A:J,6,FALSE)=0,"",VLOOKUP(Table1[[#This Row],[/* Object]],Namespace!A:J,6,FALSE))</f>
        <v/>
      </c>
      <c r="AI126">
        <f>IFERROR(FIND("/",Table1[[#This Row],[Final Obj Name]],1),0)</f>
        <v>0</v>
      </c>
      <c r="AJ126">
        <f>IF(Table1[[#This Row],[Position 1]]=0,0,FIND("/",Table1[[#This Row],[Final Obj Name]],Table1[[#This Row],[Position 1]]+1))</f>
        <v>0</v>
      </c>
      <c r="AK126" t="str">
        <f>IF(LEFT(Table1[[#This Row],[Final Obj Name]],1)="/",LEFT(Table1[[#This Row],[Final Obj Name]],FIND("/",Table1[[#This Row],[Final Obj Name]],2)),"/0SAP/")</f>
        <v>/0SAP/</v>
      </c>
    </row>
    <row r="127">
      <c r="A127" t="str">
        <v>CLAS</v>
      </c>
      <c r="B127" t="str">
        <v>ZCL_PTP_AMDP_SCR</v>
      </c>
      <c r="C127" t="str">
        <v>CPRI</v>
      </c>
      <c r="D127" t="str">
        <v>ZCL_PTP_AMDP_SCR</v>
      </c>
      <c r="E127" t="str">
        <v>XXXX</v>
      </c>
      <c r="G127" t="str">
        <v>ALL</v>
      </c>
      <c r="K127" t="str">
        <v>E</v>
      </c>
      <c r="L127" t="str">
        <v>VKUNNAVAKAM</v>
      </c>
      <c r="M127">
        <v>45208</v>
      </c>
      <c r="N127">
        <v>0.18612268518519</v>
      </c>
      <c r="W127" t="str">
        <v>S01K919045</v>
      </c>
      <c r="Y127">
        <f>IF(Table1[[#This Row],[OPERATION]]="NOTE","NOTE",Table1[[#This Row],[SUB_TYPE]])</f>
        <v>0</v>
      </c>
      <c r="Z127">
        <f>IF(Table1[[#This Row],[OPERATION]]="NOTE",NUMBERVALUE(LEFT(Table1[[#This Row],[MOD_NAME]],LEN(Table1[[#This Row],[MOD_NAME]])-4)),Table1[[#This Row],[SUB_NAME]])</f>
        <v>0</v>
      </c>
      <c r="AA127" t="str">
        <f>CONCAT(Table1[[#This Row],[Final Obj Type]],"|",Table1[[#This Row],[Final Obj Name]])</f>
        <v>0|0</v>
      </c>
      <c r="AB127" t="e">
        <f>VLOOKUP(Table1[[#This Row],[Final Obj Type]],Classification!B:E,3,FALSE)</f>
        <v>#N/A</v>
      </c>
      <c r="AC127" t="e">
        <f>VLOOKUP(Table1[[#This Row],[Final Obj Type]],Classification!B:E,4,FALSE)</f>
        <v>#N/A</v>
      </c>
      <c r="AD127" t="str">
        <f>IF(Table1[[#This Row],[Position 1]]=0,"/0SAP/",MID(Table1[[#This Row],[Final Obj Name]],Table1[[#This Row],[Position 1]],Table1[[#This Row],[Position 2]]-Table1[[#This Row],[Position 1]]+1))</f>
        <v>/0SAP/</v>
      </c>
      <c r="AE127" t="str">
        <f>VLOOKUP(Table1[[#This Row],[/* Object]],Namespace!A:J,10,FALSE)</f>
        <v>SAP AG</v>
      </c>
      <c r="AF127" t="str">
        <f>IF(VLOOKUP(Table1[[#This Row],[/* Object]],Namespace!A:J,4,FALSE)=0,"",VLOOKUP(Table1[[#This Row],[/* Object]],Namespace!A:J,4,FALSE))</f>
        <v>X</v>
      </c>
      <c r="AG127" t="str">
        <f>IF(VLOOKUP(Table1[[#This Row],[/* Object]],Namespace!A:J,5,FALSE)=0,"",VLOOKUP(Table1[[#This Row],[/* Object]],Namespace!A:J,5,FALSE))</f>
        <v>X</v>
      </c>
      <c r="AH127" t="str">
        <f>IF(VLOOKUP(Table1[[#This Row],[/* Object]],Namespace!A:J,6,FALSE)=0,"",VLOOKUP(Table1[[#This Row],[/* Object]],Namespace!A:J,6,FALSE))</f>
        <v/>
      </c>
      <c r="AI127">
        <f>IFERROR(FIND("/",Table1[[#This Row],[Final Obj Name]],1),0)</f>
        <v>0</v>
      </c>
      <c r="AJ127">
        <f>IF(Table1[[#This Row],[Position 1]]=0,0,FIND("/",Table1[[#This Row],[Final Obj Name]],Table1[[#This Row],[Position 1]]+1))</f>
        <v>0</v>
      </c>
      <c r="AK127" t="str">
        <f>IF(LEFT(Table1[[#This Row],[Final Obj Name]],1)="/",LEFT(Table1[[#This Row],[Final Obj Name]],FIND("/",Table1[[#This Row],[Final Obj Name]],2)),"/0SAP/")</f>
        <v>/0SAP/</v>
      </c>
    </row>
    <row r="128">
      <c r="A128" t="str">
        <v>CLAS</v>
      </c>
      <c r="B128" t="str">
        <v>ZCL_PTP_AMDP_SCR</v>
      </c>
      <c r="C128" t="str">
        <v>CPRO</v>
      </c>
      <c r="D128" t="str">
        <v>ZCL_PTP_AMDP_SCR</v>
      </c>
      <c r="E128" t="str">
        <v>XXXX</v>
      </c>
      <c r="G128" t="str">
        <v>ALL</v>
      </c>
      <c r="K128" t="str">
        <v>E</v>
      </c>
      <c r="L128" t="str">
        <v>VKUNNAVAKAM</v>
      </c>
      <c r="M128">
        <v>45208</v>
      </c>
      <c r="N128">
        <v>0.18612268518519</v>
      </c>
      <c r="W128" t="str">
        <v>S01K919045</v>
      </c>
      <c r="Y128">
        <f>IF(Table1[[#This Row],[OPERATION]]="NOTE","NOTE",Table1[[#This Row],[SUB_TYPE]])</f>
        <v>0</v>
      </c>
      <c r="Z128">
        <f>IF(Table1[[#This Row],[OPERATION]]="NOTE",NUMBERVALUE(LEFT(Table1[[#This Row],[MOD_NAME]],LEN(Table1[[#This Row],[MOD_NAME]])-4)),Table1[[#This Row],[SUB_NAME]])</f>
        <v>0</v>
      </c>
      <c r="AA128" t="str">
        <f>CONCAT(Table1[[#This Row],[Final Obj Type]],"|",Table1[[#This Row],[Final Obj Name]])</f>
        <v>0|0</v>
      </c>
      <c r="AB128" t="e">
        <f>VLOOKUP(Table1[[#This Row],[Final Obj Type]],Classification!B:E,3,FALSE)</f>
        <v>#N/A</v>
      </c>
      <c r="AC128" t="e">
        <f>VLOOKUP(Table1[[#This Row],[Final Obj Type]],Classification!B:E,4,FALSE)</f>
        <v>#N/A</v>
      </c>
      <c r="AD128" t="str">
        <f>IF(Table1[[#This Row],[Position 1]]=0,"/0SAP/",MID(Table1[[#This Row],[Final Obj Name]],Table1[[#This Row],[Position 1]],Table1[[#This Row],[Position 2]]-Table1[[#This Row],[Position 1]]+1))</f>
        <v>/0SAP/</v>
      </c>
      <c r="AE128" t="str">
        <f>VLOOKUP(Table1[[#This Row],[/* Object]],Namespace!A:J,10,FALSE)</f>
        <v>SAP AG</v>
      </c>
      <c r="AF128" t="str">
        <f>IF(VLOOKUP(Table1[[#This Row],[/* Object]],Namespace!A:J,4,FALSE)=0,"",VLOOKUP(Table1[[#This Row],[/* Object]],Namespace!A:J,4,FALSE))</f>
        <v>X</v>
      </c>
      <c r="AG128" t="str">
        <f>IF(VLOOKUP(Table1[[#This Row],[/* Object]],Namespace!A:J,5,FALSE)=0,"",VLOOKUP(Table1[[#This Row],[/* Object]],Namespace!A:J,5,FALSE))</f>
        <v>X</v>
      </c>
      <c r="AH128" t="str">
        <f>IF(VLOOKUP(Table1[[#This Row],[/* Object]],Namespace!A:J,6,FALSE)=0,"",VLOOKUP(Table1[[#This Row],[/* Object]],Namespace!A:J,6,FALSE))</f>
        <v/>
      </c>
      <c r="AI128">
        <f>IFERROR(FIND("/",Table1[[#This Row],[Final Obj Name]],1),0)</f>
        <v>0</v>
      </c>
      <c r="AJ128">
        <f>IF(Table1[[#This Row],[Position 1]]=0,0,FIND("/",Table1[[#This Row],[Final Obj Name]],Table1[[#This Row],[Position 1]]+1))</f>
        <v>0</v>
      </c>
      <c r="AK128" t="str">
        <f>IF(LEFT(Table1[[#This Row],[Final Obj Name]],1)="/",LEFT(Table1[[#This Row],[Final Obj Name]],FIND("/",Table1[[#This Row],[Final Obj Name]],2)),"/0SAP/")</f>
        <v>/0SAP/</v>
      </c>
    </row>
    <row r="129">
      <c r="A129" t="str">
        <v>CLAS</v>
      </c>
      <c r="B129" t="str">
        <v>ZCL_PTP_AMDP_SCR</v>
      </c>
      <c r="C129" t="str">
        <v>CPUB</v>
      </c>
      <c r="D129" t="str">
        <v>ZCL_PTP_AMDP_SCR</v>
      </c>
      <c r="E129" t="str">
        <v>XXXX</v>
      </c>
      <c r="G129" t="str">
        <v>ALL</v>
      </c>
      <c r="K129" t="str">
        <v>E</v>
      </c>
      <c r="L129" t="str">
        <v>VKUNNAVAKAM</v>
      </c>
      <c r="M129">
        <v>45208</v>
      </c>
      <c r="N129">
        <v>0.18612268518519</v>
      </c>
      <c r="W129" t="str">
        <v>S01K919045</v>
      </c>
      <c r="Y129">
        <f>IF(Table1[[#This Row],[OPERATION]]="NOTE","NOTE",Table1[[#This Row],[SUB_TYPE]])</f>
        <v>0</v>
      </c>
      <c r="Z129">
        <f>IF(Table1[[#This Row],[OPERATION]]="NOTE",NUMBERVALUE(LEFT(Table1[[#This Row],[MOD_NAME]],LEN(Table1[[#This Row],[MOD_NAME]])-4)),Table1[[#This Row],[SUB_NAME]])</f>
        <v>0</v>
      </c>
      <c r="AA129" t="str">
        <f>CONCAT(Table1[[#This Row],[Final Obj Type]],"|",Table1[[#This Row],[Final Obj Name]])</f>
        <v>0|0</v>
      </c>
      <c r="AB129" t="e">
        <f>VLOOKUP(Table1[[#This Row],[Final Obj Type]],Classification!B:E,3,FALSE)</f>
        <v>#N/A</v>
      </c>
      <c r="AC129" t="e">
        <f>VLOOKUP(Table1[[#This Row],[Final Obj Type]],Classification!B:E,4,FALSE)</f>
        <v>#N/A</v>
      </c>
      <c r="AD129" t="str">
        <f>IF(Table1[[#This Row],[Position 1]]=0,"/0SAP/",MID(Table1[[#This Row],[Final Obj Name]],Table1[[#This Row],[Position 1]],Table1[[#This Row],[Position 2]]-Table1[[#This Row],[Position 1]]+1))</f>
        <v>/0SAP/</v>
      </c>
      <c r="AE129" t="str">
        <f>VLOOKUP(Table1[[#This Row],[/* Object]],Namespace!A:J,10,FALSE)</f>
        <v>SAP AG</v>
      </c>
      <c r="AF129" t="str">
        <f>IF(VLOOKUP(Table1[[#This Row],[/* Object]],Namespace!A:J,4,FALSE)=0,"",VLOOKUP(Table1[[#This Row],[/* Object]],Namespace!A:J,4,FALSE))</f>
        <v>X</v>
      </c>
      <c r="AG129" t="str">
        <f>IF(VLOOKUP(Table1[[#This Row],[/* Object]],Namespace!A:J,5,FALSE)=0,"",VLOOKUP(Table1[[#This Row],[/* Object]],Namespace!A:J,5,FALSE))</f>
        <v>X</v>
      </c>
      <c r="AH129" t="str">
        <f>IF(VLOOKUP(Table1[[#This Row],[/* Object]],Namespace!A:J,6,FALSE)=0,"",VLOOKUP(Table1[[#This Row],[/* Object]],Namespace!A:J,6,FALSE))</f>
        <v/>
      </c>
      <c r="AI129">
        <f>IFERROR(FIND("/",Table1[[#This Row],[Final Obj Name]],1),0)</f>
        <v>0</v>
      </c>
      <c r="AJ129">
        <f>IF(Table1[[#This Row],[Position 1]]=0,0,FIND("/",Table1[[#This Row],[Final Obj Name]],Table1[[#This Row],[Position 1]]+1))</f>
        <v>0</v>
      </c>
      <c r="AK129" t="str">
        <f>IF(LEFT(Table1[[#This Row],[Final Obj Name]],1)="/",LEFT(Table1[[#This Row],[Final Obj Name]],FIND("/",Table1[[#This Row],[Final Obj Name]],2)),"/0SAP/")</f>
        <v>/0SAP/</v>
      </c>
    </row>
    <row r="130">
      <c r="A130" t="str">
        <v>CLAS</v>
      </c>
      <c r="B130" t="str">
        <v>ZCL_PTP_PURCHASE_ORDER_VERSION</v>
      </c>
      <c r="C130" t="str">
        <v>CPRI</v>
      </c>
      <c r="D130" t="str">
        <v>ZCL_PTP_PURCHASE_ORDER_VERSION</v>
      </c>
      <c r="E130" t="str">
        <v>XXXX</v>
      </c>
      <c r="G130" t="str">
        <v>ALL</v>
      </c>
      <c r="K130" t="str">
        <v>E</v>
      </c>
      <c r="L130" t="str">
        <v>SSUDARSHAN</v>
      </c>
      <c r="M130">
        <v>46162</v>
      </c>
      <c r="N130">
        <v>0.30542824074074</v>
      </c>
      <c r="Y130">
        <f>IF(Table1[[#This Row],[OPERATION]]="NOTE","NOTE",Table1[[#This Row],[SUB_TYPE]])</f>
        <v>0</v>
      </c>
      <c r="Z130">
        <f>IF(Table1[[#This Row],[OPERATION]]="NOTE",NUMBERVALUE(LEFT(Table1[[#This Row],[MOD_NAME]],LEN(Table1[[#This Row],[MOD_NAME]])-4)),Table1[[#This Row],[SUB_NAME]])</f>
        <v>0</v>
      </c>
      <c r="AA130" t="str">
        <f>CONCAT(Table1[[#This Row],[Final Obj Type]],"|",Table1[[#This Row],[Final Obj Name]])</f>
        <v>0|0</v>
      </c>
      <c r="AB130" t="e">
        <f>VLOOKUP(Table1[[#This Row],[Final Obj Type]],Classification!B:E,3,FALSE)</f>
        <v>#N/A</v>
      </c>
      <c r="AC130" t="e">
        <f>VLOOKUP(Table1[[#This Row],[Final Obj Type]],Classification!B:E,4,FALSE)</f>
        <v>#N/A</v>
      </c>
      <c r="AD130" t="str">
        <f>IF(Table1[[#This Row],[Position 1]]=0,"/0SAP/",MID(Table1[[#This Row],[Final Obj Name]],Table1[[#This Row],[Position 1]],Table1[[#This Row],[Position 2]]-Table1[[#This Row],[Position 1]]+1))</f>
        <v>/0SAP/</v>
      </c>
      <c r="AE130" t="str">
        <f>VLOOKUP(Table1[[#This Row],[/* Object]],Namespace!A:J,10,FALSE)</f>
        <v>SAP AG</v>
      </c>
      <c r="AF130" t="str">
        <f>IF(VLOOKUP(Table1[[#This Row],[/* Object]],Namespace!A:J,4,FALSE)=0,"",VLOOKUP(Table1[[#This Row],[/* Object]],Namespace!A:J,4,FALSE))</f>
        <v>X</v>
      </c>
      <c r="AG130" t="str">
        <f>IF(VLOOKUP(Table1[[#This Row],[/* Object]],Namespace!A:J,5,FALSE)=0,"",VLOOKUP(Table1[[#This Row],[/* Object]],Namespace!A:J,5,FALSE))</f>
        <v>X</v>
      </c>
      <c r="AH130" t="str">
        <f>IF(VLOOKUP(Table1[[#This Row],[/* Object]],Namespace!A:J,6,FALSE)=0,"",VLOOKUP(Table1[[#This Row],[/* Object]],Namespace!A:J,6,FALSE))</f>
        <v/>
      </c>
      <c r="AI130">
        <f>IFERROR(FIND("/",Table1[[#This Row],[Final Obj Name]],1),0)</f>
        <v>0</v>
      </c>
      <c r="AJ130">
        <f>IF(Table1[[#This Row],[Position 1]]=0,0,FIND("/",Table1[[#This Row],[Final Obj Name]],Table1[[#This Row],[Position 1]]+1))</f>
        <v>0</v>
      </c>
      <c r="AK130" t="str">
        <f>IF(LEFT(Table1[[#This Row],[Final Obj Name]],1)="/",LEFT(Table1[[#This Row],[Final Obj Name]],FIND("/",Table1[[#This Row],[Final Obj Name]],2)),"/0SAP/")</f>
        <v>/0SAP/</v>
      </c>
    </row>
    <row r="131">
      <c r="A131" t="str">
        <v>CLAS</v>
      </c>
      <c r="B131" t="str">
        <v>ZCL_PTP_PURCHASE_ORDER_VERSION</v>
      </c>
      <c r="C131" t="str">
        <v>CPRO</v>
      </c>
      <c r="D131" t="str">
        <v>ZCL_PTP_PURCHASE_ORDER_VERSION</v>
      </c>
      <c r="E131" t="str">
        <v>XXXX</v>
      </c>
      <c r="G131" t="str">
        <v>ALL</v>
      </c>
      <c r="K131" t="str">
        <v>E</v>
      </c>
      <c r="L131" t="str">
        <v>SSUDARSHAN</v>
      </c>
      <c r="M131">
        <v>46162</v>
      </c>
      <c r="N131">
        <v>0.30542824074074</v>
      </c>
      <c r="Y131">
        <f>IF(Table1[[#This Row],[OPERATION]]="NOTE","NOTE",Table1[[#This Row],[SUB_TYPE]])</f>
        <v>0</v>
      </c>
      <c r="Z131">
        <f>IF(Table1[[#This Row],[OPERATION]]="NOTE",NUMBERVALUE(LEFT(Table1[[#This Row],[MOD_NAME]],LEN(Table1[[#This Row],[MOD_NAME]])-4)),Table1[[#This Row],[SUB_NAME]])</f>
        <v>0</v>
      </c>
      <c r="AA131" t="str">
        <f>CONCAT(Table1[[#This Row],[Final Obj Type]],"|",Table1[[#This Row],[Final Obj Name]])</f>
        <v>0|0</v>
      </c>
      <c r="AB131" t="e">
        <f>VLOOKUP(Table1[[#This Row],[Final Obj Type]],Classification!B:E,3,FALSE)</f>
        <v>#N/A</v>
      </c>
      <c r="AC131" t="e">
        <f>VLOOKUP(Table1[[#This Row],[Final Obj Type]],Classification!B:E,4,FALSE)</f>
        <v>#N/A</v>
      </c>
      <c r="AD131" t="str">
        <f>IF(Table1[[#This Row],[Position 1]]=0,"/0SAP/",MID(Table1[[#This Row],[Final Obj Name]],Table1[[#This Row],[Position 1]],Table1[[#This Row],[Position 2]]-Table1[[#This Row],[Position 1]]+1))</f>
        <v>/0SAP/</v>
      </c>
      <c r="AE131" t="str">
        <f>VLOOKUP(Table1[[#This Row],[/* Object]],Namespace!A:J,10,FALSE)</f>
        <v>SAP AG</v>
      </c>
      <c r="AF131" t="str">
        <f>IF(VLOOKUP(Table1[[#This Row],[/* Object]],Namespace!A:J,4,FALSE)=0,"",VLOOKUP(Table1[[#This Row],[/* Object]],Namespace!A:J,4,FALSE))</f>
        <v>X</v>
      </c>
      <c r="AG131" t="str">
        <f>IF(VLOOKUP(Table1[[#This Row],[/* Object]],Namespace!A:J,5,FALSE)=0,"",VLOOKUP(Table1[[#This Row],[/* Object]],Namespace!A:J,5,FALSE))</f>
        <v>X</v>
      </c>
      <c r="AH131" t="str">
        <f>IF(VLOOKUP(Table1[[#This Row],[/* Object]],Namespace!A:J,6,FALSE)=0,"",VLOOKUP(Table1[[#This Row],[/* Object]],Namespace!A:J,6,FALSE))</f>
        <v/>
      </c>
      <c r="AI131">
        <f>IFERROR(FIND("/",Table1[[#This Row],[Final Obj Name]],1),0)</f>
        <v>0</v>
      </c>
      <c r="AJ131">
        <f>IF(Table1[[#This Row],[Position 1]]=0,0,FIND("/",Table1[[#This Row],[Final Obj Name]],Table1[[#This Row],[Position 1]]+1))</f>
        <v>0</v>
      </c>
      <c r="AK131" t="str">
        <f>IF(LEFT(Table1[[#This Row],[Final Obj Name]],1)="/",LEFT(Table1[[#This Row],[Final Obj Name]],FIND("/",Table1[[#This Row],[Final Obj Name]],2)),"/0SAP/")</f>
        <v>/0SAP/</v>
      </c>
    </row>
    <row r="132">
      <c r="A132" t="str">
        <v>CLAS</v>
      </c>
      <c r="B132" t="str">
        <v>ZCL_PTP_PURCHASE_ORDER_VERSION</v>
      </c>
      <c r="C132" t="str">
        <v>CPUB</v>
      </c>
      <c r="D132" t="str">
        <v>ZCL_PTP_PURCHASE_ORDER_VERSION</v>
      </c>
      <c r="E132" t="str">
        <v>XXXX</v>
      </c>
      <c r="G132" t="str">
        <v>ALL</v>
      </c>
      <c r="K132" t="str">
        <v>E</v>
      </c>
      <c r="L132" t="str">
        <v>SSUDARSHAN</v>
      </c>
      <c r="M132">
        <v>46162</v>
      </c>
      <c r="N132">
        <v>0.30542824074074</v>
      </c>
      <c r="Y132">
        <f>IF(Table1[[#This Row],[OPERATION]]="NOTE","NOTE",Table1[[#This Row],[SUB_TYPE]])</f>
        <v>0</v>
      </c>
      <c r="Z132">
        <f>IF(Table1[[#This Row],[OPERATION]]="NOTE",NUMBERVALUE(LEFT(Table1[[#This Row],[MOD_NAME]],LEN(Table1[[#This Row],[MOD_NAME]])-4)),Table1[[#This Row],[SUB_NAME]])</f>
        <v>0</v>
      </c>
      <c r="AA132" t="str">
        <f>CONCAT(Table1[[#This Row],[Final Obj Type]],"|",Table1[[#This Row],[Final Obj Name]])</f>
        <v>0|0</v>
      </c>
      <c r="AB132" t="e">
        <f>VLOOKUP(Table1[[#This Row],[Final Obj Type]],Classification!B:E,3,FALSE)</f>
        <v>#N/A</v>
      </c>
      <c r="AC132" t="e">
        <f>VLOOKUP(Table1[[#This Row],[Final Obj Type]],Classification!B:E,4,FALSE)</f>
        <v>#N/A</v>
      </c>
      <c r="AD132" t="str">
        <f>IF(Table1[[#This Row],[Position 1]]=0,"/0SAP/",MID(Table1[[#This Row],[Final Obj Name]],Table1[[#This Row],[Position 1]],Table1[[#This Row],[Position 2]]-Table1[[#This Row],[Position 1]]+1))</f>
        <v>/0SAP/</v>
      </c>
      <c r="AE132" t="str">
        <f>VLOOKUP(Table1[[#This Row],[/* Object]],Namespace!A:J,10,FALSE)</f>
        <v>SAP AG</v>
      </c>
      <c r="AF132" t="str">
        <f>IF(VLOOKUP(Table1[[#This Row],[/* Object]],Namespace!A:J,4,FALSE)=0,"",VLOOKUP(Table1[[#This Row],[/* Object]],Namespace!A:J,4,FALSE))</f>
        <v>X</v>
      </c>
      <c r="AG132" t="str">
        <f>IF(VLOOKUP(Table1[[#This Row],[/* Object]],Namespace!A:J,5,FALSE)=0,"",VLOOKUP(Table1[[#This Row],[/* Object]],Namespace!A:J,5,FALSE))</f>
        <v>X</v>
      </c>
      <c r="AH132" t="str">
        <f>IF(VLOOKUP(Table1[[#This Row],[/* Object]],Namespace!A:J,6,FALSE)=0,"",VLOOKUP(Table1[[#This Row],[/* Object]],Namespace!A:J,6,FALSE))</f>
        <v/>
      </c>
      <c r="AI132">
        <f>IFERROR(FIND("/",Table1[[#This Row],[Final Obj Name]],1),0)</f>
        <v>0</v>
      </c>
      <c r="AJ132">
        <f>IF(Table1[[#This Row],[Position 1]]=0,0,FIND("/",Table1[[#This Row],[Final Obj Name]],Table1[[#This Row],[Position 1]]+1))</f>
        <v>0</v>
      </c>
      <c r="AK132" t="str">
        <f>IF(LEFT(Table1[[#This Row],[Final Obj Name]],1)="/",LEFT(Table1[[#This Row],[Final Obj Name]],FIND("/",Table1[[#This Row],[Final Obj Name]],2)),"/0SAP/")</f>
        <v>/0SAP/</v>
      </c>
    </row>
    <row r="133">
      <c r="A133" t="str">
        <v>CLAS</v>
      </c>
      <c r="B133" t="str">
        <v>ZCL_RAR_AUTO_POB_01</v>
      </c>
      <c r="C133" t="str">
        <v>METH</v>
      </c>
      <c r="D133" t="str">
        <v>ZCL_RAR_AUTO_POB_01           IF_FARR_BADI_RAI2~ENRICH</v>
      </c>
      <c r="E133" t="str">
        <v>PN</v>
      </c>
      <c r="G133" t="str">
        <v>MOD</v>
      </c>
      <c r="H133" t="str">
        <v>ZCL_RAR_AUTO_POB_01===========CP</v>
      </c>
      <c r="K133" t="str">
        <v>E</v>
      </c>
      <c r="L133">
        <v>50118299</v>
      </c>
      <c r="M133">
        <v>45379</v>
      </c>
      <c r="N133">
        <v>0.30430555555556</v>
      </c>
      <c r="W133" t="str">
        <v>S01K921110</v>
      </c>
      <c r="Y133">
        <f>IF(Table1[[#This Row],[OPERATION]]="NOTE","NOTE",Table1[[#This Row],[SUB_TYPE]])</f>
        <v>0</v>
      </c>
      <c r="Z133">
        <f>IF(Table1[[#This Row],[OPERATION]]="NOTE",NUMBERVALUE(LEFT(Table1[[#This Row],[MOD_NAME]],LEN(Table1[[#This Row],[MOD_NAME]])-4)),Table1[[#This Row],[SUB_NAME]])</f>
        <v>0</v>
      </c>
      <c r="AA133" t="str">
        <f>CONCAT(Table1[[#This Row],[Final Obj Type]],"|",Table1[[#This Row],[Final Obj Name]])</f>
        <v>0|0</v>
      </c>
      <c r="AB133" t="e">
        <f>VLOOKUP(Table1[[#This Row],[Final Obj Type]],Classification!B:E,3,FALSE)</f>
        <v>#N/A</v>
      </c>
      <c r="AC133" t="e">
        <f>VLOOKUP(Table1[[#This Row],[Final Obj Type]],Classification!B:E,4,FALSE)</f>
        <v>#N/A</v>
      </c>
      <c r="AD133" t="str">
        <f>IF(Table1[[#This Row],[Position 1]]=0,"/0SAP/",MID(Table1[[#This Row],[Final Obj Name]],Table1[[#This Row],[Position 1]],Table1[[#This Row],[Position 2]]-Table1[[#This Row],[Position 1]]+1))</f>
        <v>/0SAP/</v>
      </c>
      <c r="AE133" t="str">
        <f>VLOOKUP(Table1[[#This Row],[/* Object]],Namespace!A:J,10,FALSE)</f>
        <v>SAP AG</v>
      </c>
      <c r="AF133" t="str">
        <f>IF(VLOOKUP(Table1[[#This Row],[/* Object]],Namespace!A:J,4,FALSE)=0,"",VLOOKUP(Table1[[#This Row],[/* Object]],Namespace!A:J,4,FALSE))</f>
        <v>X</v>
      </c>
      <c r="AG133" t="str">
        <f>IF(VLOOKUP(Table1[[#This Row],[/* Object]],Namespace!A:J,5,FALSE)=0,"",VLOOKUP(Table1[[#This Row],[/* Object]],Namespace!A:J,5,FALSE))</f>
        <v>X</v>
      </c>
      <c r="AH133" t="str">
        <f>IF(VLOOKUP(Table1[[#This Row],[/* Object]],Namespace!A:J,6,FALSE)=0,"",VLOOKUP(Table1[[#This Row],[/* Object]],Namespace!A:J,6,FALSE))</f>
        <v/>
      </c>
      <c r="AI133">
        <f>IFERROR(FIND("/",Table1[[#This Row],[Final Obj Name]],1),0)</f>
        <v>0</v>
      </c>
      <c r="AJ133">
        <f>IF(Table1[[#This Row],[Position 1]]=0,0,FIND("/",Table1[[#This Row],[Final Obj Name]],Table1[[#This Row],[Position 1]]+1))</f>
        <v>0</v>
      </c>
      <c r="AK133" t="str">
        <f>IF(LEFT(Table1[[#This Row],[Final Obj Name]],1)="/",LEFT(Table1[[#This Row],[Final Obj Name]],FIND("/",Table1[[#This Row],[Final Obj Name]],2)),"/0SAP/")</f>
        <v>/0SAP/</v>
      </c>
    </row>
    <row r="134">
      <c r="A134" t="str">
        <v>CLAS</v>
      </c>
      <c r="B134" t="str">
        <v>ZCL_REUSE_BOM</v>
      </c>
      <c r="C134" t="str">
        <v>METH</v>
      </c>
      <c r="D134" t="str">
        <v>ZCL_REUSE_BOM                 SPLIT_FILE_TO_HEADER_ITEM</v>
      </c>
      <c r="E134" t="str">
        <v>PN</v>
      </c>
      <c r="G134" t="str">
        <v>MOD</v>
      </c>
      <c r="H134" t="str">
        <v>ZCL_REUSE_BOM=================CP</v>
      </c>
      <c r="K134" t="str">
        <v>E</v>
      </c>
      <c r="L134" t="str">
        <v>CST_UKHANNA</v>
      </c>
      <c r="M134">
        <v>43724</v>
      </c>
      <c r="N134">
        <v>0.55155092592593</v>
      </c>
      <c r="W134" t="str">
        <v>X01K900708</v>
      </c>
      <c r="Y134">
        <f>IF(Table1[[#This Row],[OPERATION]]="NOTE","NOTE",Table1[[#This Row],[SUB_TYPE]])</f>
        <v>0</v>
      </c>
      <c r="Z134">
        <f>IF(Table1[[#This Row],[OPERATION]]="NOTE",NUMBERVALUE(LEFT(Table1[[#This Row],[MOD_NAME]],LEN(Table1[[#This Row],[MOD_NAME]])-4)),Table1[[#This Row],[SUB_NAME]])</f>
        <v>0</v>
      </c>
      <c r="AA134" t="str">
        <f>CONCAT(Table1[[#This Row],[Final Obj Type]],"|",Table1[[#This Row],[Final Obj Name]])</f>
        <v>0|0</v>
      </c>
      <c r="AB134" t="e">
        <f>VLOOKUP(Table1[[#This Row],[Final Obj Type]],Classification!B:E,3,FALSE)</f>
        <v>#N/A</v>
      </c>
      <c r="AC134" t="e">
        <f>VLOOKUP(Table1[[#This Row],[Final Obj Type]],Classification!B:E,4,FALSE)</f>
        <v>#N/A</v>
      </c>
      <c r="AD134" t="str">
        <f>IF(Table1[[#This Row],[Position 1]]=0,"/0SAP/",MID(Table1[[#This Row],[Final Obj Name]],Table1[[#This Row],[Position 1]],Table1[[#This Row],[Position 2]]-Table1[[#This Row],[Position 1]]+1))</f>
        <v>/0SAP/</v>
      </c>
      <c r="AE134" t="str">
        <f>VLOOKUP(Table1[[#This Row],[/* Object]],Namespace!A:J,10,FALSE)</f>
        <v>SAP AG</v>
      </c>
      <c r="AF134" t="str">
        <f>IF(VLOOKUP(Table1[[#This Row],[/* Object]],Namespace!A:J,4,FALSE)=0,"",VLOOKUP(Table1[[#This Row],[/* Object]],Namespace!A:J,4,FALSE))</f>
        <v>X</v>
      </c>
      <c r="AG134" t="str">
        <f>IF(VLOOKUP(Table1[[#This Row],[/* Object]],Namespace!A:J,5,FALSE)=0,"",VLOOKUP(Table1[[#This Row],[/* Object]],Namespace!A:J,5,FALSE))</f>
        <v>X</v>
      </c>
      <c r="AH134" t="str">
        <f>IF(VLOOKUP(Table1[[#This Row],[/* Object]],Namespace!A:J,6,FALSE)=0,"",VLOOKUP(Table1[[#This Row],[/* Object]],Namespace!A:J,6,FALSE))</f>
        <v/>
      </c>
      <c r="AI134">
        <f>IFERROR(FIND("/",Table1[[#This Row],[Final Obj Name]],1),0)</f>
        <v>0</v>
      </c>
      <c r="AJ134">
        <f>IF(Table1[[#This Row],[Position 1]]=0,0,FIND("/",Table1[[#This Row],[Final Obj Name]],Table1[[#This Row],[Position 1]]+1))</f>
        <v>0</v>
      </c>
      <c r="AK134" t="str">
        <f>IF(LEFT(Table1[[#This Row],[Final Obj Name]],1)="/",LEFT(Table1[[#This Row],[Final Obj Name]],FIND("/",Table1[[#This Row],[Final Obj Name]],2)),"/0SAP/")</f>
        <v>/0SAP/</v>
      </c>
    </row>
    <row r="135">
      <c r="A135" t="str">
        <v>CLAS</v>
      </c>
      <c r="B135" t="str">
        <v>ZCL_REUSE_CUST_MAST_GEN_S4</v>
      </c>
      <c r="C135" t="str">
        <v>CPUB</v>
      </c>
      <c r="D135" t="str">
        <v>ZCL_REUSE_CUST_MAST_GEN_S4</v>
      </c>
      <c r="E135" t="str">
        <v>INTF</v>
      </c>
      <c r="G135" t="str">
        <v>ALL</v>
      </c>
      <c r="K135" t="str">
        <v>E</v>
      </c>
      <c r="L135" t="str">
        <v>CST_UKHANNA</v>
      </c>
      <c r="M135">
        <v>43711</v>
      </c>
      <c r="N135">
        <v>0.66413194444444</v>
      </c>
      <c r="W135" t="str">
        <v>X01K900530</v>
      </c>
      <c r="Y135">
        <f>IF(Table1[[#This Row],[OPERATION]]="NOTE","NOTE",Table1[[#This Row],[SUB_TYPE]])</f>
        <v>0</v>
      </c>
      <c r="Z135">
        <f>IF(Table1[[#This Row],[OPERATION]]="NOTE",NUMBERVALUE(LEFT(Table1[[#This Row],[MOD_NAME]],LEN(Table1[[#This Row],[MOD_NAME]])-4)),Table1[[#This Row],[SUB_NAME]])</f>
        <v>0</v>
      </c>
      <c r="AA135" t="str">
        <f>CONCAT(Table1[[#This Row],[Final Obj Type]],"|",Table1[[#This Row],[Final Obj Name]])</f>
        <v>0|0</v>
      </c>
      <c r="AB135" t="e">
        <f>VLOOKUP(Table1[[#This Row],[Final Obj Type]],Classification!B:E,3,FALSE)</f>
        <v>#N/A</v>
      </c>
      <c r="AC135" t="e">
        <f>VLOOKUP(Table1[[#This Row],[Final Obj Type]],Classification!B:E,4,FALSE)</f>
        <v>#N/A</v>
      </c>
      <c r="AD135" t="str">
        <f>IF(Table1[[#This Row],[Position 1]]=0,"/0SAP/",MID(Table1[[#This Row],[Final Obj Name]],Table1[[#This Row],[Position 1]],Table1[[#This Row],[Position 2]]-Table1[[#This Row],[Position 1]]+1))</f>
        <v>/0SAP/</v>
      </c>
      <c r="AE135" t="str">
        <f>VLOOKUP(Table1[[#This Row],[/* Object]],Namespace!A:J,10,FALSE)</f>
        <v>SAP AG</v>
      </c>
      <c r="AF135" t="str">
        <f>IF(VLOOKUP(Table1[[#This Row],[/* Object]],Namespace!A:J,4,FALSE)=0,"",VLOOKUP(Table1[[#This Row],[/* Object]],Namespace!A:J,4,FALSE))</f>
        <v>X</v>
      </c>
      <c r="AG135" t="str">
        <f>IF(VLOOKUP(Table1[[#This Row],[/* Object]],Namespace!A:J,5,FALSE)=0,"",VLOOKUP(Table1[[#This Row],[/* Object]],Namespace!A:J,5,FALSE))</f>
        <v>X</v>
      </c>
      <c r="AH135" t="str">
        <f>IF(VLOOKUP(Table1[[#This Row],[/* Object]],Namespace!A:J,6,FALSE)=0,"",VLOOKUP(Table1[[#This Row],[/* Object]],Namespace!A:J,6,FALSE))</f>
        <v/>
      </c>
      <c r="AI135">
        <f>IFERROR(FIND("/",Table1[[#This Row],[Final Obj Name]],1),0)</f>
        <v>0</v>
      </c>
      <c r="AJ135">
        <f>IF(Table1[[#This Row],[Position 1]]=0,0,FIND("/",Table1[[#This Row],[Final Obj Name]],Table1[[#This Row],[Position 1]]+1))</f>
        <v>0</v>
      </c>
      <c r="AK135" t="str">
        <f>IF(LEFT(Table1[[#This Row],[Final Obj Name]],1)="/",LEFT(Table1[[#This Row],[Final Obj Name]],FIND("/",Table1[[#This Row],[Final Obj Name]],2)),"/0SAP/")</f>
        <v>/0SAP/</v>
      </c>
    </row>
    <row r="136">
      <c r="A136" t="str">
        <v>CLAS</v>
      </c>
      <c r="B136" t="str">
        <v>ZCL_REUSE_CUST_MAST_GEN_S4</v>
      </c>
      <c r="C136" t="str">
        <v>METH</v>
      </c>
      <c r="D136" t="str">
        <v>ZCL_REUSE_CUST_MAST_GEN_S4    POST_CP</v>
      </c>
      <c r="E136" t="str">
        <v>PN</v>
      </c>
      <c r="G136" t="str">
        <v>MOD</v>
      </c>
      <c r="H136" t="str">
        <v>ZCL_REUSE_CUST_MAST_GEN_S4====CP</v>
      </c>
      <c r="K136" t="str">
        <v>E</v>
      </c>
      <c r="L136" t="str">
        <v>CST_PPHANEEN</v>
      </c>
      <c r="M136">
        <v>43699</v>
      </c>
      <c r="N136">
        <v>0.49984953703704</v>
      </c>
      <c r="W136" t="str">
        <v>X01K900316</v>
      </c>
      <c r="Y136">
        <f>IF(Table1[[#This Row],[OPERATION]]="NOTE","NOTE",Table1[[#This Row],[SUB_TYPE]])</f>
        <v>0</v>
      </c>
      <c r="Z136">
        <f>IF(Table1[[#This Row],[OPERATION]]="NOTE",NUMBERVALUE(LEFT(Table1[[#This Row],[MOD_NAME]],LEN(Table1[[#This Row],[MOD_NAME]])-4)),Table1[[#This Row],[SUB_NAME]])</f>
        <v>0</v>
      </c>
      <c r="AA136" t="str">
        <f>CONCAT(Table1[[#This Row],[Final Obj Type]],"|",Table1[[#This Row],[Final Obj Name]])</f>
        <v>0|0</v>
      </c>
      <c r="AB136" t="e">
        <f>VLOOKUP(Table1[[#This Row],[Final Obj Type]],Classification!B:E,3,FALSE)</f>
        <v>#N/A</v>
      </c>
      <c r="AC136" t="e">
        <f>VLOOKUP(Table1[[#This Row],[Final Obj Type]],Classification!B:E,4,FALSE)</f>
        <v>#N/A</v>
      </c>
      <c r="AD136" t="str">
        <f>IF(Table1[[#This Row],[Position 1]]=0,"/0SAP/",MID(Table1[[#This Row],[Final Obj Name]],Table1[[#This Row],[Position 1]],Table1[[#This Row],[Position 2]]-Table1[[#This Row],[Position 1]]+1))</f>
        <v>/0SAP/</v>
      </c>
      <c r="AE136" t="str">
        <f>VLOOKUP(Table1[[#This Row],[/* Object]],Namespace!A:J,10,FALSE)</f>
        <v>SAP AG</v>
      </c>
      <c r="AF136" t="str">
        <f>IF(VLOOKUP(Table1[[#This Row],[/* Object]],Namespace!A:J,4,FALSE)=0,"",VLOOKUP(Table1[[#This Row],[/* Object]],Namespace!A:J,4,FALSE))</f>
        <v>X</v>
      </c>
      <c r="AG136" t="str">
        <f>IF(VLOOKUP(Table1[[#This Row],[/* Object]],Namespace!A:J,5,FALSE)=0,"",VLOOKUP(Table1[[#This Row],[/* Object]],Namespace!A:J,5,FALSE))</f>
        <v>X</v>
      </c>
      <c r="AH136" t="str">
        <f>IF(VLOOKUP(Table1[[#This Row],[/* Object]],Namespace!A:J,6,FALSE)=0,"",VLOOKUP(Table1[[#This Row],[/* Object]],Namespace!A:J,6,FALSE))</f>
        <v/>
      </c>
      <c r="AI136">
        <f>IFERROR(FIND("/",Table1[[#This Row],[Final Obj Name]],1),0)</f>
        <v>0</v>
      </c>
      <c r="AJ136">
        <f>IF(Table1[[#This Row],[Position 1]]=0,0,FIND("/",Table1[[#This Row],[Final Obj Name]],Table1[[#This Row],[Position 1]]+1))</f>
        <v>0</v>
      </c>
      <c r="AK136" t="str">
        <f>IF(LEFT(Table1[[#This Row],[Final Obj Name]],1)="/",LEFT(Table1[[#This Row],[Final Obj Name]],FIND("/",Table1[[#This Row],[Final Obj Name]],2)),"/0SAP/")</f>
        <v>/0SAP/</v>
      </c>
    </row>
    <row r="137">
      <c r="A137" t="str">
        <v>CLAS</v>
      </c>
      <c r="B137" t="str">
        <v>ZCL_REUSE_CUST_MAST_GEN_S4</v>
      </c>
      <c r="C137" t="str">
        <v>METH</v>
      </c>
      <c r="D137" t="str">
        <v>ZCL_REUSE_CUST_MAST_GEN_S4    SELECT_DATA_FOR_VALIDATION</v>
      </c>
      <c r="E137" t="str">
        <v>PN</v>
      </c>
      <c r="G137" t="str">
        <v>MOD</v>
      </c>
      <c r="H137" t="str">
        <v>ZCL_REUSE_CUST_MAST_GEN_S4====CP</v>
      </c>
      <c r="K137" t="str">
        <v>E</v>
      </c>
      <c r="L137" t="str">
        <v>CST_UKHANNA</v>
      </c>
      <c r="M137">
        <v>43728</v>
      </c>
      <c r="N137">
        <v>0.33863425925926</v>
      </c>
      <c r="W137" t="str">
        <v>X01K900803</v>
      </c>
      <c r="Y137">
        <f>IF(Table1[[#This Row],[OPERATION]]="NOTE","NOTE",Table1[[#This Row],[SUB_TYPE]])</f>
        <v>0</v>
      </c>
      <c r="Z137">
        <f>IF(Table1[[#This Row],[OPERATION]]="NOTE",NUMBERVALUE(LEFT(Table1[[#This Row],[MOD_NAME]],LEN(Table1[[#This Row],[MOD_NAME]])-4)),Table1[[#This Row],[SUB_NAME]])</f>
        <v>0</v>
      </c>
      <c r="AA137" t="str">
        <f>CONCAT(Table1[[#This Row],[Final Obj Type]],"|",Table1[[#This Row],[Final Obj Name]])</f>
        <v>0|0</v>
      </c>
      <c r="AB137" t="e">
        <f>VLOOKUP(Table1[[#This Row],[Final Obj Type]],Classification!B:E,3,FALSE)</f>
        <v>#N/A</v>
      </c>
      <c r="AC137" t="e">
        <f>VLOOKUP(Table1[[#This Row],[Final Obj Type]],Classification!B:E,4,FALSE)</f>
        <v>#N/A</v>
      </c>
      <c r="AD137" t="str">
        <f>IF(Table1[[#This Row],[Position 1]]=0,"/0SAP/",MID(Table1[[#This Row],[Final Obj Name]],Table1[[#This Row],[Position 1]],Table1[[#This Row],[Position 2]]-Table1[[#This Row],[Position 1]]+1))</f>
        <v>/0SAP/</v>
      </c>
      <c r="AE137" t="str">
        <f>VLOOKUP(Table1[[#This Row],[/* Object]],Namespace!A:J,10,FALSE)</f>
        <v>SAP AG</v>
      </c>
      <c r="AF137" t="str">
        <f>IF(VLOOKUP(Table1[[#This Row],[/* Object]],Namespace!A:J,4,FALSE)=0,"",VLOOKUP(Table1[[#This Row],[/* Object]],Namespace!A:J,4,FALSE))</f>
        <v>X</v>
      </c>
      <c r="AG137" t="str">
        <f>IF(VLOOKUP(Table1[[#This Row],[/* Object]],Namespace!A:J,5,FALSE)=0,"",VLOOKUP(Table1[[#This Row],[/* Object]],Namespace!A:J,5,FALSE))</f>
        <v>X</v>
      </c>
      <c r="AH137" t="str">
        <f>IF(VLOOKUP(Table1[[#This Row],[/* Object]],Namespace!A:J,6,FALSE)=0,"",VLOOKUP(Table1[[#This Row],[/* Object]],Namespace!A:J,6,FALSE))</f>
        <v/>
      </c>
      <c r="AI137">
        <f>IFERROR(FIND("/",Table1[[#This Row],[Final Obj Name]],1),0)</f>
        <v>0</v>
      </c>
      <c r="AJ137">
        <f>IF(Table1[[#This Row],[Position 1]]=0,0,FIND("/",Table1[[#This Row],[Final Obj Name]],Table1[[#This Row],[Position 1]]+1))</f>
        <v>0</v>
      </c>
      <c r="AK137" t="str">
        <f>IF(LEFT(Table1[[#This Row],[Final Obj Name]],1)="/",LEFT(Table1[[#This Row],[Final Obj Name]],FIND("/",Table1[[#This Row],[Final Obj Name]],2)),"/0SAP/")</f>
        <v>/0SAP/</v>
      </c>
    </row>
    <row r="138">
      <c r="A138" t="str">
        <v>CLAS</v>
      </c>
      <c r="B138" t="str">
        <v>ZCL_REUSE_CUST_MAST_GEN_S4</v>
      </c>
      <c r="C138" t="str">
        <v>METH</v>
      </c>
      <c r="D138" t="str">
        <v>ZCL_REUSE_CUST_MAST_GEN_S4    VALIDATE_CP_DATA</v>
      </c>
      <c r="E138" t="str">
        <v>PN</v>
      </c>
      <c r="G138" t="str">
        <v>MOD</v>
      </c>
      <c r="H138" t="str">
        <v>ZCL_REUSE_CUST_MAST_GEN_S4====CP</v>
      </c>
      <c r="K138" t="str">
        <v>E</v>
      </c>
      <c r="L138" t="str">
        <v>CST_UKHANNA</v>
      </c>
      <c r="M138">
        <v>43711</v>
      </c>
      <c r="N138">
        <v>0.66299768518519</v>
      </c>
      <c r="W138" t="str">
        <v>X01K900530</v>
      </c>
      <c r="Y138">
        <f>IF(Table1[[#This Row],[OPERATION]]="NOTE","NOTE",Table1[[#This Row],[SUB_TYPE]])</f>
        <v>0</v>
      </c>
      <c r="Z138">
        <f>IF(Table1[[#This Row],[OPERATION]]="NOTE",NUMBERVALUE(LEFT(Table1[[#This Row],[MOD_NAME]],LEN(Table1[[#This Row],[MOD_NAME]])-4)),Table1[[#This Row],[SUB_NAME]])</f>
        <v>0</v>
      </c>
      <c r="AA138" t="str">
        <f>CONCAT(Table1[[#This Row],[Final Obj Type]],"|",Table1[[#This Row],[Final Obj Name]])</f>
        <v>0|0</v>
      </c>
      <c r="AB138" t="e">
        <f>VLOOKUP(Table1[[#This Row],[Final Obj Type]],Classification!B:E,3,FALSE)</f>
        <v>#N/A</v>
      </c>
      <c r="AC138" t="e">
        <f>VLOOKUP(Table1[[#This Row],[Final Obj Type]],Classification!B:E,4,FALSE)</f>
        <v>#N/A</v>
      </c>
      <c r="AD138" t="str">
        <f>IF(Table1[[#This Row],[Position 1]]=0,"/0SAP/",MID(Table1[[#This Row],[Final Obj Name]],Table1[[#This Row],[Position 1]],Table1[[#This Row],[Position 2]]-Table1[[#This Row],[Position 1]]+1))</f>
        <v>/0SAP/</v>
      </c>
      <c r="AE138" t="str">
        <f>VLOOKUP(Table1[[#This Row],[/* Object]],Namespace!A:J,10,FALSE)</f>
        <v>SAP AG</v>
      </c>
      <c r="AF138" t="str">
        <f>IF(VLOOKUP(Table1[[#This Row],[/* Object]],Namespace!A:J,4,FALSE)=0,"",VLOOKUP(Table1[[#This Row],[/* Object]],Namespace!A:J,4,FALSE))</f>
        <v>X</v>
      </c>
      <c r="AG138" t="str">
        <f>IF(VLOOKUP(Table1[[#This Row],[/* Object]],Namespace!A:J,5,FALSE)=0,"",VLOOKUP(Table1[[#This Row],[/* Object]],Namespace!A:J,5,FALSE))</f>
        <v>X</v>
      </c>
      <c r="AH138" t="str">
        <f>IF(VLOOKUP(Table1[[#This Row],[/* Object]],Namespace!A:J,6,FALSE)=0,"",VLOOKUP(Table1[[#This Row],[/* Object]],Namespace!A:J,6,FALSE))</f>
        <v/>
      </c>
      <c r="AI138">
        <f>IFERROR(FIND("/",Table1[[#This Row],[Final Obj Name]],1),0)</f>
        <v>0</v>
      </c>
      <c r="AJ138">
        <f>IF(Table1[[#This Row],[Position 1]]=0,0,FIND("/",Table1[[#This Row],[Final Obj Name]],Table1[[#This Row],[Position 1]]+1))</f>
        <v>0</v>
      </c>
      <c r="AK138" t="str">
        <f>IF(LEFT(Table1[[#This Row],[Final Obj Name]],1)="/",LEFT(Table1[[#This Row],[Final Obj Name]],FIND("/",Table1[[#This Row],[Final Obj Name]],2)),"/0SAP/")</f>
        <v>/0SAP/</v>
      </c>
    </row>
    <row r="139">
      <c r="A139" t="str">
        <v>CLAS</v>
      </c>
      <c r="B139" t="str">
        <v>ZCL_REUSE_CUST_MAST_GEN_S4</v>
      </c>
      <c r="C139" t="str">
        <v>REPT</v>
      </c>
      <c r="D139" t="str">
        <v>ZCL_REUSE_CUST_MAST_GEN_S4====CP</v>
      </c>
      <c r="G139" t="str">
        <v>ALL</v>
      </c>
      <c r="H139" t="str">
        <v>ZCL_REUSE_CUST_MAST_GEN_S4====CP</v>
      </c>
      <c r="K139" t="str">
        <v>E</v>
      </c>
      <c r="L139" t="str">
        <v>CST_UKHANNA</v>
      </c>
      <c r="M139">
        <v>43711</v>
      </c>
      <c r="N139">
        <v>0.61539351851852</v>
      </c>
      <c r="W139" t="str">
        <v>X01K900529</v>
      </c>
      <c r="Y139">
        <f>IF(Table1[[#This Row],[OPERATION]]="NOTE","NOTE",Table1[[#This Row],[SUB_TYPE]])</f>
        <v>0</v>
      </c>
      <c r="Z139">
        <f>IF(Table1[[#This Row],[OPERATION]]="NOTE",NUMBERVALUE(LEFT(Table1[[#This Row],[MOD_NAME]],LEN(Table1[[#This Row],[MOD_NAME]])-4)),Table1[[#This Row],[SUB_NAME]])</f>
        <v>0</v>
      </c>
      <c r="AA139" t="str">
        <f>CONCAT(Table1[[#This Row],[Final Obj Type]],"|",Table1[[#This Row],[Final Obj Name]])</f>
        <v>0|0</v>
      </c>
      <c r="AB139" t="e">
        <f>VLOOKUP(Table1[[#This Row],[Final Obj Type]],Classification!B:E,3,FALSE)</f>
        <v>#N/A</v>
      </c>
      <c r="AC139" t="e">
        <f>VLOOKUP(Table1[[#This Row],[Final Obj Type]],Classification!B:E,4,FALSE)</f>
        <v>#N/A</v>
      </c>
      <c r="AD139" t="str">
        <f>IF(Table1[[#This Row],[Position 1]]=0,"/0SAP/",MID(Table1[[#This Row],[Final Obj Name]],Table1[[#This Row],[Position 1]],Table1[[#This Row],[Position 2]]-Table1[[#This Row],[Position 1]]+1))</f>
        <v>/0SAP/</v>
      </c>
      <c r="AE139" t="str">
        <f>VLOOKUP(Table1[[#This Row],[/* Object]],Namespace!A:J,10,FALSE)</f>
        <v>SAP AG</v>
      </c>
      <c r="AF139" t="str">
        <f>IF(VLOOKUP(Table1[[#This Row],[/* Object]],Namespace!A:J,4,FALSE)=0,"",VLOOKUP(Table1[[#This Row],[/* Object]],Namespace!A:J,4,FALSE))</f>
        <v>X</v>
      </c>
      <c r="AG139" t="str">
        <f>IF(VLOOKUP(Table1[[#This Row],[/* Object]],Namespace!A:J,5,FALSE)=0,"",VLOOKUP(Table1[[#This Row],[/* Object]],Namespace!A:J,5,FALSE))</f>
        <v>X</v>
      </c>
      <c r="AH139" t="str">
        <f>IF(VLOOKUP(Table1[[#This Row],[/* Object]],Namespace!A:J,6,FALSE)=0,"",VLOOKUP(Table1[[#This Row],[/* Object]],Namespace!A:J,6,FALSE))</f>
        <v/>
      </c>
      <c r="AI139">
        <f>IFERROR(FIND("/",Table1[[#This Row],[Final Obj Name]],1),0)</f>
        <v>0</v>
      </c>
      <c r="AJ139">
        <f>IF(Table1[[#This Row],[Position 1]]=0,0,FIND("/",Table1[[#This Row],[Final Obj Name]],Table1[[#This Row],[Position 1]]+1))</f>
        <v>0</v>
      </c>
      <c r="AK139" t="str">
        <f>IF(LEFT(Table1[[#This Row],[Final Obj Name]],1)="/",LEFT(Table1[[#This Row],[Final Obj Name]],FIND("/",Table1[[#This Row],[Final Obj Name]],2)),"/0SAP/")</f>
        <v>/0SAP/</v>
      </c>
    </row>
    <row r="140">
      <c r="A140" t="str">
        <v>CLAS</v>
      </c>
      <c r="B140" t="str">
        <v>ZCL_REUSE_CUST_MAST_GEN_S4_NEW</v>
      </c>
      <c r="C140" t="str">
        <v>CPRI</v>
      </c>
      <c r="D140" t="str">
        <v>ZCL_REUSE_CUST_MAST_GEN_S4_NEW</v>
      </c>
      <c r="E140" t="str">
        <v>INTF</v>
      </c>
      <c r="G140" t="str">
        <v>ALL</v>
      </c>
      <c r="K140" t="str">
        <v>E</v>
      </c>
      <c r="L140" t="str">
        <v>CST_UKHANNA</v>
      </c>
      <c r="M140">
        <v>43728</v>
      </c>
      <c r="N140">
        <v>0.31267361111111</v>
      </c>
      <c r="W140" t="str">
        <v>X01K900708</v>
      </c>
      <c r="Y140">
        <f>IF(Table1[[#This Row],[OPERATION]]="NOTE","NOTE",Table1[[#This Row],[SUB_TYPE]])</f>
        <v>0</v>
      </c>
      <c r="Z140">
        <f>IF(Table1[[#This Row],[OPERATION]]="NOTE",NUMBERVALUE(LEFT(Table1[[#This Row],[MOD_NAME]],LEN(Table1[[#This Row],[MOD_NAME]])-4)),Table1[[#This Row],[SUB_NAME]])</f>
        <v>0</v>
      </c>
      <c r="AA140" t="str">
        <f>CONCAT(Table1[[#This Row],[Final Obj Type]],"|",Table1[[#This Row],[Final Obj Name]])</f>
        <v>0|0</v>
      </c>
      <c r="AB140" t="e">
        <f>VLOOKUP(Table1[[#This Row],[Final Obj Type]],Classification!B:E,3,FALSE)</f>
        <v>#N/A</v>
      </c>
      <c r="AC140" t="e">
        <f>VLOOKUP(Table1[[#This Row],[Final Obj Type]],Classification!B:E,4,FALSE)</f>
        <v>#N/A</v>
      </c>
      <c r="AD140" t="str">
        <f>IF(Table1[[#This Row],[Position 1]]=0,"/0SAP/",MID(Table1[[#This Row],[Final Obj Name]],Table1[[#This Row],[Position 1]],Table1[[#This Row],[Position 2]]-Table1[[#This Row],[Position 1]]+1))</f>
        <v>/0SAP/</v>
      </c>
      <c r="AE140" t="str">
        <f>VLOOKUP(Table1[[#This Row],[/* Object]],Namespace!A:J,10,FALSE)</f>
        <v>SAP AG</v>
      </c>
      <c r="AF140" t="str">
        <f>IF(VLOOKUP(Table1[[#This Row],[/* Object]],Namespace!A:J,4,FALSE)=0,"",VLOOKUP(Table1[[#This Row],[/* Object]],Namespace!A:J,4,FALSE))</f>
        <v>X</v>
      </c>
      <c r="AG140" t="str">
        <f>IF(VLOOKUP(Table1[[#This Row],[/* Object]],Namespace!A:J,5,FALSE)=0,"",VLOOKUP(Table1[[#This Row],[/* Object]],Namespace!A:J,5,FALSE))</f>
        <v>X</v>
      </c>
      <c r="AH140" t="str">
        <f>IF(VLOOKUP(Table1[[#This Row],[/* Object]],Namespace!A:J,6,FALSE)=0,"",VLOOKUP(Table1[[#This Row],[/* Object]],Namespace!A:J,6,FALSE))</f>
        <v/>
      </c>
      <c r="AI140">
        <f>IFERROR(FIND("/",Table1[[#This Row],[Final Obj Name]],1),0)</f>
        <v>0</v>
      </c>
      <c r="AJ140">
        <f>IF(Table1[[#This Row],[Position 1]]=0,0,FIND("/",Table1[[#This Row],[Final Obj Name]],Table1[[#This Row],[Position 1]]+1))</f>
        <v>0</v>
      </c>
      <c r="AK140" t="str">
        <f>IF(LEFT(Table1[[#This Row],[Final Obj Name]],1)="/",LEFT(Table1[[#This Row],[Final Obj Name]],FIND("/",Table1[[#This Row],[Final Obj Name]],2)),"/0SAP/")</f>
        <v>/0SAP/</v>
      </c>
    </row>
    <row r="141">
      <c r="A141" t="str">
        <v>CLAS</v>
      </c>
      <c r="B141" t="str">
        <v>ZCL_REUSE_CUST_MAST_GEN_S4_NEW</v>
      </c>
      <c r="C141" t="str">
        <v>METH</v>
      </c>
      <c r="D141" t="str">
        <v>ZCL_REUSE_CUST_MAST_GEN_S4_NEWCREATE_ZTRP_CUSTOMER</v>
      </c>
      <c r="E141" t="str">
        <v>PN</v>
      </c>
      <c r="G141" t="str">
        <v>MOD</v>
      </c>
      <c r="H141" t="str">
        <v>ZCL_REUSE_CUST_MAST_GEN_S4_NEWCP</v>
      </c>
      <c r="K141" t="str">
        <v>E</v>
      </c>
      <c r="L141" t="str">
        <v>CST_UKHANNA</v>
      </c>
      <c r="M141">
        <v>43728</v>
      </c>
      <c r="N141">
        <v>0.32789351851852</v>
      </c>
      <c r="W141" t="str">
        <v>X01K900708</v>
      </c>
      <c r="Y141">
        <f>IF(Table1[[#This Row],[OPERATION]]="NOTE","NOTE",Table1[[#This Row],[SUB_TYPE]])</f>
        <v>0</v>
      </c>
      <c r="Z141">
        <f>IF(Table1[[#This Row],[OPERATION]]="NOTE",NUMBERVALUE(LEFT(Table1[[#This Row],[MOD_NAME]],LEN(Table1[[#This Row],[MOD_NAME]])-4)),Table1[[#This Row],[SUB_NAME]])</f>
        <v>0</v>
      </c>
      <c r="AA141" t="str">
        <f>CONCAT(Table1[[#This Row],[Final Obj Type]],"|",Table1[[#This Row],[Final Obj Name]])</f>
        <v>0|0</v>
      </c>
      <c r="AB141" t="e">
        <f>VLOOKUP(Table1[[#This Row],[Final Obj Type]],Classification!B:E,3,FALSE)</f>
        <v>#N/A</v>
      </c>
      <c r="AC141" t="e">
        <f>VLOOKUP(Table1[[#This Row],[Final Obj Type]],Classification!B:E,4,FALSE)</f>
        <v>#N/A</v>
      </c>
      <c r="AD141" t="str">
        <f>IF(Table1[[#This Row],[Position 1]]=0,"/0SAP/",MID(Table1[[#This Row],[Final Obj Name]],Table1[[#This Row],[Position 1]],Table1[[#This Row],[Position 2]]-Table1[[#This Row],[Position 1]]+1))</f>
        <v>/0SAP/</v>
      </c>
      <c r="AE141" t="str">
        <f>VLOOKUP(Table1[[#This Row],[/* Object]],Namespace!A:J,10,FALSE)</f>
        <v>SAP AG</v>
      </c>
      <c r="AF141" t="str">
        <f>IF(VLOOKUP(Table1[[#This Row],[/* Object]],Namespace!A:J,4,FALSE)=0,"",VLOOKUP(Table1[[#This Row],[/* Object]],Namespace!A:J,4,FALSE))</f>
        <v>X</v>
      </c>
      <c r="AG141" t="str">
        <f>IF(VLOOKUP(Table1[[#This Row],[/* Object]],Namespace!A:J,5,FALSE)=0,"",VLOOKUP(Table1[[#This Row],[/* Object]],Namespace!A:J,5,FALSE))</f>
        <v>X</v>
      </c>
      <c r="AH141" t="str">
        <f>IF(VLOOKUP(Table1[[#This Row],[/* Object]],Namespace!A:J,6,FALSE)=0,"",VLOOKUP(Table1[[#This Row],[/* Object]],Namespace!A:J,6,FALSE))</f>
        <v/>
      </c>
      <c r="AI141">
        <f>IFERROR(FIND("/",Table1[[#This Row],[Final Obj Name]],1),0)</f>
        <v>0</v>
      </c>
      <c r="AJ141">
        <f>IF(Table1[[#This Row],[Position 1]]=0,0,FIND("/",Table1[[#This Row],[Final Obj Name]],Table1[[#This Row],[Position 1]]+1))</f>
        <v>0</v>
      </c>
      <c r="AK141" t="str">
        <f>IF(LEFT(Table1[[#This Row],[Final Obj Name]],1)="/",LEFT(Table1[[#This Row],[Final Obj Name]],FIND("/",Table1[[#This Row],[Final Obj Name]],2)),"/0SAP/")</f>
        <v>/0SAP/</v>
      </c>
    </row>
    <row r="142">
      <c r="A142" t="str">
        <v>CLAS</v>
      </c>
      <c r="B142" t="str">
        <v>ZCL_REUSE_CUST_MAST_GEN_S4_NEW</v>
      </c>
      <c r="C142" t="str">
        <v>METH</v>
      </c>
      <c r="D142" t="str">
        <v>ZCL_REUSE_CUST_MAST_GEN_S4_NEWPOPULATE_CENTRAL_DATA</v>
      </c>
      <c r="G142" t="str">
        <v>ALL</v>
      </c>
      <c r="L142" t="str">
        <v>CST_UKHANNA</v>
      </c>
      <c r="M142">
        <v>43727</v>
      </c>
      <c r="N142">
        <v>0.65385416666667</v>
      </c>
      <c r="P142" t="str">
        <v>R</v>
      </c>
      <c r="S142" t="str">
        <v>X</v>
      </c>
      <c r="W142" t="str">
        <v>X01K900708</v>
      </c>
      <c r="Y142">
        <f>IF(Table1[[#This Row],[OPERATION]]="NOTE","NOTE",Table1[[#This Row],[SUB_TYPE]])</f>
        <v>0</v>
      </c>
      <c r="Z142">
        <f>IF(Table1[[#This Row],[OPERATION]]="NOTE",NUMBERVALUE(LEFT(Table1[[#This Row],[MOD_NAME]],LEN(Table1[[#This Row],[MOD_NAME]])-4)),Table1[[#This Row],[SUB_NAME]])</f>
        <v>0</v>
      </c>
      <c r="AA142" t="str">
        <f>CONCAT(Table1[[#This Row],[Final Obj Type]],"|",Table1[[#This Row],[Final Obj Name]])</f>
        <v>0|0</v>
      </c>
      <c r="AB142" t="e">
        <f>VLOOKUP(Table1[[#This Row],[Final Obj Type]],Classification!B:E,3,FALSE)</f>
        <v>#N/A</v>
      </c>
      <c r="AC142" t="e">
        <f>VLOOKUP(Table1[[#This Row],[Final Obj Type]],Classification!B:E,4,FALSE)</f>
        <v>#N/A</v>
      </c>
      <c r="AD142" t="str">
        <f>IF(Table1[[#This Row],[Position 1]]=0,"/0SAP/",MID(Table1[[#This Row],[Final Obj Name]],Table1[[#This Row],[Position 1]],Table1[[#This Row],[Position 2]]-Table1[[#This Row],[Position 1]]+1))</f>
        <v>/0SAP/</v>
      </c>
      <c r="AE142" t="str">
        <f>VLOOKUP(Table1[[#This Row],[/* Object]],Namespace!A:J,10,FALSE)</f>
        <v>SAP AG</v>
      </c>
      <c r="AF142" t="str">
        <f>IF(VLOOKUP(Table1[[#This Row],[/* Object]],Namespace!A:J,4,FALSE)=0,"",VLOOKUP(Table1[[#This Row],[/* Object]],Namespace!A:J,4,FALSE))</f>
        <v>X</v>
      </c>
      <c r="AG142" t="str">
        <f>IF(VLOOKUP(Table1[[#This Row],[/* Object]],Namespace!A:J,5,FALSE)=0,"",VLOOKUP(Table1[[#This Row],[/* Object]],Namespace!A:J,5,FALSE))</f>
        <v>X</v>
      </c>
      <c r="AH142" t="str">
        <f>IF(VLOOKUP(Table1[[#This Row],[/* Object]],Namespace!A:J,6,FALSE)=0,"",VLOOKUP(Table1[[#This Row],[/* Object]],Namespace!A:J,6,FALSE))</f>
        <v/>
      </c>
      <c r="AI142">
        <f>IFERROR(FIND("/",Table1[[#This Row],[Final Obj Name]],1),0)</f>
        <v>0</v>
      </c>
      <c r="AJ142">
        <f>IF(Table1[[#This Row],[Position 1]]=0,0,FIND("/",Table1[[#This Row],[Final Obj Name]],Table1[[#This Row],[Position 1]]+1))</f>
        <v>0</v>
      </c>
      <c r="AK142" t="str">
        <f>IF(LEFT(Table1[[#This Row],[Final Obj Name]],1)="/",LEFT(Table1[[#This Row],[Final Obj Name]],FIND("/",Table1[[#This Row],[Final Obj Name]],2)),"/0SAP/")</f>
        <v>/0SAP/</v>
      </c>
    </row>
    <row r="143">
      <c r="A143" t="str">
        <v>CLAS</v>
      </c>
      <c r="B143" t="str">
        <v>ZCL_REUSE_CUST_MAST_GEN_S4_NEW</v>
      </c>
      <c r="C143" t="str">
        <v>METH</v>
      </c>
      <c r="D143" t="str">
        <v>ZCL_REUSE_CUST_MAST_GEN_S4_NEWPOPULATE_SALES_DATA</v>
      </c>
      <c r="E143" t="str">
        <v>PN</v>
      </c>
      <c r="G143" t="str">
        <v>MOD</v>
      </c>
      <c r="H143" t="str">
        <v>ZCL_REUSE_CUST_MAST_GEN_S4_NEWCP</v>
      </c>
      <c r="K143" t="str">
        <v>E</v>
      </c>
      <c r="L143" t="str">
        <v>CST_PPHANEEN</v>
      </c>
      <c r="M143">
        <v>43696</v>
      </c>
      <c r="N143">
        <v>0.28939814814815</v>
      </c>
      <c r="W143" t="str">
        <v>X01K900316</v>
      </c>
      <c r="Y143">
        <f>IF(Table1[[#This Row],[OPERATION]]="NOTE","NOTE",Table1[[#This Row],[SUB_TYPE]])</f>
        <v>0</v>
      </c>
      <c r="Z143">
        <f>IF(Table1[[#This Row],[OPERATION]]="NOTE",NUMBERVALUE(LEFT(Table1[[#This Row],[MOD_NAME]],LEN(Table1[[#This Row],[MOD_NAME]])-4)),Table1[[#This Row],[SUB_NAME]])</f>
        <v>0</v>
      </c>
      <c r="AA143" t="str">
        <f>CONCAT(Table1[[#This Row],[Final Obj Type]],"|",Table1[[#This Row],[Final Obj Name]])</f>
        <v>0|0</v>
      </c>
      <c r="AB143" t="e">
        <f>VLOOKUP(Table1[[#This Row],[Final Obj Type]],Classification!B:E,3,FALSE)</f>
        <v>#N/A</v>
      </c>
      <c r="AC143" t="e">
        <f>VLOOKUP(Table1[[#This Row],[Final Obj Type]],Classification!B:E,4,FALSE)</f>
        <v>#N/A</v>
      </c>
      <c r="AD143" t="str">
        <f>IF(Table1[[#This Row],[Position 1]]=0,"/0SAP/",MID(Table1[[#This Row],[Final Obj Name]],Table1[[#This Row],[Position 1]],Table1[[#This Row],[Position 2]]-Table1[[#This Row],[Position 1]]+1))</f>
        <v>/0SAP/</v>
      </c>
      <c r="AE143" t="str">
        <f>VLOOKUP(Table1[[#This Row],[/* Object]],Namespace!A:J,10,FALSE)</f>
        <v>SAP AG</v>
      </c>
      <c r="AF143" t="str">
        <f>IF(VLOOKUP(Table1[[#This Row],[/* Object]],Namespace!A:J,4,FALSE)=0,"",VLOOKUP(Table1[[#This Row],[/* Object]],Namespace!A:J,4,FALSE))</f>
        <v>X</v>
      </c>
      <c r="AG143" t="str">
        <f>IF(VLOOKUP(Table1[[#This Row],[/* Object]],Namespace!A:J,5,FALSE)=0,"",VLOOKUP(Table1[[#This Row],[/* Object]],Namespace!A:J,5,FALSE))</f>
        <v>X</v>
      </c>
      <c r="AH143" t="str">
        <f>IF(VLOOKUP(Table1[[#This Row],[/* Object]],Namespace!A:J,6,FALSE)=0,"",VLOOKUP(Table1[[#This Row],[/* Object]],Namespace!A:J,6,FALSE))</f>
        <v/>
      </c>
      <c r="AI143">
        <f>IFERROR(FIND("/",Table1[[#This Row],[Final Obj Name]],1),0)</f>
        <v>0</v>
      </c>
      <c r="AJ143">
        <f>IF(Table1[[#This Row],[Position 1]]=0,0,FIND("/",Table1[[#This Row],[Final Obj Name]],Table1[[#This Row],[Position 1]]+1))</f>
        <v>0</v>
      </c>
      <c r="AK143" t="str">
        <f>IF(LEFT(Table1[[#This Row],[Final Obj Name]],1)="/",LEFT(Table1[[#This Row],[Final Obj Name]],FIND("/",Table1[[#This Row],[Final Obj Name]],2)),"/0SAP/")</f>
        <v>/0SAP/</v>
      </c>
    </row>
    <row r="144">
      <c r="A144" t="str">
        <v>CLAS</v>
      </c>
      <c r="B144" t="str">
        <v>ZCL_REUSE_CUST_MAST_GEN_S4_NEW</v>
      </c>
      <c r="C144" t="str">
        <v>METH</v>
      </c>
      <c r="D144" t="str">
        <v>ZCL_REUSE_CUST_MAST_GEN_S4_NEWPOST_GENERAL</v>
      </c>
      <c r="E144" t="str">
        <v>PN</v>
      </c>
      <c r="G144" t="str">
        <v>MOD</v>
      </c>
      <c r="H144" t="str">
        <v>ZCL_REUSE_CUST_MAST_GEN_S4_NEWCP</v>
      </c>
      <c r="K144" t="str">
        <v>E</v>
      </c>
      <c r="L144" t="str">
        <v>CST_UKHANNA</v>
      </c>
      <c r="M144">
        <v>43728</v>
      </c>
      <c r="N144">
        <v>0.3396412037037</v>
      </c>
      <c r="W144" t="str">
        <v>X01K900708</v>
      </c>
      <c r="Y144">
        <f>IF(Table1[[#This Row],[OPERATION]]="NOTE","NOTE",Table1[[#This Row],[SUB_TYPE]])</f>
        <v>0</v>
      </c>
      <c r="Z144">
        <f>IF(Table1[[#This Row],[OPERATION]]="NOTE",NUMBERVALUE(LEFT(Table1[[#This Row],[MOD_NAME]],LEN(Table1[[#This Row],[MOD_NAME]])-4)),Table1[[#This Row],[SUB_NAME]])</f>
        <v>0</v>
      </c>
      <c r="AA144" t="str">
        <f>CONCAT(Table1[[#This Row],[Final Obj Type]],"|",Table1[[#This Row],[Final Obj Name]])</f>
        <v>0|0</v>
      </c>
      <c r="AB144" t="e">
        <f>VLOOKUP(Table1[[#This Row],[Final Obj Type]],Classification!B:E,3,FALSE)</f>
        <v>#N/A</v>
      </c>
      <c r="AC144" t="e">
        <f>VLOOKUP(Table1[[#This Row],[Final Obj Type]],Classification!B:E,4,FALSE)</f>
        <v>#N/A</v>
      </c>
      <c r="AD144" t="str">
        <f>IF(Table1[[#This Row],[Position 1]]=0,"/0SAP/",MID(Table1[[#This Row],[Final Obj Name]],Table1[[#This Row],[Position 1]],Table1[[#This Row],[Position 2]]-Table1[[#This Row],[Position 1]]+1))</f>
        <v>/0SAP/</v>
      </c>
      <c r="AE144" t="str">
        <f>VLOOKUP(Table1[[#This Row],[/* Object]],Namespace!A:J,10,FALSE)</f>
        <v>SAP AG</v>
      </c>
      <c r="AF144" t="str">
        <f>IF(VLOOKUP(Table1[[#This Row],[/* Object]],Namespace!A:J,4,FALSE)=0,"",VLOOKUP(Table1[[#This Row],[/* Object]],Namespace!A:J,4,FALSE))</f>
        <v>X</v>
      </c>
      <c r="AG144" t="str">
        <f>IF(VLOOKUP(Table1[[#This Row],[/* Object]],Namespace!A:J,5,FALSE)=0,"",VLOOKUP(Table1[[#This Row],[/* Object]],Namespace!A:J,5,FALSE))</f>
        <v>X</v>
      </c>
      <c r="AH144" t="str">
        <f>IF(VLOOKUP(Table1[[#This Row],[/* Object]],Namespace!A:J,6,FALSE)=0,"",VLOOKUP(Table1[[#This Row],[/* Object]],Namespace!A:J,6,FALSE))</f>
        <v/>
      </c>
      <c r="AI144">
        <f>IFERROR(FIND("/",Table1[[#This Row],[Final Obj Name]],1),0)</f>
        <v>0</v>
      </c>
      <c r="AJ144">
        <f>IF(Table1[[#This Row],[Position 1]]=0,0,FIND("/",Table1[[#This Row],[Final Obj Name]],Table1[[#This Row],[Position 1]]+1))</f>
        <v>0</v>
      </c>
      <c r="AK144" t="str">
        <f>IF(LEFT(Table1[[#This Row],[Final Obj Name]],1)="/",LEFT(Table1[[#This Row],[Final Obj Name]],FIND("/",Table1[[#This Row],[Final Obj Name]],2)),"/0SAP/")</f>
        <v>/0SAP/</v>
      </c>
    </row>
    <row r="145">
      <c r="A145" t="str">
        <v>CLAS</v>
      </c>
      <c r="B145" t="str">
        <v>ZCL_REUSE_CUST_MAST_GEN_S4_NEW</v>
      </c>
      <c r="C145" t="str">
        <v>METH</v>
      </c>
      <c r="D145" t="str">
        <v>ZCL_REUSE_CUST_MAST_GEN_S4_NEWVALIDATE_BANK_DATA</v>
      </c>
      <c r="E145" t="str">
        <v>PN</v>
      </c>
      <c r="G145" t="str">
        <v>MOD</v>
      </c>
      <c r="H145" t="str">
        <v>ZCL_REUSE_CUST_MAST_GEN_S4_NEWCP</v>
      </c>
      <c r="K145" t="str">
        <v>E</v>
      </c>
      <c r="L145" t="str">
        <v>CST_UKHANNA</v>
      </c>
      <c r="M145">
        <v>43721</v>
      </c>
      <c r="N145">
        <v>0.53454861111111</v>
      </c>
      <c r="W145" t="str">
        <v>X01K900708</v>
      </c>
      <c r="Y145">
        <f>IF(Table1[[#This Row],[OPERATION]]="NOTE","NOTE",Table1[[#This Row],[SUB_TYPE]])</f>
        <v>0</v>
      </c>
      <c r="Z145">
        <f>IF(Table1[[#This Row],[OPERATION]]="NOTE",NUMBERVALUE(LEFT(Table1[[#This Row],[MOD_NAME]],LEN(Table1[[#This Row],[MOD_NAME]])-4)),Table1[[#This Row],[SUB_NAME]])</f>
        <v>0</v>
      </c>
      <c r="AA145" t="str">
        <f>CONCAT(Table1[[#This Row],[Final Obj Type]],"|",Table1[[#This Row],[Final Obj Name]])</f>
        <v>0|0</v>
      </c>
      <c r="AB145" t="e">
        <f>VLOOKUP(Table1[[#This Row],[Final Obj Type]],Classification!B:E,3,FALSE)</f>
        <v>#N/A</v>
      </c>
      <c r="AC145" t="e">
        <f>VLOOKUP(Table1[[#This Row],[Final Obj Type]],Classification!B:E,4,FALSE)</f>
        <v>#N/A</v>
      </c>
      <c r="AD145" t="str">
        <f>IF(Table1[[#This Row],[Position 1]]=0,"/0SAP/",MID(Table1[[#This Row],[Final Obj Name]],Table1[[#This Row],[Position 1]],Table1[[#This Row],[Position 2]]-Table1[[#This Row],[Position 1]]+1))</f>
        <v>/0SAP/</v>
      </c>
      <c r="AE145" t="str">
        <f>VLOOKUP(Table1[[#This Row],[/* Object]],Namespace!A:J,10,FALSE)</f>
        <v>SAP AG</v>
      </c>
      <c r="AF145" t="str">
        <f>IF(VLOOKUP(Table1[[#This Row],[/* Object]],Namespace!A:J,4,FALSE)=0,"",VLOOKUP(Table1[[#This Row],[/* Object]],Namespace!A:J,4,FALSE))</f>
        <v>X</v>
      </c>
      <c r="AG145" t="str">
        <f>IF(VLOOKUP(Table1[[#This Row],[/* Object]],Namespace!A:J,5,FALSE)=0,"",VLOOKUP(Table1[[#This Row],[/* Object]],Namespace!A:J,5,FALSE))</f>
        <v>X</v>
      </c>
      <c r="AH145" t="str">
        <f>IF(VLOOKUP(Table1[[#This Row],[/* Object]],Namespace!A:J,6,FALSE)=0,"",VLOOKUP(Table1[[#This Row],[/* Object]],Namespace!A:J,6,FALSE))</f>
        <v/>
      </c>
      <c r="AI145">
        <f>IFERROR(FIND("/",Table1[[#This Row],[Final Obj Name]],1),0)</f>
        <v>0</v>
      </c>
      <c r="AJ145">
        <f>IF(Table1[[#This Row],[Position 1]]=0,0,FIND("/",Table1[[#This Row],[Final Obj Name]],Table1[[#This Row],[Position 1]]+1))</f>
        <v>0</v>
      </c>
      <c r="AK145" t="str">
        <f>IF(LEFT(Table1[[#This Row],[Final Obj Name]],1)="/",LEFT(Table1[[#This Row],[Final Obj Name]],FIND("/",Table1[[#This Row],[Final Obj Name]],2)),"/0SAP/")</f>
        <v>/0SAP/</v>
      </c>
    </row>
    <row r="146">
      <c r="A146" t="str">
        <v>CLAS</v>
      </c>
      <c r="B146" t="str">
        <v>ZCL_REUSE_CUST_MAST_GEN_S4_NEW</v>
      </c>
      <c r="C146" t="str">
        <v>METH</v>
      </c>
      <c r="D146" t="str">
        <v>ZCL_REUSE_CUST_MAST_GEN_S4_NEWVALIDATE_LIC_DATA</v>
      </c>
      <c r="E146" t="str">
        <v>PN</v>
      </c>
      <c r="G146" t="str">
        <v>MOD</v>
      </c>
      <c r="H146" t="str">
        <v>ZCL_REUSE_CUST_MAST_GEN_S4_NEWCP</v>
      </c>
      <c r="K146" t="str">
        <v>E</v>
      </c>
      <c r="L146" t="str">
        <v>CST_UKHANNA</v>
      </c>
      <c r="M146">
        <v>43721</v>
      </c>
      <c r="N146">
        <v>0.53578703703704</v>
      </c>
      <c r="W146" t="str">
        <v>X01K900708</v>
      </c>
      <c r="Y146">
        <f>IF(Table1[[#This Row],[OPERATION]]="NOTE","NOTE",Table1[[#This Row],[SUB_TYPE]])</f>
        <v>0</v>
      </c>
      <c r="Z146">
        <f>IF(Table1[[#This Row],[OPERATION]]="NOTE",NUMBERVALUE(LEFT(Table1[[#This Row],[MOD_NAME]],LEN(Table1[[#This Row],[MOD_NAME]])-4)),Table1[[#This Row],[SUB_NAME]])</f>
        <v>0</v>
      </c>
      <c r="AA146" t="str">
        <f>CONCAT(Table1[[#This Row],[Final Obj Type]],"|",Table1[[#This Row],[Final Obj Name]])</f>
        <v>0|0</v>
      </c>
      <c r="AB146" t="e">
        <f>VLOOKUP(Table1[[#This Row],[Final Obj Type]],Classification!B:E,3,FALSE)</f>
        <v>#N/A</v>
      </c>
      <c r="AC146" t="e">
        <f>VLOOKUP(Table1[[#This Row],[Final Obj Type]],Classification!B:E,4,FALSE)</f>
        <v>#N/A</v>
      </c>
      <c r="AD146" t="str">
        <f>IF(Table1[[#This Row],[Position 1]]=0,"/0SAP/",MID(Table1[[#This Row],[Final Obj Name]],Table1[[#This Row],[Position 1]],Table1[[#This Row],[Position 2]]-Table1[[#This Row],[Position 1]]+1))</f>
        <v>/0SAP/</v>
      </c>
      <c r="AE146" t="str">
        <f>VLOOKUP(Table1[[#This Row],[/* Object]],Namespace!A:J,10,FALSE)</f>
        <v>SAP AG</v>
      </c>
      <c r="AF146" t="str">
        <f>IF(VLOOKUP(Table1[[#This Row],[/* Object]],Namespace!A:J,4,FALSE)=0,"",VLOOKUP(Table1[[#This Row],[/* Object]],Namespace!A:J,4,FALSE))</f>
        <v>X</v>
      </c>
      <c r="AG146" t="str">
        <f>IF(VLOOKUP(Table1[[#This Row],[/* Object]],Namespace!A:J,5,FALSE)=0,"",VLOOKUP(Table1[[#This Row],[/* Object]],Namespace!A:J,5,FALSE))</f>
        <v>X</v>
      </c>
      <c r="AH146" t="str">
        <f>IF(VLOOKUP(Table1[[#This Row],[/* Object]],Namespace!A:J,6,FALSE)=0,"",VLOOKUP(Table1[[#This Row],[/* Object]],Namespace!A:J,6,FALSE))</f>
        <v/>
      </c>
      <c r="AI146">
        <f>IFERROR(FIND("/",Table1[[#This Row],[Final Obj Name]],1),0)</f>
        <v>0</v>
      </c>
      <c r="AJ146">
        <f>IF(Table1[[#This Row],[Position 1]]=0,0,FIND("/",Table1[[#This Row],[Final Obj Name]],Table1[[#This Row],[Position 1]]+1))</f>
        <v>0</v>
      </c>
      <c r="AK146" t="str">
        <f>IF(LEFT(Table1[[#This Row],[Final Obj Name]],1)="/",LEFT(Table1[[#This Row],[Final Obj Name]],FIND("/",Table1[[#This Row],[Final Obj Name]],2)),"/0SAP/")</f>
        <v>/0SAP/</v>
      </c>
    </row>
    <row r="147">
      <c r="A147" t="str">
        <v>CLAS</v>
      </c>
      <c r="B147" t="str">
        <v>ZCL_REUSE_CUST_MAST_GEN_S4_NEW</v>
      </c>
      <c r="C147" t="str">
        <v>METH</v>
      </c>
      <c r="D147" t="str">
        <v>ZCL_REUSE_CUST_MAST_GEN_S4_NEWVALIDATE_PF_INITIAL_SCN</v>
      </c>
      <c r="E147" t="str">
        <v>PN</v>
      </c>
      <c r="G147" t="str">
        <v>MOD</v>
      </c>
      <c r="H147" t="str">
        <v>ZCL_REUSE_CUST_MAST_GEN_S4_NEWCP</v>
      </c>
      <c r="K147" t="str">
        <v>E</v>
      </c>
      <c r="L147" t="str">
        <v>CST_UKHANNA</v>
      </c>
      <c r="M147">
        <v>43721</v>
      </c>
      <c r="N147">
        <v>0.53225694444444</v>
      </c>
      <c r="W147" t="str">
        <v>X01K900708</v>
      </c>
      <c r="Y147">
        <f>IF(Table1[[#This Row],[OPERATION]]="NOTE","NOTE",Table1[[#This Row],[SUB_TYPE]])</f>
        <v>0</v>
      </c>
      <c r="Z147">
        <f>IF(Table1[[#This Row],[OPERATION]]="NOTE",NUMBERVALUE(LEFT(Table1[[#This Row],[MOD_NAME]],LEN(Table1[[#This Row],[MOD_NAME]])-4)),Table1[[#This Row],[SUB_NAME]])</f>
        <v>0</v>
      </c>
      <c r="AA147" t="str">
        <f>CONCAT(Table1[[#This Row],[Final Obj Type]],"|",Table1[[#This Row],[Final Obj Name]])</f>
        <v>0|0</v>
      </c>
      <c r="AB147" t="e">
        <f>VLOOKUP(Table1[[#This Row],[Final Obj Type]],Classification!B:E,3,FALSE)</f>
        <v>#N/A</v>
      </c>
      <c r="AC147" t="e">
        <f>VLOOKUP(Table1[[#This Row],[Final Obj Type]],Classification!B:E,4,FALSE)</f>
        <v>#N/A</v>
      </c>
      <c r="AD147" t="str">
        <f>IF(Table1[[#This Row],[Position 1]]=0,"/0SAP/",MID(Table1[[#This Row],[Final Obj Name]],Table1[[#This Row],[Position 1]],Table1[[#This Row],[Position 2]]-Table1[[#This Row],[Position 1]]+1))</f>
        <v>/0SAP/</v>
      </c>
      <c r="AE147" t="str">
        <f>VLOOKUP(Table1[[#This Row],[/* Object]],Namespace!A:J,10,FALSE)</f>
        <v>SAP AG</v>
      </c>
      <c r="AF147" t="str">
        <f>IF(VLOOKUP(Table1[[#This Row],[/* Object]],Namespace!A:J,4,FALSE)=0,"",VLOOKUP(Table1[[#This Row],[/* Object]],Namespace!A:J,4,FALSE))</f>
        <v>X</v>
      </c>
      <c r="AG147" t="str">
        <f>IF(VLOOKUP(Table1[[#This Row],[/* Object]],Namespace!A:J,5,FALSE)=0,"",VLOOKUP(Table1[[#This Row],[/* Object]],Namespace!A:J,5,FALSE))</f>
        <v>X</v>
      </c>
      <c r="AH147" t="str">
        <f>IF(VLOOKUP(Table1[[#This Row],[/* Object]],Namespace!A:J,6,FALSE)=0,"",VLOOKUP(Table1[[#This Row],[/* Object]],Namespace!A:J,6,FALSE))</f>
        <v/>
      </c>
      <c r="AI147">
        <f>IFERROR(FIND("/",Table1[[#This Row],[Final Obj Name]],1),0)</f>
        <v>0</v>
      </c>
      <c r="AJ147">
        <f>IF(Table1[[#This Row],[Position 1]]=0,0,FIND("/",Table1[[#This Row],[Final Obj Name]],Table1[[#This Row],[Position 1]]+1))</f>
        <v>0</v>
      </c>
      <c r="AK147" t="str">
        <f>IF(LEFT(Table1[[#This Row],[Final Obj Name]],1)="/",LEFT(Table1[[#This Row],[Final Obj Name]],FIND("/",Table1[[#This Row],[Final Obj Name]],2)),"/0SAP/")</f>
        <v>/0SAP/</v>
      </c>
    </row>
    <row r="148">
      <c r="A148" t="str">
        <v>CLAS</v>
      </c>
      <c r="B148" t="str">
        <v>ZCL_REUSE_CUST_MAST_GEN_S4_NEW</v>
      </c>
      <c r="C148" t="str">
        <v>METH</v>
      </c>
      <c r="D148" t="str">
        <v>ZCL_REUSE_CUST_MAST_GEN_S4_NEWVALIDATE_TAX_DATA</v>
      </c>
      <c r="E148" t="str">
        <v>PN</v>
      </c>
      <c r="G148" t="str">
        <v>MOD</v>
      </c>
      <c r="H148" t="str">
        <v>ZCL_REUSE_CUST_MAST_GEN_S4_NEWCP</v>
      </c>
      <c r="K148" t="str">
        <v>E</v>
      </c>
      <c r="L148" t="str">
        <v>CST_UKHANNA</v>
      </c>
      <c r="M148">
        <v>43721</v>
      </c>
      <c r="N148">
        <v>0.53729166666667</v>
      </c>
      <c r="W148" t="str">
        <v>X01K900708</v>
      </c>
      <c r="Y148">
        <f>IF(Table1[[#This Row],[OPERATION]]="NOTE","NOTE",Table1[[#This Row],[SUB_TYPE]])</f>
        <v>0</v>
      </c>
      <c r="Z148">
        <f>IF(Table1[[#This Row],[OPERATION]]="NOTE",NUMBERVALUE(LEFT(Table1[[#This Row],[MOD_NAME]],LEN(Table1[[#This Row],[MOD_NAME]])-4)),Table1[[#This Row],[SUB_NAME]])</f>
        <v>0</v>
      </c>
      <c r="AA148" t="str">
        <f>CONCAT(Table1[[#This Row],[Final Obj Type]],"|",Table1[[#This Row],[Final Obj Name]])</f>
        <v>0|0</v>
      </c>
      <c r="AB148" t="e">
        <f>VLOOKUP(Table1[[#This Row],[Final Obj Type]],Classification!B:E,3,FALSE)</f>
        <v>#N/A</v>
      </c>
      <c r="AC148" t="e">
        <f>VLOOKUP(Table1[[#This Row],[Final Obj Type]],Classification!B:E,4,FALSE)</f>
        <v>#N/A</v>
      </c>
      <c r="AD148" t="str">
        <f>IF(Table1[[#This Row],[Position 1]]=0,"/0SAP/",MID(Table1[[#This Row],[Final Obj Name]],Table1[[#This Row],[Position 1]],Table1[[#This Row],[Position 2]]-Table1[[#This Row],[Position 1]]+1))</f>
        <v>/0SAP/</v>
      </c>
      <c r="AE148" t="str">
        <f>VLOOKUP(Table1[[#This Row],[/* Object]],Namespace!A:J,10,FALSE)</f>
        <v>SAP AG</v>
      </c>
      <c r="AF148" t="str">
        <f>IF(VLOOKUP(Table1[[#This Row],[/* Object]],Namespace!A:J,4,FALSE)=0,"",VLOOKUP(Table1[[#This Row],[/* Object]],Namespace!A:J,4,FALSE))</f>
        <v>X</v>
      </c>
      <c r="AG148" t="str">
        <f>IF(VLOOKUP(Table1[[#This Row],[/* Object]],Namespace!A:J,5,FALSE)=0,"",VLOOKUP(Table1[[#This Row],[/* Object]],Namespace!A:J,5,FALSE))</f>
        <v>X</v>
      </c>
      <c r="AH148" t="str">
        <f>IF(VLOOKUP(Table1[[#This Row],[/* Object]],Namespace!A:J,6,FALSE)=0,"",VLOOKUP(Table1[[#This Row],[/* Object]],Namespace!A:J,6,FALSE))</f>
        <v/>
      </c>
      <c r="AI148">
        <f>IFERROR(FIND("/",Table1[[#This Row],[Final Obj Name]],1),0)</f>
        <v>0</v>
      </c>
      <c r="AJ148">
        <f>IF(Table1[[#This Row],[Position 1]]=0,0,FIND("/",Table1[[#This Row],[Final Obj Name]],Table1[[#This Row],[Position 1]]+1))</f>
        <v>0</v>
      </c>
      <c r="AK148" t="str">
        <f>IF(LEFT(Table1[[#This Row],[Final Obj Name]],1)="/",LEFT(Table1[[#This Row],[Final Obj Name]],FIND("/",Table1[[#This Row],[Final Obj Name]],2)),"/0SAP/")</f>
        <v>/0SAP/</v>
      </c>
    </row>
    <row r="149">
      <c r="A149" t="str">
        <v>CLAS</v>
      </c>
      <c r="B149" t="str">
        <v>ZCL_REUSE_CUST_MAST_GEN_S4_NEW</v>
      </c>
      <c r="C149" t="str">
        <v>METH</v>
      </c>
      <c r="D149" t="str">
        <v>ZCL_REUSE_CUST_MAST_GEN_S4_NEWVALIDATE_VERS_DATA</v>
      </c>
      <c r="E149" t="str">
        <v>PN</v>
      </c>
      <c r="G149" t="str">
        <v>MOD</v>
      </c>
      <c r="H149" t="str">
        <v>ZCL_REUSE_CUST_MAST_GEN_S4_NEWCP</v>
      </c>
      <c r="K149" t="str">
        <v>E</v>
      </c>
      <c r="L149" t="str">
        <v>CST_UKHANNA</v>
      </c>
      <c r="M149">
        <v>43721</v>
      </c>
      <c r="N149">
        <v>0.53829861111111</v>
      </c>
      <c r="W149" t="str">
        <v>X01K900708</v>
      </c>
      <c r="Y149">
        <f>IF(Table1[[#This Row],[OPERATION]]="NOTE","NOTE",Table1[[#This Row],[SUB_TYPE]])</f>
        <v>0</v>
      </c>
      <c r="Z149">
        <f>IF(Table1[[#This Row],[OPERATION]]="NOTE",NUMBERVALUE(LEFT(Table1[[#This Row],[MOD_NAME]],LEN(Table1[[#This Row],[MOD_NAME]])-4)),Table1[[#This Row],[SUB_NAME]])</f>
        <v>0</v>
      </c>
      <c r="AA149" t="str">
        <f>CONCAT(Table1[[#This Row],[Final Obj Type]],"|",Table1[[#This Row],[Final Obj Name]])</f>
        <v>0|0</v>
      </c>
      <c r="AB149" t="e">
        <f>VLOOKUP(Table1[[#This Row],[Final Obj Type]],Classification!B:E,3,FALSE)</f>
        <v>#N/A</v>
      </c>
      <c r="AC149" t="e">
        <f>VLOOKUP(Table1[[#This Row],[Final Obj Type]],Classification!B:E,4,FALSE)</f>
        <v>#N/A</v>
      </c>
      <c r="AD149" t="str">
        <f>IF(Table1[[#This Row],[Position 1]]=0,"/0SAP/",MID(Table1[[#This Row],[Final Obj Name]],Table1[[#This Row],[Position 1]],Table1[[#This Row],[Position 2]]-Table1[[#This Row],[Position 1]]+1))</f>
        <v>/0SAP/</v>
      </c>
      <c r="AE149" t="str">
        <f>VLOOKUP(Table1[[#This Row],[/* Object]],Namespace!A:J,10,FALSE)</f>
        <v>SAP AG</v>
      </c>
      <c r="AF149" t="str">
        <f>IF(VLOOKUP(Table1[[#This Row],[/* Object]],Namespace!A:J,4,FALSE)=0,"",VLOOKUP(Table1[[#This Row],[/* Object]],Namespace!A:J,4,FALSE))</f>
        <v>X</v>
      </c>
      <c r="AG149" t="str">
        <f>IF(VLOOKUP(Table1[[#This Row],[/* Object]],Namespace!A:J,5,FALSE)=0,"",VLOOKUP(Table1[[#This Row],[/* Object]],Namespace!A:J,5,FALSE))</f>
        <v>X</v>
      </c>
      <c r="AH149" t="str">
        <f>IF(VLOOKUP(Table1[[#This Row],[/* Object]],Namespace!A:J,6,FALSE)=0,"",VLOOKUP(Table1[[#This Row],[/* Object]],Namespace!A:J,6,FALSE))</f>
        <v/>
      </c>
      <c r="AI149">
        <f>IFERROR(FIND("/",Table1[[#This Row],[Final Obj Name]],1),0)</f>
        <v>0</v>
      </c>
      <c r="AJ149">
        <f>IF(Table1[[#This Row],[Position 1]]=0,0,FIND("/",Table1[[#This Row],[Final Obj Name]],Table1[[#This Row],[Position 1]]+1))</f>
        <v>0</v>
      </c>
      <c r="AK149" t="str">
        <f>IF(LEFT(Table1[[#This Row],[Final Obj Name]],1)="/",LEFT(Table1[[#This Row],[Final Obj Name]],FIND("/",Table1[[#This Row],[Final Obj Name]],2)),"/0SAP/")</f>
        <v>/0SAP/</v>
      </c>
    </row>
    <row r="150">
      <c r="A150" t="str">
        <v>CLAS</v>
      </c>
      <c r="B150" t="str">
        <v>ZCL_REUSE_CUST_MAST_GEN_S4_NEW</v>
      </c>
      <c r="C150" t="str">
        <v>REPT</v>
      </c>
      <c r="D150" t="str">
        <v>ZCL_REUSE_CUST_MAST_GEN_S4_NEWCP</v>
      </c>
      <c r="G150" t="str">
        <v>ALL</v>
      </c>
      <c r="H150" t="str">
        <v>ZCL_REUSE_CUST_MAST_GEN_S4_NEWCP</v>
      </c>
      <c r="K150" t="str">
        <v>E</v>
      </c>
      <c r="L150" t="str">
        <v>CST_UKHANNA</v>
      </c>
      <c r="M150">
        <v>43721</v>
      </c>
      <c r="N150">
        <v>0.5306712962963</v>
      </c>
      <c r="W150" t="str">
        <v>X01K900707</v>
      </c>
      <c r="Y150">
        <f>IF(Table1[[#This Row],[OPERATION]]="NOTE","NOTE",Table1[[#This Row],[SUB_TYPE]])</f>
        <v>0</v>
      </c>
      <c r="Z150">
        <f>IF(Table1[[#This Row],[OPERATION]]="NOTE",NUMBERVALUE(LEFT(Table1[[#This Row],[MOD_NAME]],LEN(Table1[[#This Row],[MOD_NAME]])-4)),Table1[[#This Row],[SUB_NAME]])</f>
        <v>0</v>
      </c>
      <c r="AA150" t="str">
        <f>CONCAT(Table1[[#This Row],[Final Obj Type]],"|",Table1[[#This Row],[Final Obj Name]])</f>
        <v>0|0</v>
      </c>
      <c r="AB150" t="e">
        <f>VLOOKUP(Table1[[#This Row],[Final Obj Type]],Classification!B:E,3,FALSE)</f>
        <v>#N/A</v>
      </c>
      <c r="AC150" t="e">
        <f>VLOOKUP(Table1[[#This Row],[Final Obj Type]],Classification!B:E,4,FALSE)</f>
        <v>#N/A</v>
      </c>
      <c r="AD150" t="str">
        <f>IF(Table1[[#This Row],[Position 1]]=0,"/0SAP/",MID(Table1[[#This Row],[Final Obj Name]],Table1[[#This Row],[Position 1]],Table1[[#This Row],[Position 2]]-Table1[[#This Row],[Position 1]]+1))</f>
        <v>/0SAP/</v>
      </c>
      <c r="AE150" t="str">
        <f>VLOOKUP(Table1[[#This Row],[/* Object]],Namespace!A:J,10,FALSE)</f>
        <v>SAP AG</v>
      </c>
      <c r="AF150" t="str">
        <f>IF(VLOOKUP(Table1[[#This Row],[/* Object]],Namespace!A:J,4,FALSE)=0,"",VLOOKUP(Table1[[#This Row],[/* Object]],Namespace!A:J,4,FALSE))</f>
        <v>X</v>
      </c>
      <c r="AG150" t="str">
        <f>IF(VLOOKUP(Table1[[#This Row],[/* Object]],Namespace!A:J,5,FALSE)=0,"",VLOOKUP(Table1[[#This Row],[/* Object]],Namespace!A:J,5,FALSE))</f>
        <v>X</v>
      </c>
      <c r="AH150" t="str">
        <f>IF(VLOOKUP(Table1[[#This Row],[/* Object]],Namespace!A:J,6,FALSE)=0,"",VLOOKUP(Table1[[#This Row],[/* Object]],Namespace!A:J,6,FALSE))</f>
        <v/>
      </c>
      <c r="AI150">
        <f>IFERROR(FIND("/",Table1[[#This Row],[Final Obj Name]],1),0)</f>
        <v>0</v>
      </c>
      <c r="AJ150">
        <f>IF(Table1[[#This Row],[Position 1]]=0,0,FIND("/",Table1[[#This Row],[Final Obj Name]],Table1[[#This Row],[Position 1]]+1))</f>
        <v>0</v>
      </c>
      <c r="AK150" t="str">
        <f>IF(LEFT(Table1[[#This Row],[Final Obj Name]],1)="/",LEFT(Table1[[#This Row],[Final Obj Name]],FIND("/",Table1[[#This Row],[Final Obj Name]],2)),"/0SAP/")</f>
        <v>/0SAP/</v>
      </c>
    </row>
    <row r="151">
      <c r="A151" t="str">
        <v>CLAS</v>
      </c>
      <c r="B151" t="str">
        <v>ZCL_REUSE_MM_BASIC_VIEW</v>
      </c>
      <c r="C151" t="str">
        <v>CPRI</v>
      </c>
      <c r="D151" t="str">
        <v>ZCL_REUSE_MM_BASIC_VIEW</v>
      </c>
      <c r="E151" t="str">
        <v>INTF</v>
      </c>
      <c r="G151" t="str">
        <v>ALL</v>
      </c>
      <c r="K151" t="str">
        <v>E</v>
      </c>
      <c r="L151" t="str">
        <v>PPHANEENDRA</v>
      </c>
      <c r="M151">
        <v>43641</v>
      </c>
      <c r="N151">
        <v>0.26300925925926</v>
      </c>
      <c r="W151" t="str">
        <v>FLSK900735</v>
      </c>
      <c r="Y151">
        <f>IF(Table1[[#This Row],[OPERATION]]="NOTE","NOTE",Table1[[#This Row],[SUB_TYPE]])</f>
        <v>0</v>
      </c>
      <c r="Z151">
        <f>IF(Table1[[#This Row],[OPERATION]]="NOTE",NUMBERVALUE(LEFT(Table1[[#This Row],[MOD_NAME]],LEN(Table1[[#This Row],[MOD_NAME]])-4)),Table1[[#This Row],[SUB_NAME]])</f>
        <v>0</v>
      </c>
      <c r="AA151" t="str">
        <f>CONCAT(Table1[[#This Row],[Final Obj Type]],"|",Table1[[#This Row],[Final Obj Name]])</f>
        <v>0|0</v>
      </c>
      <c r="AB151" t="e">
        <f>VLOOKUP(Table1[[#This Row],[Final Obj Type]],Classification!B:E,3,FALSE)</f>
        <v>#N/A</v>
      </c>
      <c r="AC151" t="e">
        <f>VLOOKUP(Table1[[#This Row],[Final Obj Type]],Classification!B:E,4,FALSE)</f>
        <v>#N/A</v>
      </c>
      <c r="AD151" t="str">
        <f>IF(Table1[[#This Row],[Position 1]]=0,"/0SAP/",MID(Table1[[#This Row],[Final Obj Name]],Table1[[#This Row],[Position 1]],Table1[[#This Row],[Position 2]]-Table1[[#This Row],[Position 1]]+1))</f>
        <v>/0SAP/</v>
      </c>
      <c r="AE151" t="str">
        <f>VLOOKUP(Table1[[#This Row],[/* Object]],Namespace!A:J,10,FALSE)</f>
        <v>SAP AG</v>
      </c>
      <c r="AF151" t="str">
        <f>IF(VLOOKUP(Table1[[#This Row],[/* Object]],Namespace!A:J,4,FALSE)=0,"",VLOOKUP(Table1[[#This Row],[/* Object]],Namespace!A:J,4,FALSE))</f>
        <v>X</v>
      </c>
      <c r="AG151" t="str">
        <f>IF(VLOOKUP(Table1[[#This Row],[/* Object]],Namespace!A:J,5,FALSE)=0,"",VLOOKUP(Table1[[#This Row],[/* Object]],Namespace!A:J,5,FALSE))</f>
        <v>X</v>
      </c>
      <c r="AH151" t="str">
        <f>IF(VLOOKUP(Table1[[#This Row],[/* Object]],Namespace!A:J,6,FALSE)=0,"",VLOOKUP(Table1[[#This Row],[/* Object]],Namespace!A:J,6,FALSE))</f>
        <v/>
      </c>
      <c r="AI151">
        <f>IFERROR(FIND("/",Table1[[#This Row],[Final Obj Name]],1),0)</f>
        <v>0</v>
      </c>
      <c r="AJ151">
        <f>IF(Table1[[#This Row],[Position 1]]=0,0,FIND("/",Table1[[#This Row],[Final Obj Name]],Table1[[#This Row],[Position 1]]+1))</f>
        <v>0</v>
      </c>
      <c r="AK151" t="str">
        <f>IF(LEFT(Table1[[#This Row],[Final Obj Name]],1)="/",LEFT(Table1[[#This Row],[Final Obj Name]],FIND("/",Table1[[#This Row],[Final Obj Name]],2)),"/0SAP/")</f>
        <v>/0SAP/</v>
      </c>
    </row>
    <row r="152">
      <c r="A152" t="str">
        <v>CLAS</v>
      </c>
      <c r="B152" t="str">
        <v>ZCL_REUSE_MM_BASIC_VIEW</v>
      </c>
      <c r="C152" t="str">
        <v>CPUB</v>
      </c>
      <c r="D152" t="str">
        <v>ZCL_REUSE_MM_BASIC_VIEW</v>
      </c>
      <c r="E152" t="str">
        <v>INTF</v>
      </c>
      <c r="G152" t="str">
        <v>ALL</v>
      </c>
      <c r="K152" t="str">
        <v>E</v>
      </c>
      <c r="L152" t="str">
        <v>PPHANEENDRA</v>
      </c>
      <c r="M152">
        <v>43641</v>
      </c>
      <c r="N152">
        <v>0.24675925925926</v>
      </c>
      <c r="W152" t="str">
        <v>FLSK900735</v>
      </c>
      <c r="Y152">
        <f>IF(Table1[[#This Row],[OPERATION]]="NOTE","NOTE",Table1[[#This Row],[SUB_TYPE]])</f>
        <v>0</v>
      </c>
      <c r="Z152">
        <f>IF(Table1[[#This Row],[OPERATION]]="NOTE",NUMBERVALUE(LEFT(Table1[[#This Row],[MOD_NAME]],LEN(Table1[[#This Row],[MOD_NAME]])-4)),Table1[[#This Row],[SUB_NAME]])</f>
        <v>0</v>
      </c>
      <c r="AA152" t="str">
        <f>CONCAT(Table1[[#This Row],[Final Obj Type]],"|",Table1[[#This Row],[Final Obj Name]])</f>
        <v>0|0</v>
      </c>
      <c r="AB152" t="e">
        <f>VLOOKUP(Table1[[#This Row],[Final Obj Type]],Classification!B:E,3,FALSE)</f>
        <v>#N/A</v>
      </c>
      <c r="AC152" t="e">
        <f>VLOOKUP(Table1[[#This Row],[Final Obj Type]],Classification!B:E,4,FALSE)</f>
        <v>#N/A</v>
      </c>
      <c r="AD152" t="str">
        <f>IF(Table1[[#This Row],[Position 1]]=0,"/0SAP/",MID(Table1[[#This Row],[Final Obj Name]],Table1[[#This Row],[Position 1]],Table1[[#This Row],[Position 2]]-Table1[[#This Row],[Position 1]]+1))</f>
        <v>/0SAP/</v>
      </c>
      <c r="AE152" t="str">
        <f>VLOOKUP(Table1[[#This Row],[/* Object]],Namespace!A:J,10,FALSE)</f>
        <v>SAP AG</v>
      </c>
      <c r="AF152" t="str">
        <f>IF(VLOOKUP(Table1[[#This Row],[/* Object]],Namespace!A:J,4,FALSE)=0,"",VLOOKUP(Table1[[#This Row],[/* Object]],Namespace!A:J,4,FALSE))</f>
        <v>X</v>
      </c>
      <c r="AG152" t="str">
        <f>IF(VLOOKUP(Table1[[#This Row],[/* Object]],Namespace!A:J,5,FALSE)=0,"",VLOOKUP(Table1[[#This Row],[/* Object]],Namespace!A:J,5,FALSE))</f>
        <v>X</v>
      </c>
      <c r="AH152" t="str">
        <f>IF(VLOOKUP(Table1[[#This Row],[/* Object]],Namespace!A:J,6,FALSE)=0,"",VLOOKUP(Table1[[#This Row],[/* Object]],Namespace!A:J,6,FALSE))</f>
        <v/>
      </c>
      <c r="AI152">
        <f>IFERROR(FIND("/",Table1[[#This Row],[Final Obj Name]],1),0)</f>
        <v>0</v>
      </c>
      <c r="AJ152">
        <f>IF(Table1[[#This Row],[Position 1]]=0,0,FIND("/",Table1[[#This Row],[Final Obj Name]],Table1[[#This Row],[Position 1]]+1))</f>
        <v>0</v>
      </c>
      <c r="AK152" t="str">
        <f>IF(LEFT(Table1[[#This Row],[Final Obj Name]],1)="/",LEFT(Table1[[#This Row],[Final Obj Name]],FIND("/",Table1[[#This Row],[Final Obj Name]],2)),"/0SAP/")</f>
        <v>/0SAP/</v>
      </c>
    </row>
    <row r="153">
      <c r="A153" t="str">
        <v>CLAS</v>
      </c>
      <c r="B153" t="str">
        <v>ZCL_REUSE_MM_BASIC_VIEW</v>
      </c>
      <c r="C153" t="str">
        <v>METH</v>
      </c>
      <c r="D153" t="str">
        <v>ZCL_REUSE_MM_BASIC_VIEW       CALL_BAPI</v>
      </c>
      <c r="E153" t="str">
        <v>PN</v>
      </c>
      <c r="G153" t="str">
        <v>MOD</v>
      </c>
      <c r="H153" t="str">
        <v>ZCL_REUSE_MM_BASIC_VIEW=======CP</v>
      </c>
      <c r="K153" t="str">
        <v>E</v>
      </c>
      <c r="L153" t="str">
        <v>PPHANEENDRA</v>
      </c>
      <c r="M153">
        <v>43647</v>
      </c>
      <c r="N153">
        <v>0.31907407407407</v>
      </c>
      <c r="W153" t="str">
        <v>FLSK900735</v>
      </c>
      <c r="Y153">
        <f>IF(Table1[[#This Row],[OPERATION]]="NOTE","NOTE",Table1[[#This Row],[SUB_TYPE]])</f>
        <v>0</v>
      </c>
      <c r="Z153">
        <f>IF(Table1[[#This Row],[OPERATION]]="NOTE",NUMBERVALUE(LEFT(Table1[[#This Row],[MOD_NAME]],LEN(Table1[[#This Row],[MOD_NAME]])-4)),Table1[[#This Row],[SUB_NAME]])</f>
        <v>0</v>
      </c>
      <c r="AA153" t="str">
        <f>CONCAT(Table1[[#This Row],[Final Obj Type]],"|",Table1[[#This Row],[Final Obj Name]])</f>
        <v>0|0</v>
      </c>
      <c r="AB153" t="e">
        <f>VLOOKUP(Table1[[#This Row],[Final Obj Type]],Classification!B:E,3,FALSE)</f>
        <v>#N/A</v>
      </c>
      <c r="AC153" t="e">
        <f>VLOOKUP(Table1[[#This Row],[Final Obj Type]],Classification!B:E,4,FALSE)</f>
        <v>#N/A</v>
      </c>
      <c r="AD153" t="str">
        <f>IF(Table1[[#This Row],[Position 1]]=0,"/0SAP/",MID(Table1[[#This Row],[Final Obj Name]],Table1[[#This Row],[Position 1]],Table1[[#This Row],[Position 2]]-Table1[[#This Row],[Position 1]]+1))</f>
        <v>/0SAP/</v>
      </c>
      <c r="AE153" t="str">
        <f>VLOOKUP(Table1[[#This Row],[/* Object]],Namespace!A:J,10,FALSE)</f>
        <v>SAP AG</v>
      </c>
      <c r="AF153" t="str">
        <f>IF(VLOOKUP(Table1[[#This Row],[/* Object]],Namespace!A:J,4,FALSE)=0,"",VLOOKUP(Table1[[#This Row],[/* Object]],Namespace!A:J,4,FALSE))</f>
        <v>X</v>
      </c>
      <c r="AG153" t="str">
        <f>IF(VLOOKUP(Table1[[#This Row],[/* Object]],Namespace!A:J,5,FALSE)=0,"",VLOOKUP(Table1[[#This Row],[/* Object]],Namespace!A:J,5,FALSE))</f>
        <v>X</v>
      </c>
      <c r="AH153" t="str">
        <f>IF(VLOOKUP(Table1[[#This Row],[/* Object]],Namespace!A:J,6,FALSE)=0,"",VLOOKUP(Table1[[#This Row],[/* Object]],Namespace!A:J,6,FALSE))</f>
        <v/>
      </c>
      <c r="AI153">
        <f>IFERROR(FIND("/",Table1[[#This Row],[Final Obj Name]],1),0)</f>
        <v>0</v>
      </c>
      <c r="AJ153">
        <f>IF(Table1[[#This Row],[Position 1]]=0,0,FIND("/",Table1[[#This Row],[Final Obj Name]],Table1[[#This Row],[Position 1]]+1))</f>
        <v>0</v>
      </c>
      <c r="AK153" t="str">
        <f>IF(LEFT(Table1[[#This Row],[Final Obj Name]],1)="/",LEFT(Table1[[#This Row],[Final Obj Name]],FIND("/",Table1[[#This Row],[Final Obj Name]],2)),"/0SAP/")</f>
        <v>/0SAP/</v>
      </c>
    </row>
    <row r="154">
      <c r="A154" t="str">
        <v>CLAS</v>
      </c>
      <c r="B154" t="str">
        <v>ZCL_REUSE_MM_BASIC_VIEW</v>
      </c>
      <c r="C154" t="str">
        <v>METH</v>
      </c>
      <c r="D154" t="str">
        <v>ZCL_REUSE_MM_BASIC_VIEW       FILL_SALESVIEW</v>
      </c>
      <c r="E154" t="str">
        <v>PN</v>
      </c>
      <c r="G154" t="str">
        <v>MOD</v>
      </c>
      <c r="H154" t="str">
        <v>ZCL_REUSE_MM_BASIC_VIEW=======CP</v>
      </c>
      <c r="K154" t="str">
        <v>E</v>
      </c>
      <c r="L154" t="str">
        <v>PPHANEENDRA</v>
      </c>
      <c r="M154">
        <v>43647</v>
      </c>
      <c r="N154">
        <v>0.32094907407407</v>
      </c>
      <c r="W154" t="str">
        <v>FLSK900735</v>
      </c>
      <c r="Y154">
        <f>IF(Table1[[#This Row],[OPERATION]]="NOTE","NOTE",Table1[[#This Row],[SUB_TYPE]])</f>
        <v>0</v>
      </c>
      <c r="Z154">
        <f>IF(Table1[[#This Row],[OPERATION]]="NOTE",NUMBERVALUE(LEFT(Table1[[#This Row],[MOD_NAME]],LEN(Table1[[#This Row],[MOD_NAME]])-4)),Table1[[#This Row],[SUB_NAME]])</f>
        <v>0</v>
      </c>
      <c r="AA154" t="str">
        <f>CONCAT(Table1[[#This Row],[Final Obj Type]],"|",Table1[[#This Row],[Final Obj Name]])</f>
        <v>0|0</v>
      </c>
      <c r="AB154" t="e">
        <f>VLOOKUP(Table1[[#This Row],[Final Obj Type]],Classification!B:E,3,FALSE)</f>
        <v>#N/A</v>
      </c>
      <c r="AC154" t="e">
        <f>VLOOKUP(Table1[[#This Row],[Final Obj Type]],Classification!B:E,4,FALSE)</f>
        <v>#N/A</v>
      </c>
      <c r="AD154" t="str">
        <f>IF(Table1[[#This Row],[Position 1]]=0,"/0SAP/",MID(Table1[[#This Row],[Final Obj Name]],Table1[[#This Row],[Position 1]],Table1[[#This Row],[Position 2]]-Table1[[#This Row],[Position 1]]+1))</f>
        <v>/0SAP/</v>
      </c>
      <c r="AE154" t="str">
        <f>VLOOKUP(Table1[[#This Row],[/* Object]],Namespace!A:J,10,FALSE)</f>
        <v>SAP AG</v>
      </c>
      <c r="AF154" t="str">
        <f>IF(VLOOKUP(Table1[[#This Row],[/* Object]],Namespace!A:J,4,FALSE)=0,"",VLOOKUP(Table1[[#This Row],[/* Object]],Namespace!A:J,4,FALSE))</f>
        <v>X</v>
      </c>
      <c r="AG154" t="str">
        <f>IF(VLOOKUP(Table1[[#This Row],[/* Object]],Namespace!A:J,5,FALSE)=0,"",VLOOKUP(Table1[[#This Row],[/* Object]],Namespace!A:J,5,FALSE))</f>
        <v>X</v>
      </c>
      <c r="AH154" t="str">
        <f>IF(VLOOKUP(Table1[[#This Row],[/* Object]],Namespace!A:J,6,FALSE)=0,"",VLOOKUP(Table1[[#This Row],[/* Object]],Namespace!A:J,6,FALSE))</f>
        <v/>
      </c>
      <c r="AI154">
        <f>IFERROR(FIND("/",Table1[[#This Row],[Final Obj Name]],1),0)</f>
        <v>0</v>
      </c>
      <c r="AJ154">
        <f>IF(Table1[[#This Row],[Position 1]]=0,0,FIND("/",Table1[[#This Row],[Final Obj Name]],Table1[[#This Row],[Position 1]]+1))</f>
        <v>0</v>
      </c>
      <c r="AK154" t="str">
        <f>IF(LEFT(Table1[[#This Row],[Final Obj Name]],1)="/",LEFT(Table1[[#This Row],[Final Obj Name]],FIND("/",Table1[[#This Row],[Final Obj Name]],2)),"/0SAP/")</f>
        <v>/0SAP/</v>
      </c>
    </row>
    <row r="155">
      <c r="A155" t="str">
        <v>CLAS</v>
      </c>
      <c r="B155" t="str">
        <v>ZCL_REUSE_MM_BASIC_VIEW</v>
      </c>
      <c r="C155" t="str">
        <v>METH</v>
      </c>
      <c r="D155" t="str">
        <v>ZCL_REUSE_MM_BASIC_VIEW       POST_SALESVIEW</v>
      </c>
      <c r="E155" t="str">
        <v>PN</v>
      </c>
      <c r="G155" t="str">
        <v>MOD</v>
      </c>
      <c r="H155" t="str">
        <v>ZCL_REUSE_MM_BASIC_VIEW=======CP</v>
      </c>
      <c r="K155" t="str">
        <v>E</v>
      </c>
      <c r="L155" t="str">
        <v>PPHANEENDRA</v>
      </c>
      <c r="M155">
        <v>43647</v>
      </c>
      <c r="N155">
        <v>0.32140046296296</v>
      </c>
      <c r="W155" t="str">
        <v>FLSK900735</v>
      </c>
      <c r="Y155">
        <f>IF(Table1[[#This Row],[OPERATION]]="NOTE","NOTE",Table1[[#This Row],[SUB_TYPE]])</f>
        <v>0</v>
      </c>
      <c r="Z155">
        <f>IF(Table1[[#This Row],[OPERATION]]="NOTE",NUMBERVALUE(LEFT(Table1[[#This Row],[MOD_NAME]],LEN(Table1[[#This Row],[MOD_NAME]])-4)),Table1[[#This Row],[SUB_NAME]])</f>
        <v>0</v>
      </c>
      <c r="AA155" t="str">
        <f>CONCAT(Table1[[#This Row],[Final Obj Type]],"|",Table1[[#This Row],[Final Obj Name]])</f>
        <v>0|0</v>
      </c>
      <c r="AB155" t="e">
        <f>VLOOKUP(Table1[[#This Row],[Final Obj Type]],Classification!B:E,3,FALSE)</f>
        <v>#N/A</v>
      </c>
      <c r="AC155" t="e">
        <f>VLOOKUP(Table1[[#This Row],[Final Obj Type]],Classification!B:E,4,FALSE)</f>
        <v>#N/A</v>
      </c>
      <c r="AD155" t="str">
        <f>IF(Table1[[#This Row],[Position 1]]=0,"/0SAP/",MID(Table1[[#This Row],[Final Obj Name]],Table1[[#This Row],[Position 1]],Table1[[#This Row],[Position 2]]-Table1[[#This Row],[Position 1]]+1))</f>
        <v>/0SAP/</v>
      </c>
      <c r="AE155" t="str">
        <f>VLOOKUP(Table1[[#This Row],[/* Object]],Namespace!A:J,10,FALSE)</f>
        <v>SAP AG</v>
      </c>
      <c r="AF155" t="str">
        <f>IF(VLOOKUP(Table1[[#This Row],[/* Object]],Namespace!A:J,4,FALSE)=0,"",VLOOKUP(Table1[[#This Row],[/* Object]],Namespace!A:J,4,FALSE))</f>
        <v>X</v>
      </c>
      <c r="AG155" t="str">
        <f>IF(VLOOKUP(Table1[[#This Row],[/* Object]],Namespace!A:J,5,FALSE)=0,"",VLOOKUP(Table1[[#This Row],[/* Object]],Namespace!A:J,5,FALSE))</f>
        <v>X</v>
      </c>
      <c r="AH155" t="str">
        <f>IF(VLOOKUP(Table1[[#This Row],[/* Object]],Namespace!A:J,6,FALSE)=0,"",VLOOKUP(Table1[[#This Row],[/* Object]],Namespace!A:J,6,FALSE))</f>
        <v/>
      </c>
      <c r="AI155">
        <f>IFERROR(FIND("/",Table1[[#This Row],[Final Obj Name]],1),0)</f>
        <v>0</v>
      </c>
      <c r="AJ155">
        <f>IF(Table1[[#This Row],[Position 1]]=0,0,FIND("/",Table1[[#This Row],[Final Obj Name]],Table1[[#This Row],[Position 1]]+1))</f>
        <v>0</v>
      </c>
      <c r="AK155" t="str">
        <f>IF(LEFT(Table1[[#This Row],[Final Obj Name]],1)="/",LEFT(Table1[[#This Row],[Final Obj Name]],FIND("/",Table1[[#This Row],[Final Obj Name]],2)),"/0SAP/")</f>
        <v>/0SAP/</v>
      </c>
    </row>
    <row r="156">
      <c r="A156" t="str">
        <v>CLAS</v>
      </c>
      <c r="B156" t="str">
        <v>ZCL_REUSE_PURCHASEORDER</v>
      </c>
      <c r="C156" t="str">
        <v>CPRI</v>
      </c>
      <c r="D156" t="str">
        <v>ZCL_REUSE_PURCHASEORDER</v>
      </c>
      <c r="E156" t="str">
        <v>INTF</v>
      </c>
      <c r="G156" t="str">
        <v>ALL</v>
      </c>
      <c r="K156" t="str">
        <v>E</v>
      </c>
      <c r="L156" t="str">
        <v>CST_UKHANNA</v>
      </c>
      <c r="M156">
        <v>43713</v>
      </c>
      <c r="N156">
        <v>0.46578703703704</v>
      </c>
      <c r="Y156">
        <f>IF(Table1[[#This Row],[OPERATION]]="NOTE","NOTE",Table1[[#This Row],[SUB_TYPE]])</f>
        <v>0</v>
      </c>
      <c r="Z156">
        <f>IF(Table1[[#This Row],[OPERATION]]="NOTE",NUMBERVALUE(LEFT(Table1[[#This Row],[MOD_NAME]],LEN(Table1[[#This Row],[MOD_NAME]])-4)),Table1[[#This Row],[SUB_NAME]])</f>
        <v>0</v>
      </c>
      <c r="AA156" t="str">
        <f>CONCAT(Table1[[#This Row],[Final Obj Type]],"|",Table1[[#This Row],[Final Obj Name]])</f>
        <v>0|0</v>
      </c>
      <c r="AB156" t="e">
        <f>VLOOKUP(Table1[[#This Row],[Final Obj Type]],Classification!B:E,3,FALSE)</f>
        <v>#N/A</v>
      </c>
      <c r="AC156" t="e">
        <f>VLOOKUP(Table1[[#This Row],[Final Obj Type]],Classification!B:E,4,FALSE)</f>
        <v>#N/A</v>
      </c>
      <c r="AD156" t="str">
        <f>IF(Table1[[#This Row],[Position 1]]=0,"/0SAP/",MID(Table1[[#This Row],[Final Obj Name]],Table1[[#This Row],[Position 1]],Table1[[#This Row],[Position 2]]-Table1[[#This Row],[Position 1]]+1))</f>
        <v>/0SAP/</v>
      </c>
      <c r="AE156" t="str">
        <f>VLOOKUP(Table1[[#This Row],[/* Object]],Namespace!A:J,10,FALSE)</f>
        <v>SAP AG</v>
      </c>
      <c r="AF156" t="str">
        <f>IF(VLOOKUP(Table1[[#This Row],[/* Object]],Namespace!A:J,4,FALSE)=0,"",VLOOKUP(Table1[[#This Row],[/* Object]],Namespace!A:J,4,FALSE))</f>
        <v>X</v>
      </c>
      <c r="AG156" t="str">
        <f>IF(VLOOKUP(Table1[[#This Row],[/* Object]],Namespace!A:J,5,FALSE)=0,"",VLOOKUP(Table1[[#This Row],[/* Object]],Namespace!A:J,5,FALSE))</f>
        <v>X</v>
      </c>
      <c r="AH156" t="str">
        <f>IF(VLOOKUP(Table1[[#This Row],[/* Object]],Namespace!A:J,6,FALSE)=0,"",VLOOKUP(Table1[[#This Row],[/* Object]],Namespace!A:J,6,FALSE))</f>
        <v/>
      </c>
      <c r="AI156">
        <f>IFERROR(FIND("/",Table1[[#This Row],[Final Obj Name]],1),0)</f>
        <v>0</v>
      </c>
      <c r="AJ156">
        <f>IF(Table1[[#This Row],[Position 1]]=0,0,FIND("/",Table1[[#This Row],[Final Obj Name]],Table1[[#This Row],[Position 1]]+1))</f>
        <v>0</v>
      </c>
      <c r="AK156" t="str">
        <f>IF(LEFT(Table1[[#This Row],[Final Obj Name]],1)="/",LEFT(Table1[[#This Row],[Final Obj Name]],FIND("/",Table1[[#This Row],[Final Obj Name]],2)),"/0SAP/")</f>
        <v>/0SAP/</v>
      </c>
    </row>
    <row r="157">
      <c r="A157" t="str">
        <v>CLAS</v>
      </c>
      <c r="B157" t="str">
        <v>ZCL_REUSE_PURCHASEORDER</v>
      </c>
      <c r="C157" t="str">
        <v>METH</v>
      </c>
      <c r="D157" t="str">
        <v>ZCL_REUSE_PURCHASEORDER       HEADER_VALIDATION</v>
      </c>
      <c r="E157" t="str">
        <v>PN</v>
      </c>
      <c r="G157" t="str">
        <v>MOD</v>
      </c>
      <c r="H157" t="str">
        <v>ZCL_REUSE_PURCHASEORDER=======CP</v>
      </c>
      <c r="K157" t="str">
        <v>E</v>
      </c>
      <c r="L157" t="str">
        <v>CST_UKHANNA</v>
      </c>
      <c r="M157">
        <v>43713</v>
      </c>
      <c r="N157">
        <v>0.47875</v>
      </c>
      <c r="W157" t="str">
        <v>X01K900530</v>
      </c>
      <c r="Y157">
        <f>IF(Table1[[#This Row],[OPERATION]]="NOTE","NOTE",Table1[[#This Row],[SUB_TYPE]])</f>
        <v>0</v>
      </c>
      <c r="Z157">
        <f>IF(Table1[[#This Row],[OPERATION]]="NOTE",NUMBERVALUE(LEFT(Table1[[#This Row],[MOD_NAME]],LEN(Table1[[#This Row],[MOD_NAME]])-4)),Table1[[#This Row],[SUB_NAME]])</f>
        <v>0</v>
      </c>
      <c r="AA157" t="str">
        <f>CONCAT(Table1[[#This Row],[Final Obj Type]],"|",Table1[[#This Row],[Final Obj Name]])</f>
        <v>0|0</v>
      </c>
      <c r="AB157" t="e">
        <f>VLOOKUP(Table1[[#This Row],[Final Obj Type]],Classification!B:E,3,FALSE)</f>
        <v>#N/A</v>
      </c>
      <c r="AC157" t="e">
        <f>VLOOKUP(Table1[[#This Row],[Final Obj Type]],Classification!B:E,4,FALSE)</f>
        <v>#N/A</v>
      </c>
      <c r="AD157" t="str">
        <f>IF(Table1[[#This Row],[Position 1]]=0,"/0SAP/",MID(Table1[[#This Row],[Final Obj Name]],Table1[[#This Row],[Position 1]],Table1[[#This Row],[Position 2]]-Table1[[#This Row],[Position 1]]+1))</f>
        <v>/0SAP/</v>
      </c>
      <c r="AE157" t="str">
        <f>VLOOKUP(Table1[[#This Row],[/* Object]],Namespace!A:J,10,FALSE)</f>
        <v>SAP AG</v>
      </c>
      <c r="AF157" t="str">
        <f>IF(VLOOKUP(Table1[[#This Row],[/* Object]],Namespace!A:J,4,FALSE)=0,"",VLOOKUP(Table1[[#This Row],[/* Object]],Namespace!A:J,4,FALSE))</f>
        <v>X</v>
      </c>
      <c r="AG157" t="str">
        <f>IF(VLOOKUP(Table1[[#This Row],[/* Object]],Namespace!A:J,5,FALSE)=0,"",VLOOKUP(Table1[[#This Row],[/* Object]],Namespace!A:J,5,FALSE))</f>
        <v>X</v>
      </c>
      <c r="AH157" t="str">
        <f>IF(VLOOKUP(Table1[[#This Row],[/* Object]],Namespace!A:J,6,FALSE)=0,"",VLOOKUP(Table1[[#This Row],[/* Object]],Namespace!A:J,6,FALSE))</f>
        <v/>
      </c>
      <c r="AI157">
        <f>IFERROR(FIND("/",Table1[[#This Row],[Final Obj Name]],1),0)</f>
        <v>0</v>
      </c>
      <c r="AJ157">
        <f>IF(Table1[[#This Row],[Position 1]]=0,0,FIND("/",Table1[[#This Row],[Final Obj Name]],Table1[[#This Row],[Position 1]]+1))</f>
        <v>0</v>
      </c>
      <c r="AK157" t="str">
        <f>IF(LEFT(Table1[[#This Row],[Final Obj Name]],1)="/",LEFT(Table1[[#This Row],[Final Obj Name]],FIND("/",Table1[[#This Row],[Final Obj Name]],2)),"/0SAP/")</f>
        <v>/0SAP/</v>
      </c>
    </row>
    <row r="158">
      <c r="A158" t="str">
        <v>CLAS</v>
      </c>
      <c r="B158" t="str">
        <v>ZCL_REUSE_PURCHASEORDER</v>
      </c>
      <c r="C158" t="str">
        <v>METH</v>
      </c>
      <c r="D158" t="str">
        <v>ZCL_REUSE_PURCHASEORDER       SPLIT_FILE_TO_HEADER_ITEM</v>
      </c>
      <c r="E158" t="str">
        <v>PN</v>
      </c>
      <c r="G158" t="str">
        <v>MOD</v>
      </c>
      <c r="H158" t="str">
        <v>ZCL_REUSE_PURCHASEORDER=======CP</v>
      </c>
      <c r="K158" t="str">
        <v>E</v>
      </c>
      <c r="L158" t="str">
        <v>CST_UKHANNA</v>
      </c>
      <c r="M158">
        <v>43713</v>
      </c>
      <c r="N158">
        <v>0.47291666666667</v>
      </c>
      <c r="Y158">
        <f>IF(Table1[[#This Row],[OPERATION]]="NOTE","NOTE",Table1[[#This Row],[SUB_TYPE]])</f>
        <v>0</v>
      </c>
      <c r="Z158">
        <f>IF(Table1[[#This Row],[OPERATION]]="NOTE",NUMBERVALUE(LEFT(Table1[[#This Row],[MOD_NAME]],LEN(Table1[[#This Row],[MOD_NAME]])-4)),Table1[[#This Row],[SUB_NAME]])</f>
        <v>0</v>
      </c>
      <c r="AA158" t="str">
        <f>CONCAT(Table1[[#This Row],[Final Obj Type]],"|",Table1[[#This Row],[Final Obj Name]])</f>
        <v>0|0</v>
      </c>
      <c r="AB158" t="e">
        <f>VLOOKUP(Table1[[#This Row],[Final Obj Type]],Classification!B:E,3,FALSE)</f>
        <v>#N/A</v>
      </c>
      <c r="AC158" t="e">
        <f>VLOOKUP(Table1[[#This Row],[Final Obj Type]],Classification!B:E,4,FALSE)</f>
        <v>#N/A</v>
      </c>
      <c r="AD158" t="str">
        <f>IF(Table1[[#This Row],[Position 1]]=0,"/0SAP/",MID(Table1[[#This Row],[Final Obj Name]],Table1[[#This Row],[Position 1]],Table1[[#This Row],[Position 2]]-Table1[[#This Row],[Position 1]]+1))</f>
        <v>/0SAP/</v>
      </c>
      <c r="AE158" t="str">
        <f>VLOOKUP(Table1[[#This Row],[/* Object]],Namespace!A:J,10,FALSE)</f>
        <v>SAP AG</v>
      </c>
      <c r="AF158" t="str">
        <f>IF(VLOOKUP(Table1[[#This Row],[/* Object]],Namespace!A:J,4,FALSE)=0,"",VLOOKUP(Table1[[#This Row],[/* Object]],Namespace!A:J,4,FALSE))</f>
        <v>X</v>
      </c>
      <c r="AG158" t="str">
        <f>IF(VLOOKUP(Table1[[#This Row],[/* Object]],Namespace!A:J,5,FALSE)=0,"",VLOOKUP(Table1[[#This Row],[/* Object]],Namespace!A:J,5,FALSE))</f>
        <v>X</v>
      </c>
      <c r="AH158" t="str">
        <f>IF(VLOOKUP(Table1[[#This Row],[/* Object]],Namespace!A:J,6,FALSE)=0,"",VLOOKUP(Table1[[#This Row],[/* Object]],Namespace!A:J,6,FALSE))</f>
        <v/>
      </c>
      <c r="AI158">
        <f>IFERROR(FIND("/",Table1[[#This Row],[Final Obj Name]],1),0)</f>
        <v>0</v>
      </c>
      <c r="AJ158">
        <f>IF(Table1[[#This Row],[Position 1]]=0,0,FIND("/",Table1[[#This Row],[Final Obj Name]],Table1[[#This Row],[Position 1]]+1))</f>
        <v>0</v>
      </c>
      <c r="AK158" t="str">
        <f>IF(LEFT(Table1[[#This Row],[Final Obj Name]],1)="/",LEFT(Table1[[#This Row],[Final Obj Name]],FIND("/",Table1[[#This Row],[Final Obj Name]],2)),"/0SAP/")</f>
        <v>/0SAP/</v>
      </c>
    </row>
    <row r="159">
      <c r="A159" t="str">
        <v>CLAS</v>
      </c>
      <c r="B159" t="str">
        <v>ZCL_REUSE_PURCHASEORDER</v>
      </c>
      <c r="C159" t="str">
        <v>REPT</v>
      </c>
      <c r="D159" t="str">
        <v>ZCL_REUSE_PURCHASEORDER=======CP</v>
      </c>
      <c r="G159" t="str">
        <v>ALL</v>
      </c>
      <c r="H159" t="str">
        <v>ZCL_REUSE_PURCHASEORDER=======CP</v>
      </c>
      <c r="K159" t="str">
        <v>E</v>
      </c>
      <c r="L159" t="str">
        <v>CST_UKHANNA</v>
      </c>
      <c r="M159">
        <v>43713</v>
      </c>
      <c r="N159">
        <v>0.47858796296296</v>
      </c>
      <c r="W159" t="str">
        <v>X01K900529</v>
      </c>
      <c r="Y159">
        <f>IF(Table1[[#This Row],[OPERATION]]="NOTE","NOTE",Table1[[#This Row],[SUB_TYPE]])</f>
        <v>0</v>
      </c>
      <c r="Z159">
        <f>IF(Table1[[#This Row],[OPERATION]]="NOTE",NUMBERVALUE(LEFT(Table1[[#This Row],[MOD_NAME]],LEN(Table1[[#This Row],[MOD_NAME]])-4)),Table1[[#This Row],[SUB_NAME]])</f>
        <v>0</v>
      </c>
      <c r="AA159" t="str">
        <f>CONCAT(Table1[[#This Row],[Final Obj Type]],"|",Table1[[#This Row],[Final Obj Name]])</f>
        <v>0|0</v>
      </c>
      <c r="AB159" t="e">
        <f>VLOOKUP(Table1[[#This Row],[Final Obj Type]],Classification!B:E,3,FALSE)</f>
        <v>#N/A</v>
      </c>
      <c r="AC159" t="e">
        <f>VLOOKUP(Table1[[#This Row],[Final Obj Type]],Classification!B:E,4,FALSE)</f>
        <v>#N/A</v>
      </c>
      <c r="AD159" t="str">
        <f>IF(Table1[[#This Row],[Position 1]]=0,"/0SAP/",MID(Table1[[#This Row],[Final Obj Name]],Table1[[#This Row],[Position 1]],Table1[[#This Row],[Position 2]]-Table1[[#This Row],[Position 1]]+1))</f>
        <v>/0SAP/</v>
      </c>
      <c r="AE159" t="str">
        <f>VLOOKUP(Table1[[#This Row],[/* Object]],Namespace!A:J,10,FALSE)</f>
        <v>SAP AG</v>
      </c>
      <c r="AF159" t="str">
        <f>IF(VLOOKUP(Table1[[#This Row],[/* Object]],Namespace!A:J,4,FALSE)=0,"",VLOOKUP(Table1[[#This Row],[/* Object]],Namespace!A:J,4,FALSE))</f>
        <v>X</v>
      </c>
      <c r="AG159" t="str">
        <f>IF(VLOOKUP(Table1[[#This Row],[/* Object]],Namespace!A:J,5,FALSE)=0,"",VLOOKUP(Table1[[#This Row],[/* Object]],Namespace!A:J,5,FALSE))</f>
        <v>X</v>
      </c>
      <c r="AH159" t="str">
        <f>IF(VLOOKUP(Table1[[#This Row],[/* Object]],Namespace!A:J,6,FALSE)=0,"",VLOOKUP(Table1[[#This Row],[/* Object]],Namespace!A:J,6,FALSE))</f>
        <v/>
      </c>
      <c r="AI159">
        <f>IFERROR(FIND("/",Table1[[#This Row],[Final Obj Name]],1),0)</f>
        <v>0</v>
      </c>
      <c r="AJ159">
        <f>IF(Table1[[#This Row],[Position 1]]=0,0,FIND("/",Table1[[#This Row],[Final Obj Name]],Table1[[#This Row],[Position 1]]+1))</f>
        <v>0</v>
      </c>
      <c r="AK159" t="str">
        <f>IF(LEFT(Table1[[#This Row],[Final Obj Name]],1)="/",LEFT(Table1[[#This Row],[Final Obj Name]],FIND("/",Table1[[#This Row],[Final Obj Name]],2)),"/0SAP/")</f>
        <v>/0SAP/</v>
      </c>
    </row>
    <row r="160">
      <c r="A160" t="str">
        <v>CLAS</v>
      </c>
      <c r="B160" t="str">
        <v>ZCL_REUSE_PURCH_INFO_REC</v>
      </c>
      <c r="C160" t="str">
        <v>CPUB</v>
      </c>
      <c r="D160" t="str">
        <v>ZCL_REUSE_PURCH_INFO_REC</v>
      </c>
      <c r="E160" t="str">
        <v>INTF</v>
      </c>
      <c r="G160" t="str">
        <v>ALL</v>
      </c>
      <c r="K160" t="str">
        <v>E</v>
      </c>
      <c r="L160" t="str">
        <v>CST_UKHANNA</v>
      </c>
      <c r="M160">
        <v>43713</v>
      </c>
      <c r="N160">
        <v>0.33888888888889</v>
      </c>
      <c r="W160" t="str">
        <v>X01K900530</v>
      </c>
      <c r="Y160">
        <f>IF(Table1[[#This Row],[OPERATION]]="NOTE","NOTE",Table1[[#This Row],[SUB_TYPE]])</f>
        <v>0</v>
      </c>
      <c r="Z160">
        <f>IF(Table1[[#This Row],[OPERATION]]="NOTE",NUMBERVALUE(LEFT(Table1[[#This Row],[MOD_NAME]],LEN(Table1[[#This Row],[MOD_NAME]])-4)),Table1[[#This Row],[SUB_NAME]])</f>
        <v>0</v>
      </c>
      <c r="AA160" t="str">
        <f>CONCAT(Table1[[#This Row],[Final Obj Type]],"|",Table1[[#This Row],[Final Obj Name]])</f>
        <v>0|0</v>
      </c>
      <c r="AB160" t="e">
        <f>VLOOKUP(Table1[[#This Row],[Final Obj Type]],Classification!B:E,3,FALSE)</f>
        <v>#N/A</v>
      </c>
      <c r="AC160" t="e">
        <f>VLOOKUP(Table1[[#This Row],[Final Obj Type]],Classification!B:E,4,FALSE)</f>
        <v>#N/A</v>
      </c>
      <c r="AD160" t="str">
        <f>IF(Table1[[#This Row],[Position 1]]=0,"/0SAP/",MID(Table1[[#This Row],[Final Obj Name]],Table1[[#This Row],[Position 1]],Table1[[#This Row],[Position 2]]-Table1[[#This Row],[Position 1]]+1))</f>
        <v>/0SAP/</v>
      </c>
      <c r="AE160" t="str">
        <f>VLOOKUP(Table1[[#This Row],[/* Object]],Namespace!A:J,10,FALSE)</f>
        <v>SAP AG</v>
      </c>
      <c r="AF160" t="str">
        <f>IF(VLOOKUP(Table1[[#This Row],[/* Object]],Namespace!A:J,4,FALSE)=0,"",VLOOKUP(Table1[[#This Row],[/* Object]],Namespace!A:J,4,FALSE))</f>
        <v>X</v>
      </c>
      <c r="AG160" t="str">
        <f>IF(VLOOKUP(Table1[[#This Row],[/* Object]],Namespace!A:J,5,FALSE)=0,"",VLOOKUP(Table1[[#This Row],[/* Object]],Namespace!A:J,5,FALSE))</f>
        <v>X</v>
      </c>
      <c r="AH160" t="str">
        <f>IF(VLOOKUP(Table1[[#This Row],[/* Object]],Namespace!A:J,6,FALSE)=0,"",VLOOKUP(Table1[[#This Row],[/* Object]],Namespace!A:J,6,FALSE))</f>
        <v/>
      </c>
      <c r="AI160">
        <f>IFERROR(FIND("/",Table1[[#This Row],[Final Obj Name]],1),0)</f>
        <v>0</v>
      </c>
      <c r="AJ160">
        <f>IF(Table1[[#This Row],[Position 1]]=0,0,FIND("/",Table1[[#This Row],[Final Obj Name]],Table1[[#This Row],[Position 1]]+1))</f>
        <v>0</v>
      </c>
      <c r="AK160" t="str">
        <f>IF(LEFT(Table1[[#This Row],[Final Obj Name]],1)="/",LEFT(Table1[[#This Row],[Final Obj Name]],FIND("/",Table1[[#This Row],[Final Obj Name]],2)),"/0SAP/")</f>
        <v>/0SAP/</v>
      </c>
    </row>
    <row r="161">
      <c r="A161" t="str">
        <v>CLAS</v>
      </c>
      <c r="B161" t="str">
        <v>ZCL_REUSE_PURCH_INFO_REC</v>
      </c>
      <c r="C161" t="str">
        <v>METH</v>
      </c>
      <c r="D161" t="str">
        <v>ZCL_REUSE_PURCH_INFO_REC      CONVERSION_EXITS</v>
      </c>
      <c r="E161" t="str">
        <v>PN</v>
      </c>
      <c r="G161" t="str">
        <v>MOD</v>
      </c>
      <c r="H161" t="str">
        <v>ZCL_REUSE_PURCH_INFO_REC======CP</v>
      </c>
      <c r="K161" t="str">
        <v>E</v>
      </c>
      <c r="L161" t="str">
        <v>CST_UKHANNA</v>
      </c>
      <c r="M161">
        <v>43713</v>
      </c>
      <c r="N161">
        <v>0.34328703703704</v>
      </c>
      <c r="W161" t="str">
        <v>X01K900530</v>
      </c>
      <c r="Y161">
        <f>IF(Table1[[#This Row],[OPERATION]]="NOTE","NOTE",Table1[[#This Row],[SUB_TYPE]])</f>
        <v>0</v>
      </c>
      <c r="Z161">
        <f>IF(Table1[[#This Row],[OPERATION]]="NOTE",NUMBERVALUE(LEFT(Table1[[#This Row],[MOD_NAME]],LEN(Table1[[#This Row],[MOD_NAME]])-4)),Table1[[#This Row],[SUB_NAME]])</f>
        <v>0</v>
      </c>
      <c r="AA161" t="str">
        <f>CONCAT(Table1[[#This Row],[Final Obj Type]],"|",Table1[[#This Row],[Final Obj Name]])</f>
        <v>0|0</v>
      </c>
      <c r="AB161" t="e">
        <f>VLOOKUP(Table1[[#This Row],[Final Obj Type]],Classification!B:E,3,FALSE)</f>
        <v>#N/A</v>
      </c>
      <c r="AC161" t="e">
        <f>VLOOKUP(Table1[[#This Row],[Final Obj Type]],Classification!B:E,4,FALSE)</f>
        <v>#N/A</v>
      </c>
      <c r="AD161" t="str">
        <f>IF(Table1[[#This Row],[Position 1]]=0,"/0SAP/",MID(Table1[[#This Row],[Final Obj Name]],Table1[[#This Row],[Position 1]],Table1[[#This Row],[Position 2]]-Table1[[#This Row],[Position 1]]+1))</f>
        <v>/0SAP/</v>
      </c>
      <c r="AE161" t="str">
        <f>VLOOKUP(Table1[[#This Row],[/* Object]],Namespace!A:J,10,FALSE)</f>
        <v>SAP AG</v>
      </c>
      <c r="AF161" t="str">
        <f>IF(VLOOKUP(Table1[[#This Row],[/* Object]],Namespace!A:J,4,FALSE)=0,"",VLOOKUP(Table1[[#This Row],[/* Object]],Namespace!A:J,4,FALSE))</f>
        <v>X</v>
      </c>
      <c r="AG161" t="str">
        <f>IF(VLOOKUP(Table1[[#This Row],[/* Object]],Namespace!A:J,5,FALSE)=0,"",VLOOKUP(Table1[[#This Row],[/* Object]],Namespace!A:J,5,FALSE))</f>
        <v>X</v>
      </c>
      <c r="AH161" t="str">
        <f>IF(VLOOKUP(Table1[[#This Row],[/* Object]],Namespace!A:J,6,FALSE)=0,"",VLOOKUP(Table1[[#This Row],[/* Object]],Namespace!A:J,6,FALSE))</f>
        <v/>
      </c>
      <c r="AI161">
        <f>IFERROR(FIND("/",Table1[[#This Row],[Final Obj Name]],1),0)</f>
        <v>0</v>
      </c>
      <c r="AJ161">
        <f>IF(Table1[[#This Row],[Position 1]]=0,0,FIND("/",Table1[[#This Row],[Final Obj Name]],Table1[[#This Row],[Position 1]]+1))</f>
        <v>0</v>
      </c>
      <c r="AK161" t="str">
        <f>IF(LEFT(Table1[[#This Row],[Final Obj Name]],1)="/",LEFT(Table1[[#This Row],[Final Obj Name]],FIND("/",Table1[[#This Row],[Final Obj Name]],2)),"/0SAP/")</f>
        <v>/0SAP/</v>
      </c>
    </row>
    <row r="162">
      <c r="A162" t="str">
        <v>CLAS</v>
      </c>
      <c r="B162" t="str">
        <v>ZCL_REUSE_PURCH_INFO_REC</v>
      </c>
      <c r="C162" t="str">
        <v>METH</v>
      </c>
      <c r="D162" t="str">
        <v>ZCL_REUSE_PURCH_INFO_REC      VALIDATIONS</v>
      </c>
      <c r="E162" t="str">
        <v>PN</v>
      </c>
      <c r="G162" t="str">
        <v>MOD</v>
      </c>
      <c r="H162" t="str">
        <v>ZCL_REUSE_PURCH_INFO_REC======CP</v>
      </c>
      <c r="K162" t="str">
        <v>E</v>
      </c>
      <c r="L162" t="str">
        <v>CST_UKHANNA</v>
      </c>
      <c r="M162">
        <v>43713</v>
      </c>
      <c r="N162">
        <v>0.34680555555556</v>
      </c>
      <c r="W162" t="str">
        <v>X01K900530</v>
      </c>
      <c r="Y162">
        <f>IF(Table1[[#This Row],[OPERATION]]="NOTE","NOTE",Table1[[#This Row],[SUB_TYPE]])</f>
        <v>0</v>
      </c>
      <c r="Z162">
        <f>IF(Table1[[#This Row],[OPERATION]]="NOTE",NUMBERVALUE(LEFT(Table1[[#This Row],[MOD_NAME]],LEN(Table1[[#This Row],[MOD_NAME]])-4)),Table1[[#This Row],[SUB_NAME]])</f>
        <v>0</v>
      </c>
      <c r="AA162" t="str">
        <f>CONCAT(Table1[[#This Row],[Final Obj Type]],"|",Table1[[#This Row],[Final Obj Name]])</f>
        <v>0|0</v>
      </c>
      <c r="AB162" t="e">
        <f>VLOOKUP(Table1[[#This Row],[Final Obj Type]],Classification!B:E,3,FALSE)</f>
        <v>#N/A</v>
      </c>
      <c r="AC162" t="e">
        <f>VLOOKUP(Table1[[#This Row],[Final Obj Type]],Classification!B:E,4,FALSE)</f>
        <v>#N/A</v>
      </c>
      <c r="AD162" t="str">
        <f>IF(Table1[[#This Row],[Position 1]]=0,"/0SAP/",MID(Table1[[#This Row],[Final Obj Name]],Table1[[#This Row],[Position 1]],Table1[[#This Row],[Position 2]]-Table1[[#This Row],[Position 1]]+1))</f>
        <v>/0SAP/</v>
      </c>
      <c r="AE162" t="str">
        <f>VLOOKUP(Table1[[#This Row],[/* Object]],Namespace!A:J,10,FALSE)</f>
        <v>SAP AG</v>
      </c>
      <c r="AF162" t="str">
        <f>IF(VLOOKUP(Table1[[#This Row],[/* Object]],Namespace!A:J,4,FALSE)=0,"",VLOOKUP(Table1[[#This Row],[/* Object]],Namespace!A:J,4,FALSE))</f>
        <v>X</v>
      </c>
      <c r="AG162" t="str">
        <f>IF(VLOOKUP(Table1[[#This Row],[/* Object]],Namespace!A:J,5,FALSE)=0,"",VLOOKUP(Table1[[#This Row],[/* Object]],Namespace!A:J,5,FALSE))</f>
        <v>X</v>
      </c>
      <c r="AH162" t="str">
        <f>IF(VLOOKUP(Table1[[#This Row],[/* Object]],Namespace!A:J,6,FALSE)=0,"",VLOOKUP(Table1[[#This Row],[/* Object]],Namespace!A:J,6,FALSE))</f>
        <v/>
      </c>
      <c r="AI162">
        <f>IFERROR(FIND("/",Table1[[#This Row],[Final Obj Name]],1),0)</f>
        <v>0</v>
      </c>
      <c r="AJ162">
        <f>IF(Table1[[#This Row],[Position 1]]=0,0,FIND("/",Table1[[#This Row],[Final Obj Name]],Table1[[#This Row],[Position 1]]+1))</f>
        <v>0</v>
      </c>
      <c r="AK162" t="str">
        <f>IF(LEFT(Table1[[#This Row],[Final Obj Name]],1)="/",LEFT(Table1[[#This Row],[Final Obj Name]],FIND("/",Table1[[#This Row],[Final Obj Name]],2)),"/0SAP/")</f>
        <v>/0SAP/</v>
      </c>
    </row>
    <row r="163">
      <c r="A163" t="str">
        <v>CLAS</v>
      </c>
      <c r="B163" t="str">
        <v>ZCL_REUSE_PURCH_INFO_REC</v>
      </c>
      <c r="C163" t="str">
        <v>REPT</v>
      </c>
      <c r="D163" t="str">
        <v>ZCL_REUSE_PURCH_INFO_REC======CP</v>
      </c>
      <c r="G163" t="str">
        <v>ALL</v>
      </c>
      <c r="H163" t="str">
        <v>ZCL_REUSE_PURCH_INFO_REC======CP</v>
      </c>
      <c r="K163" t="str">
        <v>E</v>
      </c>
      <c r="L163" t="str">
        <v>CST_UKHANNA</v>
      </c>
      <c r="M163">
        <v>43713</v>
      </c>
      <c r="N163">
        <v>0.34636574074074</v>
      </c>
      <c r="W163" t="str">
        <v>X01K900529</v>
      </c>
      <c r="Y163">
        <f>IF(Table1[[#This Row],[OPERATION]]="NOTE","NOTE",Table1[[#This Row],[SUB_TYPE]])</f>
        <v>0</v>
      </c>
      <c r="Z163">
        <f>IF(Table1[[#This Row],[OPERATION]]="NOTE",NUMBERVALUE(LEFT(Table1[[#This Row],[MOD_NAME]],LEN(Table1[[#This Row],[MOD_NAME]])-4)),Table1[[#This Row],[SUB_NAME]])</f>
        <v>0</v>
      </c>
      <c r="AA163" t="str">
        <f>CONCAT(Table1[[#This Row],[Final Obj Type]],"|",Table1[[#This Row],[Final Obj Name]])</f>
        <v>0|0</v>
      </c>
      <c r="AB163" t="e">
        <f>VLOOKUP(Table1[[#This Row],[Final Obj Type]],Classification!B:E,3,FALSE)</f>
        <v>#N/A</v>
      </c>
      <c r="AC163" t="e">
        <f>VLOOKUP(Table1[[#This Row],[Final Obj Type]],Classification!B:E,4,FALSE)</f>
        <v>#N/A</v>
      </c>
      <c r="AD163" t="str">
        <f>IF(Table1[[#This Row],[Position 1]]=0,"/0SAP/",MID(Table1[[#This Row],[Final Obj Name]],Table1[[#This Row],[Position 1]],Table1[[#This Row],[Position 2]]-Table1[[#This Row],[Position 1]]+1))</f>
        <v>/0SAP/</v>
      </c>
      <c r="AE163" t="str">
        <f>VLOOKUP(Table1[[#This Row],[/* Object]],Namespace!A:J,10,FALSE)</f>
        <v>SAP AG</v>
      </c>
      <c r="AF163" t="str">
        <f>IF(VLOOKUP(Table1[[#This Row],[/* Object]],Namespace!A:J,4,FALSE)=0,"",VLOOKUP(Table1[[#This Row],[/* Object]],Namespace!A:J,4,FALSE))</f>
        <v>X</v>
      </c>
      <c r="AG163" t="str">
        <f>IF(VLOOKUP(Table1[[#This Row],[/* Object]],Namespace!A:J,5,FALSE)=0,"",VLOOKUP(Table1[[#This Row],[/* Object]],Namespace!A:J,5,FALSE))</f>
        <v>X</v>
      </c>
      <c r="AH163" t="str">
        <f>IF(VLOOKUP(Table1[[#This Row],[/* Object]],Namespace!A:J,6,FALSE)=0,"",VLOOKUP(Table1[[#This Row],[/* Object]],Namespace!A:J,6,FALSE))</f>
        <v/>
      </c>
      <c r="AI163">
        <f>IFERROR(FIND("/",Table1[[#This Row],[Final Obj Name]],1),0)</f>
        <v>0</v>
      </c>
      <c r="AJ163">
        <f>IF(Table1[[#This Row],[Position 1]]=0,0,FIND("/",Table1[[#This Row],[Final Obj Name]],Table1[[#This Row],[Position 1]]+1))</f>
        <v>0</v>
      </c>
      <c r="AK163" t="str">
        <f>IF(LEFT(Table1[[#This Row],[Final Obj Name]],1)="/",LEFT(Table1[[#This Row],[Final Obj Name]],FIND("/",Table1[[#This Row],[Final Obj Name]],2)),"/0SAP/")</f>
        <v>/0SAP/</v>
      </c>
    </row>
    <row r="164">
      <c r="A164" t="str">
        <v>CLAS</v>
      </c>
      <c r="B164" t="str">
        <v>ZCL_REUSE_SALESORDER</v>
      </c>
      <c r="C164" t="str">
        <v>CPRI</v>
      </c>
      <c r="D164" t="str">
        <v>ZCL_REUSE_SALESORDER</v>
      </c>
      <c r="E164" t="str">
        <v>INTF</v>
      </c>
      <c r="G164" t="str">
        <v>ALL</v>
      </c>
      <c r="K164" t="str">
        <v>E</v>
      </c>
      <c r="L164" t="str">
        <v>CST_PPHANEEN</v>
      </c>
      <c r="M164">
        <v>43675</v>
      </c>
      <c r="N164">
        <v>0.2419212962963</v>
      </c>
      <c r="W164" t="str">
        <v>X01K900316</v>
      </c>
      <c r="Y164">
        <f>IF(Table1[[#This Row],[OPERATION]]="NOTE","NOTE",Table1[[#This Row],[SUB_TYPE]])</f>
        <v>0</v>
      </c>
      <c r="Z164">
        <f>IF(Table1[[#This Row],[OPERATION]]="NOTE",NUMBERVALUE(LEFT(Table1[[#This Row],[MOD_NAME]],LEN(Table1[[#This Row],[MOD_NAME]])-4)),Table1[[#This Row],[SUB_NAME]])</f>
        <v>0</v>
      </c>
      <c r="AA164" t="str">
        <f>CONCAT(Table1[[#This Row],[Final Obj Type]],"|",Table1[[#This Row],[Final Obj Name]])</f>
        <v>0|0</v>
      </c>
      <c r="AB164" t="e">
        <f>VLOOKUP(Table1[[#This Row],[Final Obj Type]],Classification!B:E,3,FALSE)</f>
        <v>#N/A</v>
      </c>
      <c r="AC164" t="e">
        <f>VLOOKUP(Table1[[#This Row],[Final Obj Type]],Classification!B:E,4,FALSE)</f>
        <v>#N/A</v>
      </c>
      <c r="AD164" t="str">
        <f>IF(Table1[[#This Row],[Position 1]]=0,"/0SAP/",MID(Table1[[#This Row],[Final Obj Name]],Table1[[#This Row],[Position 1]],Table1[[#This Row],[Position 2]]-Table1[[#This Row],[Position 1]]+1))</f>
        <v>/0SAP/</v>
      </c>
      <c r="AE164" t="str">
        <f>VLOOKUP(Table1[[#This Row],[/* Object]],Namespace!A:J,10,FALSE)</f>
        <v>SAP AG</v>
      </c>
      <c r="AF164" t="str">
        <f>IF(VLOOKUP(Table1[[#This Row],[/* Object]],Namespace!A:J,4,FALSE)=0,"",VLOOKUP(Table1[[#This Row],[/* Object]],Namespace!A:J,4,FALSE))</f>
        <v>X</v>
      </c>
      <c r="AG164" t="str">
        <f>IF(VLOOKUP(Table1[[#This Row],[/* Object]],Namespace!A:J,5,FALSE)=0,"",VLOOKUP(Table1[[#This Row],[/* Object]],Namespace!A:J,5,FALSE))</f>
        <v>X</v>
      </c>
      <c r="AH164" t="str">
        <f>IF(VLOOKUP(Table1[[#This Row],[/* Object]],Namespace!A:J,6,FALSE)=0,"",VLOOKUP(Table1[[#This Row],[/* Object]],Namespace!A:J,6,FALSE))</f>
        <v/>
      </c>
      <c r="AI164">
        <f>IFERROR(FIND("/",Table1[[#This Row],[Final Obj Name]],1),0)</f>
        <v>0</v>
      </c>
      <c r="AJ164">
        <f>IF(Table1[[#This Row],[Position 1]]=0,0,FIND("/",Table1[[#This Row],[Final Obj Name]],Table1[[#This Row],[Position 1]]+1))</f>
        <v>0</v>
      </c>
      <c r="AK164" t="str">
        <f>IF(LEFT(Table1[[#This Row],[Final Obj Name]],1)="/",LEFT(Table1[[#This Row],[Final Obj Name]],FIND("/",Table1[[#This Row],[Final Obj Name]],2)),"/0SAP/")</f>
        <v>/0SAP/</v>
      </c>
    </row>
    <row r="165">
      <c r="A165" t="str">
        <v>CLAS</v>
      </c>
      <c r="B165" t="str">
        <v>ZCL_REUSE_SOURCELIST_CONV</v>
      </c>
      <c r="C165" t="str">
        <v>CPUB</v>
      </c>
      <c r="D165" t="str">
        <v>ZCL_REUSE_SOURCELIST_CONV</v>
      </c>
      <c r="E165" t="str">
        <v>INTF</v>
      </c>
      <c r="G165" t="str">
        <v>ALL</v>
      </c>
      <c r="K165" t="str">
        <v>E</v>
      </c>
      <c r="L165" t="str">
        <v>CST_UKHANNA</v>
      </c>
      <c r="M165">
        <v>43712</v>
      </c>
      <c r="N165">
        <v>0.45457175925926</v>
      </c>
      <c r="W165" t="str">
        <v>X01K900530</v>
      </c>
      <c r="Y165">
        <f>IF(Table1[[#This Row],[OPERATION]]="NOTE","NOTE",Table1[[#This Row],[SUB_TYPE]])</f>
        <v>0</v>
      </c>
      <c r="Z165">
        <f>IF(Table1[[#This Row],[OPERATION]]="NOTE",NUMBERVALUE(LEFT(Table1[[#This Row],[MOD_NAME]],LEN(Table1[[#This Row],[MOD_NAME]])-4)),Table1[[#This Row],[SUB_NAME]])</f>
        <v>0</v>
      </c>
      <c r="AA165" t="str">
        <f>CONCAT(Table1[[#This Row],[Final Obj Type]],"|",Table1[[#This Row],[Final Obj Name]])</f>
        <v>0|0</v>
      </c>
      <c r="AB165" t="e">
        <f>VLOOKUP(Table1[[#This Row],[Final Obj Type]],Classification!B:E,3,FALSE)</f>
        <v>#N/A</v>
      </c>
      <c r="AC165" t="e">
        <f>VLOOKUP(Table1[[#This Row],[Final Obj Type]],Classification!B:E,4,FALSE)</f>
        <v>#N/A</v>
      </c>
      <c r="AD165" t="str">
        <f>IF(Table1[[#This Row],[Position 1]]=0,"/0SAP/",MID(Table1[[#This Row],[Final Obj Name]],Table1[[#This Row],[Position 1]],Table1[[#This Row],[Position 2]]-Table1[[#This Row],[Position 1]]+1))</f>
        <v>/0SAP/</v>
      </c>
      <c r="AE165" t="str">
        <f>VLOOKUP(Table1[[#This Row],[/* Object]],Namespace!A:J,10,FALSE)</f>
        <v>SAP AG</v>
      </c>
      <c r="AF165" t="str">
        <f>IF(VLOOKUP(Table1[[#This Row],[/* Object]],Namespace!A:J,4,FALSE)=0,"",VLOOKUP(Table1[[#This Row],[/* Object]],Namespace!A:J,4,FALSE))</f>
        <v>X</v>
      </c>
      <c r="AG165" t="str">
        <f>IF(VLOOKUP(Table1[[#This Row],[/* Object]],Namespace!A:J,5,FALSE)=0,"",VLOOKUP(Table1[[#This Row],[/* Object]],Namespace!A:J,5,FALSE))</f>
        <v>X</v>
      </c>
      <c r="AH165" t="str">
        <f>IF(VLOOKUP(Table1[[#This Row],[/* Object]],Namespace!A:J,6,FALSE)=0,"",VLOOKUP(Table1[[#This Row],[/* Object]],Namespace!A:J,6,FALSE))</f>
        <v/>
      </c>
      <c r="AI165">
        <f>IFERROR(FIND("/",Table1[[#This Row],[Final Obj Name]],1),0)</f>
        <v>0</v>
      </c>
      <c r="AJ165">
        <f>IF(Table1[[#This Row],[Position 1]]=0,0,FIND("/",Table1[[#This Row],[Final Obj Name]],Table1[[#This Row],[Position 1]]+1))</f>
        <v>0</v>
      </c>
      <c r="AK165" t="str">
        <f>IF(LEFT(Table1[[#This Row],[Final Obj Name]],1)="/",LEFT(Table1[[#This Row],[Final Obj Name]],FIND("/",Table1[[#This Row],[Final Obj Name]],2)),"/0SAP/")</f>
        <v>/0SAP/</v>
      </c>
    </row>
    <row r="166">
      <c r="A166" t="str">
        <v>CLAS</v>
      </c>
      <c r="B166" t="str">
        <v>ZCL_REUSE_SOURCELIST_CONV</v>
      </c>
      <c r="C166" t="str">
        <v>METH</v>
      </c>
      <c r="D166" t="str">
        <v>ZCL_REUSE_SOURCELIST_CONV     VALIDATE_VENDOR</v>
      </c>
      <c r="E166" t="str">
        <v>PN</v>
      </c>
      <c r="G166" t="str">
        <v>MOD</v>
      </c>
      <c r="H166" t="str">
        <v>ZCL_REUSE_SOURCELIST_CONV=====CP</v>
      </c>
      <c r="K166" t="str">
        <v>E</v>
      </c>
      <c r="L166" t="str">
        <v>CST_UKHANNA</v>
      </c>
      <c r="M166">
        <v>43712</v>
      </c>
      <c r="N166">
        <v>0.46194444444444</v>
      </c>
      <c r="W166" t="str">
        <v>X01K900530</v>
      </c>
      <c r="Y166">
        <f>IF(Table1[[#This Row],[OPERATION]]="NOTE","NOTE",Table1[[#This Row],[SUB_TYPE]])</f>
        <v>0</v>
      </c>
      <c r="Z166">
        <f>IF(Table1[[#This Row],[OPERATION]]="NOTE",NUMBERVALUE(LEFT(Table1[[#This Row],[MOD_NAME]],LEN(Table1[[#This Row],[MOD_NAME]])-4)),Table1[[#This Row],[SUB_NAME]])</f>
        <v>0</v>
      </c>
      <c r="AA166" t="str">
        <f>CONCAT(Table1[[#This Row],[Final Obj Type]],"|",Table1[[#This Row],[Final Obj Name]])</f>
        <v>0|0</v>
      </c>
      <c r="AB166" t="e">
        <f>VLOOKUP(Table1[[#This Row],[Final Obj Type]],Classification!B:E,3,FALSE)</f>
        <v>#N/A</v>
      </c>
      <c r="AC166" t="e">
        <f>VLOOKUP(Table1[[#This Row],[Final Obj Type]],Classification!B:E,4,FALSE)</f>
        <v>#N/A</v>
      </c>
      <c r="AD166" t="str">
        <f>IF(Table1[[#This Row],[Position 1]]=0,"/0SAP/",MID(Table1[[#This Row],[Final Obj Name]],Table1[[#This Row],[Position 1]],Table1[[#This Row],[Position 2]]-Table1[[#This Row],[Position 1]]+1))</f>
        <v>/0SAP/</v>
      </c>
      <c r="AE166" t="str">
        <f>VLOOKUP(Table1[[#This Row],[/* Object]],Namespace!A:J,10,FALSE)</f>
        <v>SAP AG</v>
      </c>
      <c r="AF166" t="str">
        <f>IF(VLOOKUP(Table1[[#This Row],[/* Object]],Namespace!A:J,4,FALSE)=0,"",VLOOKUP(Table1[[#This Row],[/* Object]],Namespace!A:J,4,FALSE))</f>
        <v>X</v>
      </c>
      <c r="AG166" t="str">
        <f>IF(VLOOKUP(Table1[[#This Row],[/* Object]],Namespace!A:J,5,FALSE)=0,"",VLOOKUP(Table1[[#This Row],[/* Object]],Namespace!A:J,5,FALSE))</f>
        <v>X</v>
      </c>
      <c r="AH166" t="str">
        <f>IF(VLOOKUP(Table1[[#This Row],[/* Object]],Namespace!A:J,6,FALSE)=0,"",VLOOKUP(Table1[[#This Row],[/* Object]],Namespace!A:J,6,FALSE))</f>
        <v/>
      </c>
      <c r="AI166">
        <f>IFERROR(FIND("/",Table1[[#This Row],[Final Obj Name]],1),0)</f>
        <v>0</v>
      </c>
      <c r="AJ166">
        <f>IF(Table1[[#This Row],[Position 1]]=0,0,FIND("/",Table1[[#This Row],[Final Obj Name]],Table1[[#This Row],[Position 1]]+1))</f>
        <v>0</v>
      </c>
      <c r="AK166" t="str">
        <f>IF(LEFT(Table1[[#This Row],[Final Obj Name]],1)="/",LEFT(Table1[[#This Row],[Final Obj Name]],FIND("/",Table1[[#This Row],[Final Obj Name]],2)),"/0SAP/")</f>
        <v>/0SAP/</v>
      </c>
    </row>
    <row r="167">
      <c r="A167" t="str">
        <v>CLAS</v>
      </c>
      <c r="B167" t="str">
        <v>ZCL_REUSE_SOURCELIST_CONV</v>
      </c>
      <c r="C167" t="str">
        <v>REPT</v>
      </c>
      <c r="D167" t="str">
        <v>ZCL_REUSE_SOURCELIST_CONV=====CP</v>
      </c>
      <c r="G167" t="str">
        <v>ALL</v>
      </c>
      <c r="H167" t="str">
        <v>ZCL_REUSE_SOURCELIST_CONV=====CP</v>
      </c>
      <c r="K167" t="str">
        <v>E</v>
      </c>
      <c r="L167" t="str">
        <v>CST_UKHANNA</v>
      </c>
      <c r="M167">
        <v>43712</v>
      </c>
      <c r="N167">
        <v>0.46064814814815</v>
      </c>
      <c r="W167" t="str">
        <v>X01K900529</v>
      </c>
      <c r="Y167">
        <f>IF(Table1[[#This Row],[OPERATION]]="NOTE","NOTE",Table1[[#This Row],[SUB_TYPE]])</f>
        <v>0</v>
      </c>
      <c r="Z167">
        <f>IF(Table1[[#This Row],[OPERATION]]="NOTE",NUMBERVALUE(LEFT(Table1[[#This Row],[MOD_NAME]],LEN(Table1[[#This Row],[MOD_NAME]])-4)),Table1[[#This Row],[SUB_NAME]])</f>
        <v>0</v>
      </c>
      <c r="AA167" t="str">
        <f>CONCAT(Table1[[#This Row],[Final Obj Type]],"|",Table1[[#This Row],[Final Obj Name]])</f>
        <v>0|0</v>
      </c>
      <c r="AB167" t="e">
        <f>VLOOKUP(Table1[[#This Row],[Final Obj Type]],Classification!B:E,3,FALSE)</f>
        <v>#N/A</v>
      </c>
      <c r="AC167" t="e">
        <f>VLOOKUP(Table1[[#This Row],[Final Obj Type]],Classification!B:E,4,FALSE)</f>
        <v>#N/A</v>
      </c>
      <c r="AD167" t="str">
        <f>IF(Table1[[#This Row],[Position 1]]=0,"/0SAP/",MID(Table1[[#This Row],[Final Obj Name]],Table1[[#This Row],[Position 1]],Table1[[#This Row],[Position 2]]-Table1[[#This Row],[Position 1]]+1))</f>
        <v>/0SAP/</v>
      </c>
      <c r="AE167" t="str">
        <f>VLOOKUP(Table1[[#This Row],[/* Object]],Namespace!A:J,10,FALSE)</f>
        <v>SAP AG</v>
      </c>
      <c r="AF167" t="str">
        <f>IF(VLOOKUP(Table1[[#This Row],[/* Object]],Namespace!A:J,4,FALSE)=0,"",VLOOKUP(Table1[[#This Row],[/* Object]],Namespace!A:J,4,FALSE))</f>
        <v>X</v>
      </c>
      <c r="AG167" t="str">
        <f>IF(VLOOKUP(Table1[[#This Row],[/* Object]],Namespace!A:J,5,FALSE)=0,"",VLOOKUP(Table1[[#This Row],[/* Object]],Namespace!A:J,5,FALSE))</f>
        <v>X</v>
      </c>
      <c r="AH167" t="str">
        <f>IF(VLOOKUP(Table1[[#This Row],[/* Object]],Namespace!A:J,6,FALSE)=0,"",VLOOKUP(Table1[[#This Row],[/* Object]],Namespace!A:J,6,FALSE))</f>
        <v/>
      </c>
      <c r="AI167">
        <f>IFERROR(FIND("/",Table1[[#This Row],[Final Obj Name]],1),0)</f>
        <v>0</v>
      </c>
      <c r="AJ167">
        <f>IF(Table1[[#This Row],[Position 1]]=0,0,FIND("/",Table1[[#This Row],[Final Obj Name]],Table1[[#This Row],[Position 1]]+1))</f>
        <v>0</v>
      </c>
      <c r="AK167" t="str">
        <f>IF(LEFT(Table1[[#This Row],[Final Obj Name]],1)="/",LEFT(Table1[[#This Row],[Final Obj Name]],FIND("/",Table1[[#This Row],[Final Obj Name]],2)),"/0SAP/")</f>
        <v>/0SAP/</v>
      </c>
    </row>
    <row r="168">
      <c r="A168" t="str">
        <v>CLAS</v>
      </c>
      <c r="B168" t="str">
        <v>ZCL_REUSE_VENDOR_HEADER</v>
      </c>
      <c r="C168" t="str">
        <v>METH</v>
      </c>
      <c r="D168" t="str">
        <v>ZCL_REUSE_VENDOR_HEADER       FILL_BLFM1</v>
      </c>
      <c r="E168" t="str">
        <v>PN</v>
      </c>
      <c r="G168" t="str">
        <v>MOD</v>
      </c>
      <c r="H168" t="str">
        <v>ZCL_REUSE_VENDOR_HEADER=======CP</v>
      </c>
      <c r="K168" t="str">
        <v>E</v>
      </c>
      <c r="L168" t="str">
        <v>CST_AMINNEMA</v>
      </c>
      <c r="M168">
        <v>43724</v>
      </c>
      <c r="N168">
        <v>0.5274537037037</v>
      </c>
      <c r="Y168">
        <f>IF(Table1[[#This Row],[OPERATION]]="NOTE","NOTE",Table1[[#This Row],[SUB_TYPE]])</f>
        <v>0</v>
      </c>
      <c r="Z168">
        <f>IF(Table1[[#This Row],[OPERATION]]="NOTE",NUMBERVALUE(LEFT(Table1[[#This Row],[MOD_NAME]],LEN(Table1[[#This Row],[MOD_NAME]])-4)),Table1[[#This Row],[SUB_NAME]])</f>
        <v>0</v>
      </c>
      <c r="AA168" t="str">
        <f>CONCAT(Table1[[#This Row],[Final Obj Type]],"|",Table1[[#This Row],[Final Obj Name]])</f>
        <v>0|0</v>
      </c>
      <c r="AB168" t="e">
        <f>VLOOKUP(Table1[[#This Row],[Final Obj Type]],Classification!B:E,3,FALSE)</f>
        <v>#N/A</v>
      </c>
      <c r="AC168" t="e">
        <f>VLOOKUP(Table1[[#This Row],[Final Obj Type]],Classification!B:E,4,FALSE)</f>
        <v>#N/A</v>
      </c>
      <c r="AD168" t="str">
        <f>IF(Table1[[#This Row],[Position 1]]=0,"/0SAP/",MID(Table1[[#This Row],[Final Obj Name]],Table1[[#This Row],[Position 1]],Table1[[#This Row],[Position 2]]-Table1[[#This Row],[Position 1]]+1))</f>
        <v>/0SAP/</v>
      </c>
      <c r="AE168" t="str">
        <f>VLOOKUP(Table1[[#This Row],[/* Object]],Namespace!A:J,10,FALSE)</f>
        <v>SAP AG</v>
      </c>
      <c r="AF168" t="str">
        <f>IF(VLOOKUP(Table1[[#This Row],[/* Object]],Namespace!A:J,4,FALSE)=0,"",VLOOKUP(Table1[[#This Row],[/* Object]],Namespace!A:J,4,FALSE))</f>
        <v>X</v>
      </c>
      <c r="AG168" t="str">
        <f>IF(VLOOKUP(Table1[[#This Row],[/* Object]],Namespace!A:J,5,FALSE)=0,"",VLOOKUP(Table1[[#This Row],[/* Object]],Namespace!A:J,5,FALSE))</f>
        <v>X</v>
      </c>
      <c r="AH168" t="str">
        <f>IF(VLOOKUP(Table1[[#This Row],[/* Object]],Namespace!A:J,6,FALSE)=0,"",VLOOKUP(Table1[[#This Row],[/* Object]],Namespace!A:J,6,FALSE))</f>
        <v/>
      </c>
      <c r="AI168">
        <f>IFERROR(FIND("/",Table1[[#This Row],[Final Obj Name]],1),0)</f>
        <v>0</v>
      </c>
      <c r="AJ168">
        <f>IF(Table1[[#This Row],[Position 1]]=0,0,FIND("/",Table1[[#This Row],[Final Obj Name]],Table1[[#This Row],[Position 1]]+1))</f>
        <v>0</v>
      </c>
      <c r="AK168" t="str">
        <f>IF(LEFT(Table1[[#This Row],[Final Obj Name]],1)="/",LEFT(Table1[[#This Row],[Final Obj Name]],FIND("/",Table1[[#This Row],[Final Obj Name]],2)),"/0SAP/")</f>
        <v>/0SAP/</v>
      </c>
    </row>
    <row r="169">
      <c r="A169" t="str">
        <v>CLAS</v>
      </c>
      <c r="B169" t="str">
        <v>ZCL_REUSE_VENDOR_HEADER</v>
      </c>
      <c r="C169" t="str">
        <v>METH</v>
      </c>
      <c r="D169" t="str">
        <v>ZCL_REUSE_VENDOR_HEADER       POPULATE_LOG</v>
      </c>
      <c r="E169" t="str">
        <v>PN</v>
      </c>
      <c r="G169" t="str">
        <v>MOD</v>
      </c>
      <c r="H169" t="str">
        <v>ZCL_REUSE_VENDOR_HEADER=======CP</v>
      </c>
      <c r="K169" t="str">
        <v>E</v>
      </c>
      <c r="L169" t="str">
        <v>CST_AMINNEMA</v>
      </c>
      <c r="M169">
        <v>43724</v>
      </c>
      <c r="N169">
        <v>0.52797453703704</v>
      </c>
      <c r="Y169">
        <f>IF(Table1[[#This Row],[OPERATION]]="NOTE","NOTE",Table1[[#This Row],[SUB_TYPE]])</f>
        <v>0</v>
      </c>
      <c r="Z169">
        <f>IF(Table1[[#This Row],[OPERATION]]="NOTE",NUMBERVALUE(LEFT(Table1[[#This Row],[MOD_NAME]],LEN(Table1[[#This Row],[MOD_NAME]])-4)),Table1[[#This Row],[SUB_NAME]])</f>
        <v>0</v>
      </c>
      <c r="AA169" t="str">
        <f>CONCAT(Table1[[#This Row],[Final Obj Type]],"|",Table1[[#This Row],[Final Obj Name]])</f>
        <v>0|0</v>
      </c>
      <c r="AB169" t="e">
        <f>VLOOKUP(Table1[[#This Row],[Final Obj Type]],Classification!B:E,3,FALSE)</f>
        <v>#N/A</v>
      </c>
      <c r="AC169" t="e">
        <f>VLOOKUP(Table1[[#This Row],[Final Obj Type]],Classification!B:E,4,FALSE)</f>
        <v>#N/A</v>
      </c>
      <c r="AD169" t="str">
        <f>IF(Table1[[#This Row],[Position 1]]=0,"/0SAP/",MID(Table1[[#This Row],[Final Obj Name]],Table1[[#This Row],[Position 1]],Table1[[#This Row],[Position 2]]-Table1[[#This Row],[Position 1]]+1))</f>
        <v>/0SAP/</v>
      </c>
      <c r="AE169" t="str">
        <f>VLOOKUP(Table1[[#This Row],[/* Object]],Namespace!A:J,10,FALSE)</f>
        <v>SAP AG</v>
      </c>
      <c r="AF169" t="str">
        <f>IF(VLOOKUP(Table1[[#This Row],[/* Object]],Namespace!A:J,4,FALSE)=0,"",VLOOKUP(Table1[[#This Row],[/* Object]],Namespace!A:J,4,FALSE))</f>
        <v>X</v>
      </c>
      <c r="AG169" t="str">
        <f>IF(VLOOKUP(Table1[[#This Row],[/* Object]],Namespace!A:J,5,FALSE)=0,"",VLOOKUP(Table1[[#This Row],[/* Object]],Namespace!A:J,5,FALSE))</f>
        <v>X</v>
      </c>
      <c r="AH169" t="str">
        <f>IF(VLOOKUP(Table1[[#This Row],[/* Object]],Namespace!A:J,6,FALSE)=0,"",VLOOKUP(Table1[[#This Row],[/* Object]],Namespace!A:J,6,FALSE))</f>
        <v/>
      </c>
      <c r="AI169">
        <f>IFERROR(FIND("/",Table1[[#This Row],[Final Obj Name]],1),0)</f>
        <v>0</v>
      </c>
      <c r="AJ169">
        <f>IF(Table1[[#This Row],[Position 1]]=0,0,FIND("/",Table1[[#This Row],[Final Obj Name]],Table1[[#This Row],[Position 1]]+1))</f>
        <v>0</v>
      </c>
      <c r="AK169" t="str">
        <f>IF(LEFT(Table1[[#This Row],[Final Obj Name]],1)="/",LEFT(Table1[[#This Row],[Final Obj Name]],FIND("/",Table1[[#This Row],[Final Obj Name]],2)),"/0SAP/")</f>
        <v>/0SAP/</v>
      </c>
    </row>
    <row r="170">
      <c r="A170" t="str">
        <v>CLAS</v>
      </c>
      <c r="B170" t="str">
        <v>ZCL_REUSE_VENDOR_MASTER_S4</v>
      </c>
      <c r="C170" t="str">
        <v>METH</v>
      </c>
      <c r="D170" t="str">
        <v>ZCL_REUSE_VENDOR_MASTER_S4    FILL_BLFM1</v>
      </c>
      <c r="E170" t="str">
        <v>PN</v>
      </c>
      <c r="G170" t="str">
        <v>MOD</v>
      </c>
      <c r="H170" t="str">
        <v>ZCL_REUSE_VENDOR_MASTER_S4====CP</v>
      </c>
      <c r="K170" t="str">
        <v>E</v>
      </c>
      <c r="L170" t="str">
        <v>CST_AMINNEMA</v>
      </c>
      <c r="M170">
        <v>43714</v>
      </c>
      <c r="N170">
        <v>0.8334375</v>
      </c>
      <c r="Y170">
        <f>IF(Table1[[#This Row],[OPERATION]]="NOTE","NOTE",Table1[[#This Row],[SUB_TYPE]])</f>
        <v>0</v>
      </c>
      <c r="Z170">
        <f>IF(Table1[[#This Row],[OPERATION]]="NOTE",NUMBERVALUE(LEFT(Table1[[#This Row],[MOD_NAME]],LEN(Table1[[#This Row],[MOD_NAME]])-4)),Table1[[#This Row],[SUB_NAME]])</f>
        <v>0</v>
      </c>
      <c r="AA170" t="str">
        <f>CONCAT(Table1[[#This Row],[Final Obj Type]],"|",Table1[[#This Row],[Final Obj Name]])</f>
        <v>0|0</v>
      </c>
      <c r="AB170" t="e">
        <f>VLOOKUP(Table1[[#This Row],[Final Obj Type]],Classification!B:E,3,FALSE)</f>
        <v>#N/A</v>
      </c>
      <c r="AC170" t="e">
        <f>VLOOKUP(Table1[[#This Row],[Final Obj Type]],Classification!B:E,4,FALSE)</f>
        <v>#N/A</v>
      </c>
      <c r="AD170" t="str">
        <f>IF(Table1[[#This Row],[Position 1]]=0,"/0SAP/",MID(Table1[[#This Row],[Final Obj Name]],Table1[[#This Row],[Position 1]],Table1[[#This Row],[Position 2]]-Table1[[#This Row],[Position 1]]+1))</f>
        <v>/0SAP/</v>
      </c>
      <c r="AE170" t="str">
        <f>VLOOKUP(Table1[[#This Row],[/* Object]],Namespace!A:J,10,FALSE)</f>
        <v>SAP AG</v>
      </c>
      <c r="AF170" t="str">
        <f>IF(VLOOKUP(Table1[[#This Row],[/* Object]],Namespace!A:J,4,FALSE)=0,"",VLOOKUP(Table1[[#This Row],[/* Object]],Namespace!A:J,4,FALSE))</f>
        <v>X</v>
      </c>
      <c r="AG170" t="str">
        <f>IF(VLOOKUP(Table1[[#This Row],[/* Object]],Namespace!A:J,5,FALSE)=0,"",VLOOKUP(Table1[[#This Row],[/* Object]],Namespace!A:J,5,FALSE))</f>
        <v>X</v>
      </c>
      <c r="AH170" t="str">
        <f>IF(VLOOKUP(Table1[[#This Row],[/* Object]],Namespace!A:J,6,FALSE)=0,"",VLOOKUP(Table1[[#This Row],[/* Object]],Namespace!A:J,6,FALSE))</f>
        <v/>
      </c>
      <c r="AI170">
        <f>IFERROR(FIND("/",Table1[[#This Row],[Final Obj Name]],1),0)</f>
        <v>0</v>
      </c>
      <c r="AJ170">
        <f>IF(Table1[[#This Row],[Position 1]]=0,0,FIND("/",Table1[[#This Row],[Final Obj Name]],Table1[[#This Row],[Position 1]]+1))</f>
        <v>0</v>
      </c>
      <c r="AK170" t="str">
        <f>IF(LEFT(Table1[[#This Row],[Final Obj Name]],1)="/",LEFT(Table1[[#This Row],[Final Obj Name]],FIND("/",Table1[[#This Row],[Final Obj Name]],2)),"/0SAP/")</f>
        <v>/0SAP/</v>
      </c>
    </row>
    <row r="171">
      <c r="A171" t="str">
        <v>CLAS</v>
      </c>
      <c r="B171" t="str">
        <v>ZCL_REUSE_VENDOR_MASTER_S4</v>
      </c>
      <c r="C171" t="str">
        <v>METH</v>
      </c>
      <c r="D171" t="str">
        <v>ZCL_REUSE_VENDOR_MASTER_S4    POPULATE_HEADER_DETAILS</v>
      </c>
      <c r="E171" t="str">
        <v>PN</v>
      </c>
      <c r="G171" t="str">
        <v>MOD</v>
      </c>
      <c r="H171" t="str">
        <v>ZCL_REUSE_VENDOR_MASTER_S4====CP</v>
      </c>
      <c r="K171" t="str">
        <v>E</v>
      </c>
      <c r="L171" t="str">
        <v>CST_AMINNEMA</v>
      </c>
      <c r="M171">
        <v>43714</v>
      </c>
      <c r="N171">
        <v>0.83417824074074</v>
      </c>
      <c r="Y171">
        <f>IF(Table1[[#This Row],[OPERATION]]="NOTE","NOTE",Table1[[#This Row],[SUB_TYPE]])</f>
        <v>0</v>
      </c>
      <c r="Z171">
        <f>IF(Table1[[#This Row],[OPERATION]]="NOTE",NUMBERVALUE(LEFT(Table1[[#This Row],[MOD_NAME]],LEN(Table1[[#This Row],[MOD_NAME]])-4)),Table1[[#This Row],[SUB_NAME]])</f>
        <v>0</v>
      </c>
      <c r="AA171" t="str">
        <f>CONCAT(Table1[[#This Row],[Final Obj Type]],"|",Table1[[#This Row],[Final Obj Name]])</f>
        <v>0|0</v>
      </c>
      <c r="AB171" t="e">
        <f>VLOOKUP(Table1[[#This Row],[Final Obj Type]],Classification!B:E,3,FALSE)</f>
        <v>#N/A</v>
      </c>
      <c r="AC171" t="e">
        <f>VLOOKUP(Table1[[#This Row],[Final Obj Type]],Classification!B:E,4,FALSE)</f>
        <v>#N/A</v>
      </c>
      <c r="AD171" t="str">
        <f>IF(Table1[[#This Row],[Position 1]]=0,"/0SAP/",MID(Table1[[#This Row],[Final Obj Name]],Table1[[#This Row],[Position 1]],Table1[[#This Row],[Position 2]]-Table1[[#This Row],[Position 1]]+1))</f>
        <v>/0SAP/</v>
      </c>
      <c r="AE171" t="str">
        <f>VLOOKUP(Table1[[#This Row],[/* Object]],Namespace!A:J,10,FALSE)</f>
        <v>SAP AG</v>
      </c>
      <c r="AF171" t="str">
        <f>IF(VLOOKUP(Table1[[#This Row],[/* Object]],Namespace!A:J,4,FALSE)=0,"",VLOOKUP(Table1[[#This Row],[/* Object]],Namespace!A:J,4,FALSE))</f>
        <v>X</v>
      </c>
      <c r="AG171" t="str">
        <f>IF(VLOOKUP(Table1[[#This Row],[/* Object]],Namespace!A:J,5,FALSE)=0,"",VLOOKUP(Table1[[#This Row],[/* Object]],Namespace!A:J,5,FALSE))</f>
        <v>X</v>
      </c>
      <c r="AH171" t="str">
        <f>IF(VLOOKUP(Table1[[#This Row],[/* Object]],Namespace!A:J,6,FALSE)=0,"",VLOOKUP(Table1[[#This Row],[/* Object]],Namespace!A:J,6,FALSE))</f>
        <v/>
      </c>
      <c r="AI171">
        <f>IFERROR(FIND("/",Table1[[#This Row],[Final Obj Name]],1),0)</f>
        <v>0</v>
      </c>
      <c r="AJ171">
        <f>IF(Table1[[#This Row],[Position 1]]=0,0,FIND("/",Table1[[#This Row],[Final Obj Name]],Table1[[#This Row],[Position 1]]+1))</f>
        <v>0</v>
      </c>
      <c r="AK171" t="str">
        <f>IF(LEFT(Table1[[#This Row],[Final Obj Name]],1)="/",LEFT(Table1[[#This Row],[Final Obj Name]],FIND("/",Table1[[#This Row],[Final Obj Name]],2)),"/0SAP/")</f>
        <v>/0SAP/</v>
      </c>
    </row>
    <row r="172">
      <c r="A172" t="str">
        <v>CLAS</v>
      </c>
      <c r="B172" t="str">
        <v>ZCL_REUSE_VENDOR_MASTER_S4</v>
      </c>
      <c r="C172" t="str">
        <v>METH</v>
      </c>
      <c r="D172" t="str">
        <v>ZCL_REUSE_VENDOR_MASTER_S4    POPULATE_LOG</v>
      </c>
      <c r="E172" t="str">
        <v>PN</v>
      </c>
      <c r="G172" t="str">
        <v>MOD</v>
      </c>
      <c r="H172" t="str">
        <v>ZCL_REUSE_VENDOR_MASTER_S4====CP</v>
      </c>
      <c r="K172" t="str">
        <v>E</v>
      </c>
      <c r="L172" t="str">
        <v>CST_AMINNEMA</v>
      </c>
      <c r="M172">
        <v>43714</v>
      </c>
      <c r="N172">
        <v>0.8349537037037</v>
      </c>
      <c r="Y172">
        <f>IF(Table1[[#This Row],[OPERATION]]="NOTE","NOTE",Table1[[#This Row],[SUB_TYPE]])</f>
        <v>0</v>
      </c>
      <c r="Z172">
        <f>IF(Table1[[#This Row],[OPERATION]]="NOTE",NUMBERVALUE(LEFT(Table1[[#This Row],[MOD_NAME]],LEN(Table1[[#This Row],[MOD_NAME]])-4)),Table1[[#This Row],[SUB_NAME]])</f>
        <v>0</v>
      </c>
      <c r="AA172" t="str">
        <f>CONCAT(Table1[[#This Row],[Final Obj Type]],"|",Table1[[#This Row],[Final Obj Name]])</f>
        <v>0|0</v>
      </c>
      <c r="AB172" t="e">
        <f>VLOOKUP(Table1[[#This Row],[Final Obj Type]],Classification!B:E,3,FALSE)</f>
        <v>#N/A</v>
      </c>
      <c r="AC172" t="e">
        <f>VLOOKUP(Table1[[#This Row],[Final Obj Type]],Classification!B:E,4,FALSE)</f>
        <v>#N/A</v>
      </c>
      <c r="AD172" t="str">
        <f>IF(Table1[[#This Row],[Position 1]]=0,"/0SAP/",MID(Table1[[#This Row],[Final Obj Name]],Table1[[#This Row],[Position 1]],Table1[[#This Row],[Position 2]]-Table1[[#This Row],[Position 1]]+1))</f>
        <v>/0SAP/</v>
      </c>
      <c r="AE172" t="str">
        <f>VLOOKUP(Table1[[#This Row],[/* Object]],Namespace!A:J,10,FALSE)</f>
        <v>SAP AG</v>
      </c>
      <c r="AF172" t="str">
        <f>IF(VLOOKUP(Table1[[#This Row],[/* Object]],Namespace!A:J,4,FALSE)=0,"",VLOOKUP(Table1[[#This Row],[/* Object]],Namespace!A:J,4,FALSE))</f>
        <v>X</v>
      </c>
      <c r="AG172" t="str">
        <f>IF(VLOOKUP(Table1[[#This Row],[/* Object]],Namespace!A:J,5,FALSE)=0,"",VLOOKUP(Table1[[#This Row],[/* Object]],Namespace!A:J,5,FALSE))</f>
        <v>X</v>
      </c>
      <c r="AH172" t="str">
        <f>IF(VLOOKUP(Table1[[#This Row],[/* Object]],Namespace!A:J,6,FALSE)=0,"",VLOOKUP(Table1[[#This Row],[/* Object]],Namespace!A:J,6,FALSE))</f>
        <v/>
      </c>
      <c r="AI172">
        <f>IFERROR(FIND("/",Table1[[#This Row],[Final Obj Name]],1),0)</f>
        <v>0</v>
      </c>
      <c r="AJ172">
        <f>IF(Table1[[#This Row],[Position 1]]=0,0,FIND("/",Table1[[#This Row],[Final Obj Name]],Table1[[#This Row],[Position 1]]+1))</f>
        <v>0</v>
      </c>
      <c r="AK172" t="str">
        <f>IF(LEFT(Table1[[#This Row],[Final Obj Name]],1)="/",LEFT(Table1[[#This Row],[Final Obj Name]],FIND("/",Table1[[#This Row],[Final Obj Name]],2)),"/0SAP/")</f>
        <v>/0SAP/</v>
      </c>
    </row>
    <row r="173">
      <c r="A173" t="str">
        <v>CLAS</v>
      </c>
      <c r="B173" t="str">
        <v>ZCL_REUSE_VENDOR_MASTER_S4</v>
      </c>
      <c r="C173" t="str">
        <v>METH</v>
      </c>
      <c r="D173" t="str">
        <v>ZCL_REUSE_VENDOR_MASTER_S4    POPULATE_PURCHASING_DATA</v>
      </c>
      <c r="E173" t="str">
        <v>PN</v>
      </c>
      <c r="G173" t="str">
        <v>MOD</v>
      </c>
      <c r="H173" t="str">
        <v>ZCL_REUSE_VENDOR_MASTER_S4====CP</v>
      </c>
      <c r="K173" t="str">
        <v>E</v>
      </c>
      <c r="L173" t="str">
        <v>CST_AMINNEMA</v>
      </c>
      <c r="M173">
        <v>43714</v>
      </c>
      <c r="N173">
        <v>0.83520833333333</v>
      </c>
      <c r="Y173">
        <f>IF(Table1[[#This Row],[OPERATION]]="NOTE","NOTE",Table1[[#This Row],[SUB_TYPE]])</f>
        <v>0</v>
      </c>
      <c r="Z173">
        <f>IF(Table1[[#This Row],[OPERATION]]="NOTE",NUMBERVALUE(LEFT(Table1[[#This Row],[MOD_NAME]],LEN(Table1[[#This Row],[MOD_NAME]])-4)),Table1[[#This Row],[SUB_NAME]])</f>
        <v>0</v>
      </c>
      <c r="AA173" t="str">
        <f>CONCAT(Table1[[#This Row],[Final Obj Type]],"|",Table1[[#This Row],[Final Obj Name]])</f>
        <v>0|0</v>
      </c>
      <c r="AB173" t="e">
        <f>VLOOKUP(Table1[[#This Row],[Final Obj Type]],Classification!B:E,3,FALSE)</f>
        <v>#N/A</v>
      </c>
      <c r="AC173" t="e">
        <f>VLOOKUP(Table1[[#This Row],[Final Obj Type]],Classification!B:E,4,FALSE)</f>
        <v>#N/A</v>
      </c>
      <c r="AD173" t="str">
        <f>IF(Table1[[#This Row],[Position 1]]=0,"/0SAP/",MID(Table1[[#This Row],[Final Obj Name]],Table1[[#This Row],[Position 1]],Table1[[#This Row],[Position 2]]-Table1[[#This Row],[Position 1]]+1))</f>
        <v>/0SAP/</v>
      </c>
      <c r="AE173" t="str">
        <f>VLOOKUP(Table1[[#This Row],[/* Object]],Namespace!A:J,10,FALSE)</f>
        <v>SAP AG</v>
      </c>
      <c r="AF173" t="str">
        <f>IF(VLOOKUP(Table1[[#This Row],[/* Object]],Namespace!A:J,4,FALSE)=0,"",VLOOKUP(Table1[[#This Row],[/* Object]],Namespace!A:J,4,FALSE))</f>
        <v>X</v>
      </c>
      <c r="AG173" t="str">
        <f>IF(VLOOKUP(Table1[[#This Row],[/* Object]],Namespace!A:J,5,FALSE)=0,"",VLOOKUP(Table1[[#This Row],[/* Object]],Namespace!A:J,5,FALSE))</f>
        <v>X</v>
      </c>
      <c r="AH173" t="str">
        <f>IF(VLOOKUP(Table1[[#This Row],[/* Object]],Namespace!A:J,6,FALSE)=0,"",VLOOKUP(Table1[[#This Row],[/* Object]],Namespace!A:J,6,FALSE))</f>
        <v/>
      </c>
      <c r="AI173">
        <f>IFERROR(FIND("/",Table1[[#This Row],[Final Obj Name]],1),0)</f>
        <v>0</v>
      </c>
      <c r="AJ173">
        <f>IF(Table1[[#This Row],[Position 1]]=0,0,FIND("/",Table1[[#This Row],[Final Obj Name]],Table1[[#This Row],[Position 1]]+1))</f>
        <v>0</v>
      </c>
      <c r="AK173" t="str">
        <f>IF(LEFT(Table1[[#This Row],[Final Obj Name]],1)="/",LEFT(Table1[[#This Row],[Final Obj Name]],FIND("/",Table1[[#This Row],[Final Obj Name]],2)),"/0SAP/")</f>
        <v>/0SAP/</v>
      </c>
    </row>
    <row r="174">
      <c r="A174" t="str">
        <v>CLAS</v>
      </c>
      <c r="B174" t="str">
        <v>ZCL_REUSE_VENDOR_MASTER_S4</v>
      </c>
      <c r="C174" t="str">
        <v>REPT</v>
      </c>
      <c r="D174" t="str">
        <v>ZCL_REUSE_VENDOR_MASTER_S4====CP</v>
      </c>
      <c r="G174" t="str">
        <v>ALL</v>
      </c>
      <c r="H174" t="str">
        <v>ZCL_REUSE_VENDOR_MASTER_S4====CP</v>
      </c>
      <c r="K174" t="str">
        <v>E</v>
      </c>
      <c r="L174" t="str">
        <v>PPHANEENDRA</v>
      </c>
      <c r="M174">
        <v>43633</v>
      </c>
      <c r="N174">
        <v>0.34990740740741</v>
      </c>
      <c r="W174" t="str">
        <v>FLSK900734</v>
      </c>
      <c r="Y174">
        <f>IF(Table1[[#This Row],[OPERATION]]="NOTE","NOTE",Table1[[#This Row],[SUB_TYPE]])</f>
        <v>0</v>
      </c>
      <c r="Z174">
        <f>IF(Table1[[#This Row],[OPERATION]]="NOTE",NUMBERVALUE(LEFT(Table1[[#This Row],[MOD_NAME]],LEN(Table1[[#This Row],[MOD_NAME]])-4)),Table1[[#This Row],[SUB_NAME]])</f>
        <v>0</v>
      </c>
      <c r="AA174" t="str">
        <f>CONCAT(Table1[[#This Row],[Final Obj Type]],"|",Table1[[#This Row],[Final Obj Name]])</f>
        <v>0|0</v>
      </c>
      <c r="AB174" t="e">
        <f>VLOOKUP(Table1[[#This Row],[Final Obj Type]],Classification!B:E,3,FALSE)</f>
        <v>#N/A</v>
      </c>
      <c r="AC174" t="e">
        <f>VLOOKUP(Table1[[#This Row],[Final Obj Type]],Classification!B:E,4,FALSE)</f>
        <v>#N/A</v>
      </c>
      <c r="AD174" t="str">
        <f>IF(Table1[[#This Row],[Position 1]]=0,"/0SAP/",MID(Table1[[#This Row],[Final Obj Name]],Table1[[#This Row],[Position 1]],Table1[[#This Row],[Position 2]]-Table1[[#This Row],[Position 1]]+1))</f>
        <v>/0SAP/</v>
      </c>
      <c r="AE174" t="str">
        <f>VLOOKUP(Table1[[#This Row],[/* Object]],Namespace!A:J,10,FALSE)</f>
        <v>SAP AG</v>
      </c>
      <c r="AF174" t="str">
        <f>IF(VLOOKUP(Table1[[#This Row],[/* Object]],Namespace!A:J,4,FALSE)=0,"",VLOOKUP(Table1[[#This Row],[/* Object]],Namespace!A:J,4,FALSE))</f>
        <v>X</v>
      </c>
      <c r="AG174" t="str">
        <f>IF(VLOOKUP(Table1[[#This Row],[/* Object]],Namespace!A:J,5,FALSE)=0,"",VLOOKUP(Table1[[#This Row],[/* Object]],Namespace!A:J,5,FALSE))</f>
        <v>X</v>
      </c>
      <c r="AH174" t="str">
        <f>IF(VLOOKUP(Table1[[#This Row],[/* Object]],Namespace!A:J,6,FALSE)=0,"",VLOOKUP(Table1[[#This Row],[/* Object]],Namespace!A:J,6,FALSE))</f>
        <v/>
      </c>
      <c r="AI174">
        <f>IFERROR(FIND("/",Table1[[#This Row],[Final Obj Name]],1),0)</f>
        <v>0</v>
      </c>
      <c r="AJ174">
        <f>IF(Table1[[#This Row],[Position 1]]=0,0,FIND("/",Table1[[#This Row],[Final Obj Name]],Table1[[#This Row],[Position 1]]+1))</f>
        <v>0</v>
      </c>
      <c r="AK174" t="str">
        <f>IF(LEFT(Table1[[#This Row],[Final Obj Name]],1)="/",LEFT(Table1[[#This Row],[Final Obj Name]],FIND("/",Table1[[#This Row],[Final Obj Name]],2)),"/0SAP/")</f>
        <v>/0SAP/</v>
      </c>
    </row>
    <row r="175">
      <c r="A175" t="str">
        <v>CLAS</v>
      </c>
      <c r="B175" t="str">
        <v>ZCL_REUSE_VENDOR_MASTER_S4_NEW</v>
      </c>
      <c r="C175" t="str">
        <v>METH</v>
      </c>
      <c r="D175" t="str">
        <v>ZCL_REUSE_VENDOR_MASTER_S4_NEWCREATE_BP</v>
      </c>
      <c r="E175" t="str">
        <v>PN</v>
      </c>
      <c r="G175" t="str">
        <v>MOD</v>
      </c>
      <c r="H175" t="str">
        <v>ZCL_REUSE_VENDOR_MASTER_S4_NEWCP</v>
      </c>
      <c r="K175" t="str">
        <v>E</v>
      </c>
      <c r="L175" t="str">
        <v>CST_UKHANNA</v>
      </c>
      <c r="M175">
        <v>43721</v>
      </c>
      <c r="N175">
        <v>0.52420138888889</v>
      </c>
      <c r="W175" t="str">
        <v>X01K900708</v>
      </c>
      <c r="Y175">
        <f>IF(Table1[[#This Row],[OPERATION]]="NOTE","NOTE",Table1[[#This Row],[SUB_TYPE]])</f>
        <v>0</v>
      </c>
      <c r="Z175">
        <f>IF(Table1[[#This Row],[OPERATION]]="NOTE",NUMBERVALUE(LEFT(Table1[[#This Row],[MOD_NAME]],LEN(Table1[[#This Row],[MOD_NAME]])-4)),Table1[[#This Row],[SUB_NAME]])</f>
        <v>0</v>
      </c>
      <c r="AA175" t="str">
        <f>CONCAT(Table1[[#This Row],[Final Obj Type]],"|",Table1[[#This Row],[Final Obj Name]])</f>
        <v>0|0</v>
      </c>
      <c r="AB175" t="e">
        <f>VLOOKUP(Table1[[#This Row],[Final Obj Type]],Classification!B:E,3,FALSE)</f>
        <v>#N/A</v>
      </c>
      <c r="AC175" t="e">
        <f>VLOOKUP(Table1[[#This Row],[Final Obj Type]],Classification!B:E,4,FALSE)</f>
        <v>#N/A</v>
      </c>
      <c r="AD175" t="str">
        <f>IF(Table1[[#This Row],[Position 1]]=0,"/0SAP/",MID(Table1[[#This Row],[Final Obj Name]],Table1[[#This Row],[Position 1]],Table1[[#This Row],[Position 2]]-Table1[[#This Row],[Position 1]]+1))</f>
        <v>/0SAP/</v>
      </c>
      <c r="AE175" t="str">
        <f>VLOOKUP(Table1[[#This Row],[/* Object]],Namespace!A:J,10,FALSE)</f>
        <v>SAP AG</v>
      </c>
      <c r="AF175" t="str">
        <f>IF(VLOOKUP(Table1[[#This Row],[/* Object]],Namespace!A:J,4,FALSE)=0,"",VLOOKUP(Table1[[#This Row],[/* Object]],Namespace!A:J,4,FALSE))</f>
        <v>X</v>
      </c>
      <c r="AG175" t="str">
        <f>IF(VLOOKUP(Table1[[#This Row],[/* Object]],Namespace!A:J,5,FALSE)=0,"",VLOOKUP(Table1[[#This Row],[/* Object]],Namespace!A:J,5,FALSE))</f>
        <v>X</v>
      </c>
      <c r="AH175" t="str">
        <f>IF(VLOOKUP(Table1[[#This Row],[/* Object]],Namespace!A:J,6,FALSE)=0,"",VLOOKUP(Table1[[#This Row],[/* Object]],Namespace!A:J,6,FALSE))</f>
        <v/>
      </c>
      <c r="AI175">
        <f>IFERROR(FIND("/",Table1[[#This Row],[Final Obj Name]],1),0)</f>
        <v>0</v>
      </c>
      <c r="AJ175">
        <f>IF(Table1[[#This Row],[Position 1]]=0,0,FIND("/",Table1[[#This Row],[Final Obj Name]],Table1[[#This Row],[Position 1]]+1))</f>
        <v>0</v>
      </c>
      <c r="AK175" t="str">
        <f>IF(LEFT(Table1[[#This Row],[Final Obj Name]],1)="/",LEFT(Table1[[#This Row],[Final Obj Name]],FIND("/",Table1[[#This Row],[Final Obj Name]],2)),"/0SAP/")</f>
        <v>/0SAP/</v>
      </c>
    </row>
    <row r="176">
      <c r="A176" t="str">
        <v>CLAS</v>
      </c>
      <c r="B176" t="str">
        <v>ZCL_REUSE_VENDOR_MASTER_S4_NEW</v>
      </c>
      <c r="C176" t="str">
        <v>METH</v>
      </c>
      <c r="D176" t="str">
        <v>ZCL_REUSE_VENDOR_MASTER_S4_NEWPOST_GENERAL</v>
      </c>
      <c r="E176" t="str">
        <v>PN</v>
      </c>
      <c r="G176" t="str">
        <v>MOD</v>
      </c>
      <c r="H176" t="str">
        <v>ZCL_REUSE_VENDOR_MASTER_S4_NEWCP</v>
      </c>
      <c r="K176" t="str">
        <v>E</v>
      </c>
      <c r="L176" t="str">
        <v>CST_UKHANNA</v>
      </c>
      <c r="M176">
        <v>43718</v>
      </c>
      <c r="N176">
        <v>0.44305555555556</v>
      </c>
      <c r="W176" t="str">
        <v>X01K900708</v>
      </c>
      <c r="Y176">
        <f>IF(Table1[[#This Row],[OPERATION]]="NOTE","NOTE",Table1[[#This Row],[SUB_TYPE]])</f>
        <v>0</v>
      </c>
      <c r="Z176">
        <f>IF(Table1[[#This Row],[OPERATION]]="NOTE",NUMBERVALUE(LEFT(Table1[[#This Row],[MOD_NAME]],LEN(Table1[[#This Row],[MOD_NAME]])-4)),Table1[[#This Row],[SUB_NAME]])</f>
        <v>0</v>
      </c>
      <c r="AA176" t="str">
        <f>CONCAT(Table1[[#This Row],[Final Obj Type]],"|",Table1[[#This Row],[Final Obj Name]])</f>
        <v>0|0</v>
      </c>
      <c r="AB176" t="e">
        <f>VLOOKUP(Table1[[#This Row],[Final Obj Type]],Classification!B:E,3,FALSE)</f>
        <v>#N/A</v>
      </c>
      <c r="AC176" t="e">
        <f>VLOOKUP(Table1[[#This Row],[Final Obj Type]],Classification!B:E,4,FALSE)</f>
        <v>#N/A</v>
      </c>
      <c r="AD176" t="str">
        <f>IF(Table1[[#This Row],[Position 1]]=0,"/0SAP/",MID(Table1[[#This Row],[Final Obj Name]],Table1[[#This Row],[Position 1]],Table1[[#This Row],[Position 2]]-Table1[[#This Row],[Position 1]]+1))</f>
        <v>/0SAP/</v>
      </c>
      <c r="AE176" t="str">
        <f>VLOOKUP(Table1[[#This Row],[/* Object]],Namespace!A:J,10,FALSE)</f>
        <v>SAP AG</v>
      </c>
      <c r="AF176" t="str">
        <f>IF(VLOOKUP(Table1[[#This Row],[/* Object]],Namespace!A:J,4,FALSE)=0,"",VLOOKUP(Table1[[#This Row],[/* Object]],Namespace!A:J,4,FALSE))</f>
        <v>X</v>
      </c>
      <c r="AG176" t="str">
        <f>IF(VLOOKUP(Table1[[#This Row],[/* Object]],Namespace!A:J,5,FALSE)=0,"",VLOOKUP(Table1[[#This Row],[/* Object]],Namespace!A:J,5,FALSE))</f>
        <v>X</v>
      </c>
      <c r="AH176" t="str">
        <f>IF(VLOOKUP(Table1[[#This Row],[/* Object]],Namespace!A:J,6,FALSE)=0,"",VLOOKUP(Table1[[#This Row],[/* Object]],Namespace!A:J,6,FALSE))</f>
        <v/>
      </c>
      <c r="AI176">
        <f>IFERROR(FIND("/",Table1[[#This Row],[Final Obj Name]],1),0)</f>
        <v>0</v>
      </c>
      <c r="AJ176">
        <f>IF(Table1[[#This Row],[Position 1]]=0,0,FIND("/",Table1[[#This Row],[Final Obj Name]],Table1[[#This Row],[Position 1]]+1))</f>
        <v>0</v>
      </c>
      <c r="AK176" t="str">
        <f>IF(LEFT(Table1[[#This Row],[Final Obj Name]],1)="/",LEFT(Table1[[#This Row],[Final Obj Name]],FIND("/",Table1[[#This Row],[Final Obj Name]],2)),"/0SAP/")</f>
        <v>/0SAP/</v>
      </c>
    </row>
    <row r="177">
      <c r="A177" t="str">
        <v>CLAS</v>
      </c>
      <c r="B177" t="str">
        <v>ZCL_REUSE_WORKCENTER</v>
      </c>
      <c r="C177" t="str">
        <v>METH</v>
      </c>
      <c r="D177" t="str">
        <v>ZCL_REUSE_WORKCENTER          CALL_BAPI</v>
      </c>
      <c r="E177" t="str">
        <v>PN</v>
      </c>
      <c r="G177" t="str">
        <v>MOD</v>
      </c>
      <c r="H177" t="str">
        <v>ZCL_REUSE_WORKCENTER==========CP</v>
      </c>
      <c r="K177" t="str">
        <v>E</v>
      </c>
      <c r="L177" t="str">
        <v>CST_PPHANEEN</v>
      </c>
      <c r="M177">
        <v>43692</v>
      </c>
      <c r="N177">
        <v>0.30552083333333</v>
      </c>
      <c r="W177" t="str">
        <v>X01K900316</v>
      </c>
      <c r="Y177">
        <f>IF(Table1[[#This Row],[OPERATION]]="NOTE","NOTE",Table1[[#This Row],[SUB_TYPE]])</f>
        <v>0</v>
      </c>
      <c r="Z177">
        <f>IF(Table1[[#This Row],[OPERATION]]="NOTE",NUMBERVALUE(LEFT(Table1[[#This Row],[MOD_NAME]],LEN(Table1[[#This Row],[MOD_NAME]])-4)),Table1[[#This Row],[SUB_NAME]])</f>
        <v>0</v>
      </c>
      <c r="AA177" t="str">
        <f>CONCAT(Table1[[#This Row],[Final Obj Type]],"|",Table1[[#This Row],[Final Obj Name]])</f>
        <v>0|0</v>
      </c>
      <c r="AB177" t="e">
        <f>VLOOKUP(Table1[[#This Row],[Final Obj Type]],Classification!B:E,3,FALSE)</f>
        <v>#N/A</v>
      </c>
      <c r="AC177" t="e">
        <f>VLOOKUP(Table1[[#This Row],[Final Obj Type]],Classification!B:E,4,FALSE)</f>
        <v>#N/A</v>
      </c>
      <c r="AD177" t="str">
        <f>IF(Table1[[#This Row],[Position 1]]=0,"/0SAP/",MID(Table1[[#This Row],[Final Obj Name]],Table1[[#This Row],[Position 1]],Table1[[#This Row],[Position 2]]-Table1[[#This Row],[Position 1]]+1))</f>
        <v>/0SAP/</v>
      </c>
      <c r="AE177" t="str">
        <f>VLOOKUP(Table1[[#This Row],[/* Object]],Namespace!A:J,10,FALSE)</f>
        <v>SAP AG</v>
      </c>
      <c r="AF177" t="str">
        <f>IF(VLOOKUP(Table1[[#This Row],[/* Object]],Namespace!A:J,4,FALSE)=0,"",VLOOKUP(Table1[[#This Row],[/* Object]],Namespace!A:J,4,FALSE))</f>
        <v>X</v>
      </c>
      <c r="AG177" t="str">
        <f>IF(VLOOKUP(Table1[[#This Row],[/* Object]],Namespace!A:J,5,FALSE)=0,"",VLOOKUP(Table1[[#This Row],[/* Object]],Namespace!A:J,5,FALSE))</f>
        <v>X</v>
      </c>
      <c r="AH177" t="str">
        <f>IF(VLOOKUP(Table1[[#This Row],[/* Object]],Namespace!A:J,6,FALSE)=0,"",VLOOKUP(Table1[[#This Row],[/* Object]],Namespace!A:J,6,FALSE))</f>
        <v/>
      </c>
      <c r="AI177">
        <f>IFERROR(FIND("/",Table1[[#This Row],[Final Obj Name]],1),0)</f>
        <v>0</v>
      </c>
      <c r="AJ177">
        <f>IF(Table1[[#This Row],[Position 1]]=0,0,FIND("/",Table1[[#This Row],[Final Obj Name]],Table1[[#This Row],[Position 1]]+1))</f>
        <v>0</v>
      </c>
      <c r="AK177" t="str">
        <f>IF(LEFT(Table1[[#This Row],[Final Obj Name]],1)="/",LEFT(Table1[[#This Row],[Final Obj Name]],FIND("/",Table1[[#This Row],[Final Obj Name]],2)),"/0SAP/")</f>
        <v>/0SAP/</v>
      </c>
    </row>
    <row r="178">
      <c r="A178" t="str">
        <v>CLAS</v>
      </c>
      <c r="B178" t="str">
        <v>ZCL_SD_ORDER_DATA</v>
      </c>
      <c r="C178" t="str">
        <v>CPRI</v>
      </c>
      <c r="D178" t="str">
        <v>ZCL_SD_ORDER_DATA</v>
      </c>
      <c r="E178" t="str">
        <v>XXXX</v>
      </c>
      <c r="G178" t="str">
        <v>ALL</v>
      </c>
      <c r="K178" t="str">
        <v>E</v>
      </c>
      <c r="L178">
        <v>50118299</v>
      </c>
      <c r="M178">
        <v>45615</v>
      </c>
      <c r="N178">
        <v>0.35726851851852</v>
      </c>
      <c r="Y178">
        <f>IF(Table1[[#This Row],[OPERATION]]="NOTE","NOTE",Table1[[#This Row],[SUB_TYPE]])</f>
        <v>0</v>
      </c>
      <c r="Z178">
        <f>IF(Table1[[#This Row],[OPERATION]]="NOTE",NUMBERVALUE(LEFT(Table1[[#This Row],[MOD_NAME]],LEN(Table1[[#This Row],[MOD_NAME]])-4)),Table1[[#This Row],[SUB_NAME]])</f>
        <v>0</v>
      </c>
      <c r="AA178" t="str">
        <f>CONCAT(Table1[[#This Row],[Final Obj Type]],"|",Table1[[#This Row],[Final Obj Name]])</f>
        <v>0|0</v>
      </c>
      <c r="AB178" t="e">
        <f>VLOOKUP(Table1[[#This Row],[Final Obj Type]],Classification!B:E,3,FALSE)</f>
        <v>#N/A</v>
      </c>
      <c r="AC178" t="e">
        <f>VLOOKUP(Table1[[#This Row],[Final Obj Type]],Classification!B:E,4,FALSE)</f>
        <v>#N/A</v>
      </c>
      <c r="AD178" t="str">
        <f>IF(Table1[[#This Row],[Position 1]]=0,"/0SAP/",MID(Table1[[#This Row],[Final Obj Name]],Table1[[#This Row],[Position 1]],Table1[[#This Row],[Position 2]]-Table1[[#This Row],[Position 1]]+1))</f>
        <v>/0SAP/</v>
      </c>
      <c r="AE178" t="str">
        <f>VLOOKUP(Table1[[#This Row],[/* Object]],Namespace!A:J,10,FALSE)</f>
        <v>SAP AG</v>
      </c>
      <c r="AF178" t="str">
        <f>IF(VLOOKUP(Table1[[#This Row],[/* Object]],Namespace!A:J,4,FALSE)=0,"",VLOOKUP(Table1[[#This Row],[/* Object]],Namespace!A:J,4,FALSE))</f>
        <v>X</v>
      </c>
      <c r="AG178" t="str">
        <f>IF(VLOOKUP(Table1[[#This Row],[/* Object]],Namespace!A:J,5,FALSE)=0,"",VLOOKUP(Table1[[#This Row],[/* Object]],Namespace!A:J,5,FALSE))</f>
        <v>X</v>
      </c>
      <c r="AH178" t="str">
        <f>IF(VLOOKUP(Table1[[#This Row],[/* Object]],Namespace!A:J,6,FALSE)=0,"",VLOOKUP(Table1[[#This Row],[/* Object]],Namespace!A:J,6,FALSE))</f>
        <v/>
      </c>
      <c r="AI178">
        <f>IFERROR(FIND("/",Table1[[#This Row],[Final Obj Name]],1),0)</f>
        <v>0</v>
      </c>
      <c r="AJ178">
        <f>IF(Table1[[#This Row],[Position 1]]=0,0,FIND("/",Table1[[#This Row],[Final Obj Name]],Table1[[#This Row],[Position 1]]+1))</f>
        <v>0</v>
      </c>
      <c r="AK178" t="str">
        <f>IF(LEFT(Table1[[#This Row],[Final Obj Name]],1)="/",LEFT(Table1[[#This Row],[Final Obj Name]],FIND("/",Table1[[#This Row],[Final Obj Name]],2)),"/0SAP/")</f>
        <v>/0SAP/</v>
      </c>
    </row>
    <row r="179">
      <c r="A179" t="str">
        <v>CLAS</v>
      </c>
      <c r="B179" t="str">
        <v>ZCL_SD_ORDER_DATA</v>
      </c>
      <c r="C179" t="str">
        <v>CPRO</v>
      </c>
      <c r="D179" t="str">
        <v>ZCL_SD_ORDER_DATA</v>
      </c>
      <c r="E179" t="str">
        <v>XXXX</v>
      </c>
      <c r="G179" t="str">
        <v>ALL</v>
      </c>
      <c r="K179" t="str">
        <v>E</v>
      </c>
      <c r="L179">
        <v>50118299</v>
      </c>
      <c r="M179">
        <v>45615</v>
      </c>
      <c r="N179">
        <v>0.35726851851852</v>
      </c>
      <c r="Y179">
        <f>IF(Table1[[#This Row],[OPERATION]]="NOTE","NOTE",Table1[[#This Row],[SUB_TYPE]])</f>
        <v>0</v>
      </c>
      <c r="Z179">
        <f>IF(Table1[[#This Row],[OPERATION]]="NOTE",NUMBERVALUE(LEFT(Table1[[#This Row],[MOD_NAME]],LEN(Table1[[#This Row],[MOD_NAME]])-4)),Table1[[#This Row],[SUB_NAME]])</f>
        <v>0</v>
      </c>
      <c r="AA179" t="str">
        <f>CONCAT(Table1[[#This Row],[Final Obj Type]],"|",Table1[[#This Row],[Final Obj Name]])</f>
        <v>0|0</v>
      </c>
      <c r="AB179" t="e">
        <f>VLOOKUP(Table1[[#This Row],[Final Obj Type]],Classification!B:E,3,FALSE)</f>
        <v>#N/A</v>
      </c>
      <c r="AC179" t="e">
        <f>VLOOKUP(Table1[[#This Row],[Final Obj Type]],Classification!B:E,4,FALSE)</f>
        <v>#N/A</v>
      </c>
      <c r="AD179" t="str">
        <f>IF(Table1[[#This Row],[Position 1]]=0,"/0SAP/",MID(Table1[[#This Row],[Final Obj Name]],Table1[[#This Row],[Position 1]],Table1[[#This Row],[Position 2]]-Table1[[#This Row],[Position 1]]+1))</f>
        <v>/0SAP/</v>
      </c>
      <c r="AE179" t="str">
        <f>VLOOKUP(Table1[[#This Row],[/* Object]],Namespace!A:J,10,FALSE)</f>
        <v>SAP AG</v>
      </c>
      <c r="AF179" t="str">
        <f>IF(VLOOKUP(Table1[[#This Row],[/* Object]],Namespace!A:J,4,FALSE)=0,"",VLOOKUP(Table1[[#This Row],[/* Object]],Namespace!A:J,4,FALSE))</f>
        <v>X</v>
      </c>
      <c r="AG179" t="str">
        <f>IF(VLOOKUP(Table1[[#This Row],[/* Object]],Namespace!A:J,5,FALSE)=0,"",VLOOKUP(Table1[[#This Row],[/* Object]],Namespace!A:J,5,FALSE))</f>
        <v>X</v>
      </c>
      <c r="AH179" t="str">
        <f>IF(VLOOKUP(Table1[[#This Row],[/* Object]],Namespace!A:J,6,FALSE)=0,"",VLOOKUP(Table1[[#This Row],[/* Object]],Namespace!A:J,6,FALSE))</f>
        <v/>
      </c>
      <c r="AI179">
        <f>IFERROR(FIND("/",Table1[[#This Row],[Final Obj Name]],1),0)</f>
        <v>0</v>
      </c>
      <c r="AJ179">
        <f>IF(Table1[[#This Row],[Position 1]]=0,0,FIND("/",Table1[[#This Row],[Final Obj Name]],Table1[[#This Row],[Position 1]]+1))</f>
        <v>0</v>
      </c>
      <c r="AK179" t="str">
        <f>IF(LEFT(Table1[[#This Row],[Final Obj Name]],1)="/",LEFT(Table1[[#This Row],[Final Obj Name]],FIND("/",Table1[[#This Row],[Final Obj Name]],2)),"/0SAP/")</f>
        <v>/0SAP/</v>
      </c>
    </row>
    <row r="180">
      <c r="A180" t="str">
        <v>CLAS</v>
      </c>
      <c r="B180" t="str">
        <v>ZCL_SD_ORDER_DATA</v>
      </c>
      <c r="C180" t="str">
        <v>CPUB</v>
      </c>
      <c r="D180" t="str">
        <v>ZCL_SD_ORDER_DATA</v>
      </c>
      <c r="E180" t="str">
        <v>XXXX</v>
      </c>
      <c r="G180" t="str">
        <v>ALL</v>
      </c>
      <c r="K180" t="str">
        <v>E</v>
      </c>
      <c r="L180">
        <v>50118299</v>
      </c>
      <c r="M180">
        <v>45615</v>
      </c>
      <c r="N180">
        <v>0.35726851851852</v>
      </c>
      <c r="Y180">
        <f>IF(Table1[[#This Row],[OPERATION]]="NOTE","NOTE",Table1[[#This Row],[SUB_TYPE]])</f>
        <v>0</v>
      </c>
      <c r="Z180">
        <f>IF(Table1[[#This Row],[OPERATION]]="NOTE",NUMBERVALUE(LEFT(Table1[[#This Row],[MOD_NAME]],LEN(Table1[[#This Row],[MOD_NAME]])-4)),Table1[[#This Row],[SUB_NAME]])</f>
        <v>0</v>
      </c>
      <c r="AA180" t="str">
        <f>CONCAT(Table1[[#This Row],[Final Obj Type]],"|",Table1[[#This Row],[Final Obj Name]])</f>
        <v>0|0</v>
      </c>
      <c r="AB180" t="e">
        <f>VLOOKUP(Table1[[#This Row],[Final Obj Type]],Classification!B:E,3,FALSE)</f>
        <v>#N/A</v>
      </c>
      <c r="AC180" t="e">
        <f>VLOOKUP(Table1[[#This Row],[Final Obj Type]],Classification!B:E,4,FALSE)</f>
        <v>#N/A</v>
      </c>
      <c r="AD180" t="str">
        <f>IF(Table1[[#This Row],[Position 1]]=0,"/0SAP/",MID(Table1[[#This Row],[Final Obj Name]],Table1[[#This Row],[Position 1]],Table1[[#This Row],[Position 2]]-Table1[[#This Row],[Position 1]]+1))</f>
        <v>/0SAP/</v>
      </c>
      <c r="AE180" t="str">
        <f>VLOOKUP(Table1[[#This Row],[/* Object]],Namespace!A:J,10,FALSE)</f>
        <v>SAP AG</v>
      </c>
      <c r="AF180" t="str">
        <f>IF(VLOOKUP(Table1[[#This Row],[/* Object]],Namespace!A:J,4,FALSE)=0,"",VLOOKUP(Table1[[#This Row],[/* Object]],Namespace!A:J,4,FALSE))</f>
        <v>X</v>
      </c>
      <c r="AG180" t="str">
        <f>IF(VLOOKUP(Table1[[#This Row],[/* Object]],Namespace!A:J,5,FALSE)=0,"",VLOOKUP(Table1[[#This Row],[/* Object]],Namespace!A:J,5,FALSE))</f>
        <v>X</v>
      </c>
      <c r="AH180" t="str">
        <f>IF(VLOOKUP(Table1[[#This Row],[/* Object]],Namespace!A:J,6,FALSE)=0,"",VLOOKUP(Table1[[#This Row],[/* Object]],Namespace!A:J,6,FALSE))</f>
        <v/>
      </c>
      <c r="AI180">
        <f>IFERROR(FIND("/",Table1[[#This Row],[Final Obj Name]],1),0)</f>
        <v>0</v>
      </c>
      <c r="AJ180">
        <f>IF(Table1[[#This Row],[Position 1]]=0,0,FIND("/",Table1[[#This Row],[Final Obj Name]],Table1[[#This Row],[Position 1]]+1))</f>
        <v>0</v>
      </c>
      <c r="AK180" t="str">
        <f>IF(LEFT(Table1[[#This Row],[Final Obj Name]],1)="/",LEFT(Table1[[#This Row],[Final Obj Name]],FIND("/",Table1[[#This Row],[Final Obj Name]],2)),"/0SAP/")</f>
        <v>/0SAP/</v>
      </c>
    </row>
    <row r="181">
      <c r="A181" t="str">
        <v>CLAS</v>
      </c>
      <c r="B181" t="str">
        <v>ZCL_SD_OUTB_PROD_LBL</v>
      </c>
      <c r="C181" t="str">
        <v>CPUB</v>
      </c>
      <c r="D181" t="str">
        <v>ZCL_SD_OUTB_PROD_LBL</v>
      </c>
      <c r="E181" t="str">
        <v>INTF</v>
      </c>
      <c r="G181" t="str">
        <v>ALL</v>
      </c>
      <c r="K181" t="str">
        <v>E</v>
      </c>
      <c r="L181" t="str">
        <v>CST_MANORANJ</v>
      </c>
      <c r="M181">
        <v>45877</v>
      </c>
      <c r="N181">
        <v>0.40293981481481</v>
      </c>
      <c r="W181" t="str">
        <v>S01K925641</v>
      </c>
      <c r="Y181">
        <f>IF(Table1[[#This Row],[OPERATION]]="NOTE","NOTE",Table1[[#This Row],[SUB_TYPE]])</f>
        <v>0</v>
      </c>
      <c r="Z181">
        <f>IF(Table1[[#This Row],[OPERATION]]="NOTE",NUMBERVALUE(LEFT(Table1[[#This Row],[MOD_NAME]],LEN(Table1[[#This Row],[MOD_NAME]])-4)),Table1[[#This Row],[SUB_NAME]])</f>
        <v>0</v>
      </c>
      <c r="AA181" t="str">
        <f>CONCAT(Table1[[#This Row],[Final Obj Type]],"|",Table1[[#This Row],[Final Obj Name]])</f>
        <v>0|0</v>
      </c>
      <c r="AB181" t="e">
        <f>VLOOKUP(Table1[[#This Row],[Final Obj Type]],Classification!B:E,3,FALSE)</f>
        <v>#N/A</v>
      </c>
      <c r="AC181" t="e">
        <f>VLOOKUP(Table1[[#This Row],[Final Obj Type]],Classification!B:E,4,FALSE)</f>
        <v>#N/A</v>
      </c>
      <c r="AD181" t="str">
        <f>IF(Table1[[#This Row],[Position 1]]=0,"/0SAP/",MID(Table1[[#This Row],[Final Obj Name]],Table1[[#This Row],[Position 1]],Table1[[#This Row],[Position 2]]-Table1[[#This Row],[Position 1]]+1))</f>
        <v>/0SAP/</v>
      </c>
      <c r="AE181" t="str">
        <f>VLOOKUP(Table1[[#This Row],[/* Object]],Namespace!A:J,10,FALSE)</f>
        <v>SAP AG</v>
      </c>
      <c r="AF181" t="str">
        <f>IF(VLOOKUP(Table1[[#This Row],[/* Object]],Namespace!A:J,4,FALSE)=0,"",VLOOKUP(Table1[[#This Row],[/* Object]],Namespace!A:J,4,FALSE))</f>
        <v>X</v>
      </c>
      <c r="AG181" t="str">
        <f>IF(VLOOKUP(Table1[[#This Row],[/* Object]],Namespace!A:J,5,FALSE)=0,"",VLOOKUP(Table1[[#This Row],[/* Object]],Namespace!A:J,5,FALSE))</f>
        <v>X</v>
      </c>
      <c r="AH181" t="str">
        <f>IF(VLOOKUP(Table1[[#This Row],[/* Object]],Namespace!A:J,6,FALSE)=0,"",VLOOKUP(Table1[[#This Row],[/* Object]],Namespace!A:J,6,FALSE))</f>
        <v/>
      </c>
      <c r="AI181">
        <f>IFERROR(FIND("/",Table1[[#This Row],[Final Obj Name]],1),0)</f>
        <v>0</v>
      </c>
      <c r="AJ181">
        <f>IF(Table1[[#This Row],[Position 1]]=0,0,FIND("/",Table1[[#This Row],[Final Obj Name]],Table1[[#This Row],[Position 1]]+1))</f>
        <v>0</v>
      </c>
      <c r="AK181" t="str">
        <f>IF(LEFT(Table1[[#This Row],[Final Obj Name]],1)="/",LEFT(Table1[[#This Row],[Final Obj Name]],FIND("/",Table1[[#This Row],[Final Obj Name]],2)),"/0SAP/")</f>
        <v>/0SAP/</v>
      </c>
    </row>
    <row r="182">
      <c r="A182" t="str">
        <v>CLAS</v>
      </c>
      <c r="B182" t="str">
        <v>ZCL_SD_PEGGING</v>
      </c>
      <c r="C182" t="str">
        <v>CPRI</v>
      </c>
      <c r="D182" t="str">
        <v>ZCL_SD_PEGGING</v>
      </c>
      <c r="E182" t="str">
        <v>INTF</v>
      </c>
      <c r="G182" t="str">
        <v>ALL</v>
      </c>
      <c r="K182" t="str">
        <v>E</v>
      </c>
      <c r="L182" t="str">
        <v>CST_SOURYA</v>
      </c>
      <c r="M182">
        <v>46123</v>
      </c>
      <c r="N182">
        <v>0.69486111111111</v>
      </c>
      <c r="W182" t="str">
        <v>S01K929277</v>
      </c>
      <c r="Y182">
        <f>IF(Table1[[#This Row],[OPERATION]]="NOTE","NOTE",Table1[[#This Row],[SUB_TYPE]])</f>
        <v>0</v>
      </c>
      <c r="Z182">
        <f>IF(Table1[[#This Row],[OPERATION]]="NOTE",NUMBERVALUE(LEFT(Table1[[#This Row],[MOD_NAME]],LEN(Table1[[#This Row],[MOD_NAME]])-4)),Table1[[#This Row],[SUB_NAME]])</f>
        <v>0</v>
      </c>
      <c r="AA182" t="str">
        <f>CONCAT(Table1[[#This Row],[Final Obj Type]],"|",Table1[[#This Row],[Final Obj Name]])</f>
        <v>0|0</v>
      </c>
      <c r="AB182" t="e">
        <f>VLOOKUP(Table1[[#This Row],[Final Obj Type]],Classification!B:E,3,FALSE)</f>
        <v>#N/A</v>
      </c>
      <c r="AC182" t="e">
        <f>VLOOKUP(Table1[[#This Row],[Final Obj Type]],Classification!B:E,4,FALSE)</f>
        <v>#N/A</v>
      </c>
      <c r="AD182" t="str">
        <f>IF(Table1[[#This Row],[Position 1]]=0,"/0SAP/",MID(Table1[[#This Row],[Final Obj Name]],Table1[[#This Row],[Position 1]],Table1[[#This Row],[Position 2]]-Table1[[#This Row],[Position 1]]+1))</f>
        <v>/0SAP/</v>
      </c>
      <c r="AE182" t="str">
        <f>VLOOKUP(Table1[[#This Row],[/* Object]],Namespace!A:J,10,FALSE)</f>
        <v>SAP AG</v>
      </c>
      <c r="AF182" t="str">
        <f>IF(VLOOKUP(Table1[[#This Row],[/* Object]],Namespace!A:J,4,FALSE)=0,"",VLOOKUP(Table1[[#This Row],[/* Object]],Namespace!A:J,4,FALSE))</f>
        <v>X</v>
      </c>
      <c r="AG182" t="str">
        <f>IF(VLOOKUP(Table1[[#This Row],[/* Object]],Namespace!A:J,5,FALSE)=0,"",VLOOKUP(Table1[[#This Row],[/* Object]],Namespace!A:J,5,FALSE))</f>
        <v>X</v>
      </c>
      <c r="AH182" t="str">
        <f>IF(VLOOKUP(Table1[[#This Row],[/* Object]],Namespace!A:J,6,FALSE)=0,"",VLOOKUP(Table1[[#This Row],[/* Object]],Namespace!A:J,6,FALSE))</f>
        <v/>
      </c>
      <c r="AI182">
        <f>IFERROR(FIND("/",Table1[[#This Row],[Final Obj Name]],1),0)</f>
        <v>0</v>
      </c>
      <c r="AJ182">
        <f>IF(Table1[[#This Row],[Position 1]]=0,0,FIND("/",Table1[[#This Row],[Final Obj Name]],Table1[[#This Row],[Position 1]]+1))</f>
        <v>0</v>
      </c>
      <c r="AK182" t="str">
        <f>IF(LEFT(Table1[[#This Row],[Final Obj Name]],1)="/",LEFT(Table1[[#This Row],[Final Obj Name]],FIND("/",Table1[[#This Row],[Final Obj Name]],2)),"/0SAP/")</f>
        <v>/0SAP/</v>
      </c>
    </row>
    <row r="183">
      <c r="A183" t="str">
        <v>CLAS</v>
      </c>
      <c r="B183" t="str">
        <v>ZCL_SD_PEGGING</v>
      </c>
      <c r="C183" t="str">
        <v>CPRO</v>
      </c>
      <c r="D183" t="str">
        <v>ZCL_SD_PEGGING</v>
      </c>
      <c r="E183" t="str">
        <v>INTF</v>
      </c>
      <c r="G183" t="str">
        <v>ALL</v>
      </c>
      <c r="K183" t="str">
        <v>E</v>
      </c>
      <c r="L183" t="str">
        <v>CST_SOURYA</v>
      </c>
      <c r="M183">
        <v>46123</v>
      </c>
      <c r="N183">
        <v>0.69486111111111</v>
      </c>
      <c r="W183" t="str">
        <v>S01K929277</v>
      </c>
      <c r="Y183">
        <f>IF(Table1[[#This Row],[OPERATION]]="NOTE","NOTE",Table1[[#This Row],[SUB_TYPE]])</f>
        <v>0</v>
      </c>
      <c r="Z183">
        <f>IF(Table1[[#This Row],[OPERATION]]="NOTE",NUMBERVALUE(LEFT(Table1[[#This Row],[MOD_NAME]],LEN(Table1[[#This Row],[MOD_NAME]])-4)),Table1[[#This Row],[SUB_NAME]])</f>
        <v>0</v>
      </c>
      <c r="AA183" t="str">
        <f>CONCAT(Table1[[#This Row],[Final Obj Type]],"|",Table1[[#This Row],[Final Obj Name]])</f>
        <v>0|0</v>
      </c>
      <c r="AB183" t="e">
        <f>VLOOKUP(Table1[[#This Row],[Final Obj Type]],Classification!B:E,3,FALSE)</f>
        <v>#N/A</v>
      </c>
      <c r="AC183" t="e">
        <f>VLOOKUP(Table1[[#This Row],[Final Obj Type]],Classification!B:E,4,FALSE)</f>
        <v>#N/A</v>
      </c>
      <c r="AD183" t="str">
        <f>IF(Table1[[#This Row],[Position 1]]=0,"/0SAP/",MID(Table1[[#This Row],[Final Obj Name]],Table1[[#This Row],[Position 1]],Table1[[#This Row],[Position 2]]-Table1[[#This Row],[Position 1]]+1))</f>
        <v>/0SAP/</v>
      </c>
      <c r="AE183" t="str">
        <f>VLOOKUP(Table1[[#This Row],[/* Object]],Namespace!A:J,10,FALSE)</f>
        <v>SAP AG</v>
      </c>
      <c r="AF183" t="str">
        <f>IF(VLOOKUP(Table1[[#This Row],[/* Object]],Namespace!A:J,4,FALSE)=0,"",VLOOKUP(Table1[[#This Row],[/* Object]],Namespace!A:J,4,FALSE))</f>
        <v>X</v>
      </c>
      <c r="AG183" t="str">
        <f>IF(VLOOKUP(Table1[[#This Row],[/* Object]],Namespace!A:J,5,FALSE)=0,"",VLOOKUP(Table1[[#This Row],[/* Object]],Namespace!A:J,5,FALSE))</f>
        <v>X</v>
      </c>
      <c r="AH183" t="str">
        <f>IF(VLOOKUP(Table1[[#This Row],[/* Object]],Namespace!A:J,6,FALSE)=0,"",VLOOKUP(Table1[[#This Row],[/* Object]],Namespace!A:J,6,FALSE))</f>
        <v/>
      </c>
      <c r="AI183">
        <f>IFERROR(FIND("/",Table1[[#This Row],[Final Obj Name]],1),0)</f>
        <v>0</v>
      </c>
      <c r="AJ183">
        <f>IF(Table1[[#This Row],[Position 1]]=0,0,FIND("/",Table1[[#This Row],[Final Obj Name]],Table1[[#This Row],[Position 1]]+1))</f>
        <v>0</v>
      </c>
      <c r="AK183" t="str">
        <f>IF(LEFT(Table1[[#This Row],[Final Obj Name]],1)="/",LEFT(Table1[[#This Row],[Final Obj Name]],FIND("/",Table1[[#This Row],[Final Obj Name]],2)),"/0SAP/")</f>
        <v>/0SAP/</v>
      </c>
    </row>
    <row r="184">
      <c r="A184" t="str">
        <v>CLAS</v>
      </c>
      <c r="B184" t="str">
        <v>ZCL_SD_PEGGING</v>
      </c>
      <c r="C184" t="str">
        <v>CPUB</v>
      </c>
      <c r="D184" t="str">
        <v>ZCL_SD_PEGGING</v>
      </c>
      <c r="E184" t="str">
        <v>INTF</v>
      </c>
      <c r="G184" t="str">
        <v>ALL</v>
      </c>
      <c r="K184" t="str">
        <v>E</v>
      </c>
      <c r="L184" t="str">
        <v>CST_SOURYA</v>
      </c>
      <c r="M184">
        <v>46123</v>
      </c>
      <c r="N184">
        <v>0.69159722222222</v>
      </c>
      <c r="W184" t="str">
        <v>S01K929277</v>
      </c>
      <c r="Y184">
        <f>IF(Table1[[#This Row],[OPERATION]]="NOTE","NOTE",Table1[[#This Row],[SUB_TYPE]])</f>
        <v>0</v>
      </c>
      <c r="Z184">
        <f>IF(Table1[[#This Row],[OPERATION]]="NOTE",NUMBERVALUE(LEFT(Table1[[#This Row],[MOD_NAME]],LEN(Table1[[#This Row],[MOD_NAME]])-4)),Table1[[#This Row],[SUB_NAME]])</f>
        <v>0</v>
      </c>
      <c r="AA184" t="str">
        <f>CONCAT(Table1[[#This Row],[Final Obj Type]],"|",Table1[[#This Row],[Final Obj Name]])</f>
        <v>0|0</v>
      </c>
      <c r="AB184" t="e">
        <f>VLOOKUP(Table1[[#This Row],[Final Obj Type]],Classification!B:E,3,FALSE)</f>
        <v>#N/A</v>
      </c>
      <c r="AC184" t="e">
        <f>VLOOKUP(Table1[[#This Row],[Final Obj Type]],Classification!B:E,4,FALSE)</f>
        <v>#N/A</v>
      </c>
      <c r="AD184" t="str">
        <f>IF(Table1[[#This Row],[Position 1]]=0,"/0SAP/",MID(Table1[[#This Row],[Final Obj Name]],Table1[[#This Row],[Position 1]],Table1[[#This Row],[Position 2]]-Table1[[#This Row],[Position 1]]+1))</f>
        <v>/0SAP/</v>
      </c>
      <c r="AE184" t="str">
        <f>VLOOKUP(Table1[[#This Row],[/* Object]],Namespace!A:J,10,FALSE)</f>
        <v>SAP AG</v>
      </c>
      <c r="AF184" t="str">
        <f>IF(VLOOKUP(Table1[[#This Row],[/* Object]],Namespace!A:J,4,FALSE)=0,"",VLOOKUP(Table1[[#This Row],[/* Object]],Namespace!A:J,4,FALSE))</f>
        <v>X</v>
      </c>
      <c r="AG184" t="str">
        <f>IF(VLOOKUP(Table1[[#This Row],[/* Object]],Namespace!A:J,5,FALSE)=0,"",VLOOKUP(Table1[[#This Row],[/* Object]],Namespace!A:J,5,FALSE))</f>
        <v>X</v>
      </c>
      <c r="AH184" t="str">
        <f>IF(VLOOKUP(Table1[[#This Row],[/* Object]],Namespace!A:J,6,FALSE)=0,"",VLOOKUP(Table1[[#This Row],[/* Object]],Namespace!A:J,6,FALSE))</f>
        <v/>
      </c>
      <c r="AI184">
        <f>IFERROR(FIND("/",Table1[[#This Row],[Final Obj Name]],1),0)</f>
        <v>0</v>
      </c>
      <c r="AJ184">
        <f>IF(Table1[[#This Row],[Position 1]]=0,0,FIND("/",Table1[[#This Row],[Final Obj Name]],Table1[[#This Row],[Position 1]]+1))</f>
        <v>0</v>
      </c>
      <c r="AK184" t="str">
        <f>IF(LEFT(Table1[[#This Row],[Final Obj Name]],1)="/",LEFT(Table1[[#This Row],[Final Obj Name]],FIND("/",Table1[[#This Row],[Final Obj Name]],2)),"/0SAP/")</f>
        <v>/0SAP/</v>
      </c>
    </row>
    <row r="185">
      <c r="A185" t="str">
        <v>CLAS</v>
      </c>
      <c r="B185" t="str">
        <v>ZCL_SD_PEGGING</v>
      </c>
      <c r="C185" t="str">
        <v>METH</v>
      </c>
      <c r="D185" t="str">
        <v>ZCL_SD_PEGGING                SET_MASTER_DATA</v>
      </c>
      <c r="E185" t="str">
        <v>PN</v>
      </c>
      <c r="G185" t="str">
        <v>MOD</v>
      </c>
      <c r="H185" t="str">
        <v>ZCL_SD_PEGGING================CP</v>
      </c>
      <c r="K185" t="str">
        <v>E</v>
      </c>
      <c r="L185" t="str">
        <v>CST_SOURYA</v>
      </c>
      <c r="M185">
        <v>46128</v>
      </c>
      <c r="N185">
        <v>0.24405092592593</v>
      </c>
      <c r="W185" t="str">
        <v>S01K929277</v>
      </c>
      <c r="Y185">
        <f>IF(Table1[[#This Row],[OPERATION]]="NOTE","NOTE",Table1[[#This Row],[SUB_TYPE]])</f>
        <v>0</v>
      </c>
      <c r="Z185">
        <f>IF(Table1[[#This Row],[OPERATION]]="NOTE",NUMBERVALUE(LEFT(Table1[[#This Row],[MOD_NAME]],LEN(Table1[[#This Row],[MOD_NAME]])-4)),Table1[[#This Row],[SUB_NAME]])</f>
        <v>0</v>
      </c>
      <c r="AA185" t="str">
        <f>CONCAT(Table1[[#This Row],[Final Obj Type]],"|",Table1[[#This Row],[Final Obj Name]])</f>
        <v>0|0</v>
      </c>
      <c r="AB185" t="e">
        <f>VLOOKUP(Table1[[#This Row],[Final Obj Type]],Classification!B:E,3,FALSE)</f>
        <v>#N/A</v>
      </c>
      <c r="AC185" t="e">
        <f>VLOOKUP(Table1[[#This Row],[Final Obj Type]],Classification!B:E,4,FALSE)</f>
        <v>#N/A</v>
      </c>
      <c r="AD185" t="str">
        <f>IF(Table1[[#This Row],[Position 1]]=0,"/0SAP/",MID(Table1[[#This Row],[Final Obj Name]],Table1[[#This Row],[Position 1]],Table1[[#This Row],[Position 2]]-Table1[[#This Row],[Position 1]]+1))</f>
        <v>/0SAP/</v>
      </c>
      <c r="AE185" t="str">
        <f>VLOOKUP(Table1[[#This Row],[/* Object]],Namespace!A:J,10,FALSE)</f>
        <v>SAP AG</v>
      </c>
      <c r="AF185" t="str">
        <f>IF(VLOOKUP(Table1[[#This Row],[/* Object]],Namespace!A:J,4,FALSE)=0,"",VLOOKUP(Table1[[#This Row],[/* Object]],Namespace!A:J,4,FALSE))</f>
        <v>X</v>
      </c>
      <c r="AG185" t="str">
        <f>IF(VLOOKUP(Table1[[#This Row],[/* Object]],Namespace!A:J,5,FALSE)=0,"",VLOOKUP(Table1[[#This Row],[/* Object]],Namespace!A:J,5,FALSE))</f>
        <v>X</v>
      </c>
      <c r="AH185" t="str">
        <f>IF(VLOOKUP(Table1[[#This Row],[/* Object]],Namespace!A:J,6,FALSE)=0,"",VLOOKUP(Table1[[#This Row],[/* Object]],Namespace!A:J,6,FALSE))</f>
        <v/>
      </c>
      <c r="AI185">
        <f>IFERROR(FIND("/",Table1[[#This Row],[Final Obj Name]],1),0)</f>
        <v>0</v>
      </c>
      <c r="AJ185">
        <f>IF(Table1[[#This Row],[Position 1]]=0,0,FIND("/",Table1[[#This Row],[Final Obj Name]],Table1[[#This Row],[Position 1]]+1))</f>
        <v>0</v>
      </c>
      <c r="AK185" t="str">
        <f>IF(LEFT(Table1[[#This Row],[Final Obj Name]],1)="/",LEFT(Table1[[#This Row],[Final Obj Name]],FIND("/",Table1[[#This Row],[Final Obj Name]],2)),"/0SAP/")</f>
        <v>/0SAP/</v>
      </c>
    </row>
    <row r="186">
      <c r="A186" t="str">
        <v>CLAS</v>
      </c>
      <c r="B186" t="str">
        <v>ZCL_SD_PEGGING</v>
      </c>
      <c r="C186" t="str">
        <v>METH</v>
      </c>
      <c r="D186" t="str">
        <v>ZCL_SD_PEGGING                SET_PARAMETERS</v>
      </c>
      <c r="E186" t="str">
        <v>PN</v>
      </c>
      <c r="G186" t="str">
        <v>MOD</v>
      </c>
      <c r="H186" t="str">
        <v>ZCL_SD_PEGGING================CP</v>
      </c>
      <c r="K186" t="str">
        <v>E</v>
      </c>
      <c r="L186" t="str">
        <v>CST_SOURYA</v>
      </c>
      <c r="M186">
        <v>46123</v>
      </c>
      <c r="N186">
        <v>0.69395833333333</v>
      </c>
      <c r="W186" t="str">
        <v>S01K929277</v>
      </c>
      <c r="Y186">
        <f>IF(Table1[[#This Row],[OPERATION]]="NOTE","NOTE",Table1[[#This Row],[SUB_TYPE]])</f>
        <v>0</v>
      </c>
      <c r="Z186">
        <f>IF(Table1[[#This Row],[OPERATION]]="NOTE",NUMBERVALUE(LEFT(Table1[[#This Row],[MOD_NAME]],LEN(Table1[[#This Row],[MOD_NAME]])-4)),Table1[[#This Row],[SUB_NAME]])</f>
        <v>0</v>
      </c>
      <c r="AA186" t="str">
        <f>CONCAT(Table1[[#This Row],[Final Obj Type]],"|",Table1[[#This Row],[Final Obj Name]])</f>
        <v>0|0</v>
      </c>
      <c r="AB186" t="e">
        <f>VLOOKUP(Table1[[#This Row],[Final Obj Type]],Classification!B:E,3,FALSE)</f>
        <v>#N/A</v>
      </c>
      <c r="AC186" t="e">
        <f>VLOOKUP(Table1[[#This Row],[Final Obj Type]],Classification!B:E,4,FALSE)</f>
        <v>#N/A</v>
      </c>
      <c r="AD186" t="str">
        <f>IF(Table1[[#This Row],[Position 1]]=0,"/0SAP/",MID(Table1[[#This Row],[Final Obj Name]],Table1[[#This Row],[Position 1]],Table1[[#This Row],[Position 2]]-Table1[[#This Row],[Position 1]]+1))</f>
        <v>/0SAP/</v>
      </c>
      <c r="AE186" t="str">
        <f>VLOOKUP(Table1[[#This Row],[/* Object]],Namespace!A:J,10,FALSE)</f>
        <v>SAP AG</v>
      </c>
      <c r="AF186" t="str">
        <f>IF(VLOOKUP(Table1[[#This Row],[/* Object]],Namespace!A:J,4,FALSE)=0,"",VLOOKUP(Table1[[#This Row],[/* Object]],Namespace!A:J,4,FALSE))</f>
        <v>X</v>
      </c>
      <c r="AG186" t="str">
        <f>IF(VLOOKUP(Table1[[#This Row],[/* Object]],Namespace!A:J,5,FALSE)=0,"",VLOOKUP(Table1[[#This Row],[/* Object]],Namespace!A:J,5,FALSE))</f>
        <v>X</v>
      </c>
      <c r="AH186" t="str">
        <f>IF(VLOOKUP(Table1[[#This Row],[/* Object]],Namespace!A:J,6,FALSE)=0,"",VLOOKUP(Table1[[#This Row],[/* Object]],Namespace!A:J,6,FALSE))</f>
        <v/>
      </c>
      <c r="AI186">
        <f>IFERROR(FIND("/",Table1[[#This Row],[Final Obj Name]],1),0)</f>
        <v>0</v>
      </c>
      <c r="AJ186">
        <f>IF(Table1[[#This Row],[Position 1]]=0,0,FIND("/",Table1[[#This Row],[Final Obj Name]],Table1[[#This Row],[Position 1]]+1))</f>
        <v>0</v>
      </c>
      <c r="AK186" t="str">
        <f>IF(LEFT(Table1[[#This Row],[Final Obj Name]],1)="/",LEFT(Table1[[#This Row],[Final Obj Name]],FIND("/",Table1[[#This Row],[Final Obj Name]],2)),"/0SAP/")</f>
        <v>/0SAP/</v>
      </c>
    </row>
    <row r="187">
      <c r="A187" t="str">
        <v>CLAS</v>
      </c>
      <c r="B187" t="str">
        <v>ZCL_SD_PEGGING</v>
      </c>
      <c r="C187" t="str">
        <v>METH</v>
      </c>
      <c r="D187" t="str">
        <v>ZCL_SD_PEGGING                SET_REWORK_ORDER_SERVICE</v>
      </c>
      <c r="E187" t="str">
        <v>PN</v>
      </c>
      <c r="G187" t="str">
        <v>MOD</v>
      </c>
      <c r="H187" t="str">
        <v>ZCL_SD_PEGGING================CP</v>
      </c>
      <c r="K187" t="str">
        <v>E</v>
      </c>
      <c r="L187" t="str">
        <v>CST_SOURYA</v>
      </c>
      <c r="M187">
        <v>46141</v>
      </c>
      <c r="N187">
        <v>0.16803240740741</v>
      </c>
      <c r="W187" t="str">
        <v>S01K929437</v>
      </c>
      <c r="Y187">
        <f>IF(Table1[[#This Row],[OPERATION]]="NOTE","NOTE",Table1[[#This Row],[SUB_TYPE]])</f>
        <v>0</v>
      </c>
      <c r="Z187">
        <f>IF(Table1[[#This Row],[OPERATION]]="NOTE",NUMBERVALUE(LEFT(Table1[[#This Row],[MOD_NAME]],LEN(Table1[[#This Row],[MOD_NAME]])-4)),Table1[[#This Row],[SUB_NAME]])</f>
        <v>0</v>
      </c>
      <c r="AA187" t="str">
        <f>CONCAT(Table1[[#This Row],[Final Obj Type]],"|",Table1[[#This Row],[Final Obj Name]])</f>
        <v>0|0</v>
      </c>
      <c r="AB187" t="e">
        <f>VLOOKUP(Table1[[#This Row],[Final Obj Type]],Classification!B:E,3,FALSE)</f>
        <v>#N/A</v>
      </c>
      <c r="AC187" t="e">
        <f>VLOOKUP(Table1[[#This Row],[Final Obj Type]],Classification!B:E,4,FALSE)</f>
        <v>#N/A</v>
      </c>
      <c r="AD187" t="str">
        <f>IF(Table1[[#This Row],[Position 1]]=0,"/0SAP/",MID(Table1[[#This Row],[Final Obj Name]],Table1[[#This Row],[Position 1]],Table1[[#This Row],[Position 2]]-Table1[[#This Row],[Position 1]]+1))</f>
        <v>/0SAP/</v>
      </c>
      <c r="AE187" t="str">
        <f>VLOOKUP(Table1[[#This Row],[/* Object]],Namespace!A:J,10,FALSE)</f>
        <v>SAP AG</v>
      </c>
      <c r="AF187" t="str">
        <f>IF(VLOOKUP(Table1[[#This Row],[/* Object]],Namespace!A:J,4,FALSE)=0,"",VLOOKUP(Table1[[#This Row],[/* Object]],Namespace!A:J,4,FALSE))</f>
        <v>X</v>
      </c>
      <c r="AG187" t="str">
        <f>IF(VLOOKUP(Table1[[#This Row],[/* Object]],Namespace!A:J,5,FALSE)=0,"",VLOOKUP(Table1[[#This Row],[/* Object]],Namespace!A:J,5,FALSE))</f>
        <v>X</v>
      </c>
      <c r="AH187" t="str">
        <f>IF(VLOOKUP(Table1[[#This Row],[/* Object]],Namespace!A:J,6,FALSE)=0,"",VLOOKUP(Table1[[#This Row],[/* Object]],Namespace!A:J,6,FALSE))</f>
        <v/>
      </c>
      <c r="AI187">
        <f>IFERROR(FIND("/",Table1[[#This Row],[Final Obj Name]],1),0)</f>
        <v>0</v>
      </c>
      <c r="AJ187">
        <f>IF(Table1[[#This Row],[Position 1]]=0,0,FIND("/",Table1[[#This Row],[Final Obj Name]],Table1[[#This Row],[Position 1]]+1))</f>
        <v>0</v>
      </c>
      <c r="AK187" t="str">
        <f>IF(LEFT(Table1[[#This Row],[Final Obj Name]],1)="/",LEFT(Table1[[#This Row],[Final Obj Name]],FIND("/",Table1[[#This Row],[Final Obj Name]],2)),"/0SAP/")</f>
        <v>/0SAP/</v>
      </c>
    </row>
    <row r="188">
      <c r="A188" t="str">
        <v>CLAS</v>
      </c>
      <c r="B188" t="str">
        <v>ZCL_US_TAX_ITEM_DATA</v>
      </c>
      <c r="C188" t="str">
        <v>CPRI</v>
      </c>
      <c r="D188" t="str">
        <v>ZCL_US_TAX_ITEM_DATA</v>
      </c>
      <c r="E188" t="str">
        <v>XXXX</v>
      </c>
      <c r="G188" t="str">
        <v>ALL</v>
      </c>
      <c r="K188" t="str">
        <v>E</v>
      </c>
      <c r="L188" t="str">
        <v>JVITER</v>
      </c>
      <c r="M188">
        <v>44804</v>
      </c>
      <c r="N188">
        <v>0.13905092592593</v>
      </c>
      <c r="W188" t="str">
        <v>S01K914420</v>
      </c>
      <c r="Y188">
        <f>IF(Table1[[#This Row],[OPERATION]]="NOTE","NOTE",Table1[[#This Row],[SUB_TYPE]])</f>
        <v>0</v>
      </c>
      <c r="Z188">
        <f>IF(Table1[[#This Row],[OPERATION]]="NOTE",NUMBERVALUE(LEFT(Table1[[#This Row],[MOD_NAME]],LEN(Table1[[#This Row],[MOD_NAME]])-4)),Table1[[#This Row],[SUB_NAME]])</f>
        <v>0</v>
      </c>
      <c r="AA188" t="str">
        <f>CONCAT(Table1[[#This Row],[Final Obj Type]],"|",Table1[[#This Row],[Final Obj Name]])</f>
        <v>0|0</v>
      </c>
      <c r="AB188" t="e">
        <f>VLOOKUP(Table1[[#This Row],[Final Obj Type]],Classification!B:E,3,FALSE)</f>
        <v>#N/A</v>
      </c>
      <c r="AC188" t="e">
        <f>VLOOKUP(Table1[[#This Row],[Final Obj Type]],Classification!B:E,4,FALSE)</f>
        <v>#N/A</v>
      </c>
      <c r="AD188" t="str">
        <f>IF(Table1[[#This Row],[Position 1]]=0,"/0SAP/",MID(Table1[[#This Row],[Final Obj Name]],Table1[[#This Row],[Position 1]],Table1[[#This Row],[Position 2]]-Table1[[#This Row],[Position 1]]+1))</f>
        <v>/0SAP/</v>
      </c>
      <c r="AE188" t="str">
        <f>VLOOKUP(Table1[[#This Row],[/* Object]],Namespace!A:J,10,FALSE)</f>
        <v>SAP AG</v>
      </c>
      <c r="AF188" t="str">
        <f>IF(VLOOKUP(Table1[[#This Row],[/* Object]],Namespace!A:J,4,FALSE)=0,"",VLOOKUP(Table1[[#This Row],[/* Object]],Namespace!A:J,4,FALSE))</f>
        <v>X</v>
      </c>
      <c r="AG188" t="str">
        <f>IF(VLOOKUP(Table1[[#This Row],[/* Object]],Namespace!A:J,5,FALSE)=0,"",VLOOKUP(Table1[[#This Row],[/* Object]],Namespace!A:J,5,FALSE))</f>
        <v>X</v>
      </c>
      <c r="AH188" t="str">
        <f>IF(VLOOKUP(Table1[[#This Row],[/* Object]],Namespace!A:J,6,FALSE)=0,"",VLOOKUP(Table1[[#This Row],[/* Object]],Namespace!A:J,6,FALSE))</f>
        <v/>
      </c>
      <c r="AI188">
        <f>IFERROR(FIND("/",Table1[[#This Row],[Final Obj Name]],1),0)</f>
        <v>0</v>
      </c>
      <c r="AJ188">
        <f>IF(Table1[[#This Row],[Position 1]]=0,0,FIND("/",Table1[[#This Row],[Final Obj Name]],Table1[[#This Row],[Position 1]]+1))</f>
        <v>0</v>
      </c>
      <c r="AK188" t="str">
        <f>IF(LEFT(Table1[[#This Row],[Final Obj Name]],1)="/",LEFT(Table1[[#This Row],[Final Obj Name]],FIND("/",Table1[[#This Row],[Final Obj Name]],2)),"/0SAP/")</f>
        <v>/0SAP/</v>
      </c>
    </row>
    <row r="189">
      <c r="A189" t="str">
        <v>CLAS</v>
      </c>
      <c r="B189" t="str">
        <v>ZCL_US_TAX_ITEM_DATA</v>
      </c>
      <c r="C189" t="str">
        <v>CPRO</v>
      </c>
      <c r="D189" t="str">
        <v>ZCL_US_TAX_ITEM_DATA</v>
      </c>
      <c r="E189" t="str">
        <v>XXXX</v>
      </c>
      <c r="G189" t="str">
        <v>ALL</v>
      </c>
      <c r="K189" t="str">
        <v>E</v>
      </c>
      <c r="L189" t="str">
        <v>JVITER</v>
      </c>
      <c r="M189">
        <v>44804</v>
      </c>
      <c r="N189">
        <v>0.13905092592593</v>
      </c>
      <c r="W189" t="str">
        <v>S01K914420</v>
      </c>
      <c r="Y189">
        <f>IF(Table1[[#This Row],[OPERATION]]="NOTE","NOTE",Table1[[#This Row],[SUB_TYPE]])</f>
        <v>0</v>
      </c>
      <c r="Z189">
        <f>IF(Table1[[#This Row],[OPERATION]]="NOTE",NUMBERVALUE(LEFT(Table1[[#This Row],[MOD_NAME]],LEN(Table1[[#This Row],[MOD_NAME]])-4)),Table1[[#This Row],[SUB_NAME]])</f>
        <v>0</v>
      </c>
      <c r="AA189" t="str">
        <f>CONCAT(Table1[[#This Row],[Final Obj Type]],"|",Table1[[#This Row],[Final Obj Name]])</f>
        <v>0|0</v>
      </c>
      <c r="AB189" t="e">
        <f>VLOOKUP(Table1[[#This Row],[Final Obj Type]],Classification!B:E,3,FALSE)</f>
        <v>#N/A</v>
      </c>
      <c r="AC189" t="e">
        <f>VLOOKUP(Table1[[#This Row],[Final Obj Type]],Classification!B:E,4,FALSE)</f>
        <v>#N/A</v>
      </c>
      <c r="AD189" t="str">
        <f>IF(Table1[[#This Row],[Position 1]]=0,"/0SAP/",MID(Table1[[#This Row],[Final Obj Name]],Table1[[#This Row],[Position 1]],Table1[[#This Row],[Position 2]]-Table1[[#This Row],[Position 1]]+1))</f>
        <v>/0SAP/</v>
      </c>
      <c r="AE189" t="str">
        <f>VLOOKUP(Table1[[#This Row],[/* Object]],Namespace!A:J,10,FALSE)</f>
        <v>SAP AG</v>
      </c>
      <c r="AF189" t="str">
        <f>IF(VLOOKUP(Table1[[#This Row],[/* Object]],Namespace!A:J,4,FALSE)=0,"",VLOOKUP(Table1[[#This Row],[/* Object]],Namespace!A:J,4,FALSE))</f>
        <v>X</v>
      </c>
      <c r="AG189" t="str">
        <f>IF(VLOOKUP(Table1[[#This Row],[/* Object]],Namespace!A:J,5,FALSE)=0,"",VLOOKUP(Table1[[#This Row],[/* Object]],Namespace!A:J,5,FALSE))</f>
        <v>X</v>
      </c>
      <c r="AH189" t="str">
        <f>IF(VLOOKUP(Table1[[#This Row],[/* Object]],Namespace!A:J,6,FALSE)=0,"",VLOOKUP(Table1[[#This Row],[/* Object]],Namespace!A:J,6,FALSE))</f>
        <v/>
      </c>
      <c r="AI189">
        <f>IFERROR(FIND("/",Table1[[#This Row],[Final Obj Name]],1),0)</f>
        <v>0</v>
      </c>
      <c r="AJ189">
        <f>IF(Table1[[#This Row],[Position 1]]=0,0,FIND("/",Table1[[#This Row],[Final Obj Name]],Table1[[#This Row],[Position 1]]+1))</f>
        <v>0</v>
      </c>
      <c r="AK189" t="str">
        <f>IF(LEFT(Table1[[#This Row],[Final Obj Name]],1)="/",LEFT(Table1[[#This Row],[Final Obj Name]],FIND("/",Table1[[#This Row],[Final Obj Name]],2)),"/0SAP/")</f>
        <v>/0SAP/</v>
      </c>
    </row>
    <row r="190">
      <c r="A190" t="str">
        <v>CLAS</v>
      </c>
      <c r="B190" t="str">
        <v>ZCL_US_TAX_ITEM_DATA</v>
      </c>
      <c r="C190" t="str">
        <v>CPUB</v>
      </c>
      <c r="D190" t="str">
        <v>ZCL_US_TAX_ITEM_DATA</v>
      </c>
      <c r="E190" t="str">
        <v>XXXX</v>
      </c>
      <c r="G190" t="str">
        <v>ALL</v>
      </c>
      <c r="K190" t="str">
        <v>E</v>
      </c>
      <c r="L190" t="str">
        <v>JVITER</v>
      </c>
      <c r="M190">
        <v>44804</v>
      </c>
      <c r="N190">
        <v>0.13905092592593</v>
      </c>
      <c r="W190" t="str">
        <v>S01K914420</v>
      </c>
      <c r="Y190">
        <f>IF(Table1[[#This Row],[OPERATION]]="NOTE","NOTE",Table1[[#This Row],[SUB_TYPE]])</f>
        <v>0</v>
      </c>
      <c r="Z190">
        <f>IF(Table1[[#This Row],[OPERATION]]="NOTE",NUMBERVALUE(LEFT(Table1[[#This Row],[MOD_NAME]],LEN(Table1[[#This Row],[MOD_NAME]])-4)),Table1[[#This Row],[SUB_NAME]])</f>
        <v>0</v>
      </c>
      <c r="AA190" t="str">
        <f>CONCAT(Table1[[#This Row],[Final Obj Type]],"|",Table1[[#This Row],[Final Obj Name]])</f>
        <v>0|0</v>
      </c>
      <c r="AB190" t="e">
        <f>VLOOKUP(Table1[[#This Row],[Final Obj Type]],Classification!B:E,3,FALSE)</f>
        <v>#N/A</v>
      </c>
      <c r="AC190" t="e">
        <f>VLOOKUP(Table1[[#This Row],[Final Obj Type]],Classification!B:E,4,FALSE)</f>
        <v>#N/A</v>
      </c>
      <c r="AD190" t="str">
        <f>IF(Table1[[#This Row],[Position 1]]=0,"/0SAP/",MID(Table1[[#This Row],[Final Obj Name]],Table1[[#This Row],[Position 1]],Table1[[#This Row],[Position 2]]-Table1[[#This Row],[Position 1]]+1))</f>
        <v>/0SAP/</v>
      </c>
      <c r="AE190" t="str">
        <f>VLOOKUP(Table1[[#This Row],[/* Object]],Namespace!A:J,10,FALSE)</f>
        <v>SAP AG</v>
      </c>
      <c r="AF190" t="str">
        <f>IF(VLOOKUP(Table1[[#This Row],[/* Object]],Namespace!A:J,4,FALSE)=0,"",VLOOKUP(Table1[[#This Row],[/* Object]],Namespace!A:J,4,FALSE))</f>
        <v>X</v>
      </c>
      <c r="AG190" t="str">
        <f>IF(VLOOKUP(Table1[[#This Row],[/* Object]],Namespace!A:J,5,FALSE)=0,"",VLOOKUP(Table1[[#This Row],[/* Object]],Namespace!A:J,5,FALSE))</f>
        <v>X</v>
      </c>
      <c r="AH190" t="str">
        <f>IF(VLOOKUP(Table1[[#This Row],[/* Object]],Namespace!A:J,6,FALSE)=0,"",VLOOKUP(Table1[[#This Row],[/* Object]],Namespace!A:J,6,FALSE))</f>
        <v/>
      </c>
      <c r="AI190">
        <f>IFERROR(FIND("/",Table1[[#This Row],[Final Obj Name]],1),0)</f>
        <v>0</v>
      </c>
      <c r="AJ190">
        <f>IF(Table1[[#This Row],[Position 1]]=0,0,FIND("/",Table1[[#This Row],[Final Obj Name]],Table1[[#This Row],[Position 1]]+1))</f>
        <v>0</v>
      </c>
      <c r="AK190" t="str">
        <f>IF(LEFT(Table1[[#This Row],[Final Obj Name]],1)="/",LEFT(Table1[[#This Row],[Final Obj Name]],FIND("/",Table1[[#This Row],[Final Obj Name]],2)),"/0SAP/")</f>
        <v>/0SAP/</v>
      </c>
    </row>
    <row r="191">
      <c r="A191" t="str">
        <v>CLAS</v>
      </c>
      <c r="B191" t="str">
        <v>ZCL_WM_OUTBOUND_HU_FORM</v>
      </c>
      <c r="C191" t="str">
        <v>CPRI</v>
      </c>
      <c r="D191" t="str">
        <v>ZCL_WM_OUTBOUND_HU_FORM</v>
      </c>
      <c r="E191" t="str">
        <v>XXXX</v>
      </c>
      <c r="G191" t="str">
        <v>ALL</v>
      </c>
      <c r="K191" t="str">
        <v>E</v>
      </c>
      <c r="L191" t="str">
        <v>CST_ACHAUHAN</v>
      </c>
      <c r="M191">
        <v>43752</v>
      </c>
      <c r="N191">
        <v>0.25115740740741</v>
      </c>
      <c r="Y191">
        <f>IF(Table1[[#This Row],[OPERATION]]="NOTE","NOTE",Table1[[#This Row],[SUB_TYPE]])</f>
        <v>0</v>
      </c>
      <c r="Z191">
        <f>IF(Table1[[#This Row],[OPERATION]]="NOTE",NUMBERVALUE(LEFT(Table1[[#This Row],[MOD_NAME]],LEN(Table1[[#This Row],[MOD_NAME]])-4)),Table1[[#This Row],[SUB_NAME]])</f>
        <v>0</v>
      </c>
      <c r="AA191" t="str">
        <f>CONCAT(Table1[[#This Row],[Final Obj Type]],"|",Table1[[#This Row],[Final Obj Name]])</f>
        <v>0|0</v>
      </c>
      <c r="AB191" t="e">
        <f>VLOOKUP(Table1[[#This Row],[Final Obj Type]],Classification!B:E,3,FALSE)</f>
        <v>#N/A</v>
      </c>
      <c r="AC191" t="e">
        <f>VLOOKUP(Table1[[#This Row],[Final Obj Type]],Classification!B:E,4,FALSE)</f>
        <v>#N/A</v>
      </c>
      <c r="AD191" t="str">
        <f>IF(Table1[[#This Row],[Position 1]]=0,"/0SAP/",MID(Table1[[#This Row],[Final Obj Name]],Table1[[#This Row],[Position 1]],Table1[[#This Row],[Position 2]]-Table1[[#This Row],[Position 1]]+1))</f>
        <v>/0SAP/</v>
      </c>
      <c r="AE191" t="str">
        <f>VLOOKUP(Table1[[#This Row],[/* Object]],Namespace!A:J,10,FALSE)</f>
        <v>SAP AG</v>
      </c>
      <c r="AF191" t="str">
        <f>IF(VLOOKUP(Table1[[#This Row],[/* Object]],Namespace!A:J,4,FALSE)=0,"",VLOOKUP(Table1[[#This Row],[/* Object]],Namespace!A:J,4,FALSE))</f>
        <v>X</v>
      </c>
      <c r="AG191" t="str">
        <f>IF(VLOOKUP(Table1[[#This Row],[/* Object]],Namespace!A:J,5,FALSE)=0,"",VLOOKUP(Table1[[#This Row],[/* Object]],Namespace!A:J,5,FALSE))</f>
        <v>X</v>
      </c>
      <c r="AH191" t="str">
        <f>IF(VLOOKUP(Table1[[#This Row],[/* Object]],Namespace!A:J,6,FALSE)=0,"",VLOOKUP(Table1[[#This Row],[/* Object]],Namespace!A:J,6,FALSE))</f>
        <v/>
      </c>
      <c r="AI191">
        <f>IFERROR(FIND("/",Table1[[#This Row],[Final Obj Name]],1),0)</f>
        <v>0</v>
      </c>
      <c r="AJ191">
        <f>IF(Table1[[#This Row],[Position 1]]=0,0,FIND("/",Table1[[#This Row],[Final Obj Name]],Table1[[#This Row],[Position 1]]+1))</f>
        <v>0</v>
      </c>
      <c r="AK191" t="str">
        <f>IF(LEFT(Table1[[#This Row],[Final Obj Name]],1)="/",LEFT(Table1[[#This Row],[Final Obj Name]],FIND("/",Table1[[#This Row],[Final Obj Name]],2)),"/0SAP/")</f>
        <v>/0SAP/</v>
      </c>
    </row>
    <row r="192">
      <c r="A192" t="str">
        <v>CLAS</v>
      </c>
      <c r="B192" t="str">
        <v>ZCL_WM_OUTBOUND_HU_FORM</v>
      </c>
      <c r="C192" t="str">
        <v>CPRO</v>
      </c>
      <c r="D192" t="str">
        <v>ZCL_WM_OUTBOUND_HU_FORM</v>
      </c>
      <c r="E192" t="str">
        <v>XXXX</v>
      </c>
      <c r="G192" t="str">
        <v>ALL</v>
      </c>
      <c r="K192" t="str">
        <v>E</v>
      </c>
      <c r="L192" t="str">
        <v>CST_ACHAUHAN</v>
      </c>
      <c r="M192">
        <v>43752</v>
      </c>
      <c r="N192">
        <v>0.25115740740741</v>
      </c>
      <c r="Y192">
        <f>IF(Table1[[#This Row],[OPERATION]]="NOTE","NOTE",Table1[[#This Row],[SUB_TYPE]])</f>
        <v>0</v>
      </c>
      <c r="Z192">
        <f>IF(Table1[[#This Row],[OPERATION]]="NOTE",NUMBERVALUE(LEFT(Table1[[#This Row],[MOD_NAME]],LEN(Table1[[#This Row],[MOD_NAME]])-4)),Table1[[#This Row],[SUB_NAME]])</f>
        <v>0</v>
      </c>
      <c r="AA192" t="str">
        <f>CONCAT(Table1[[#This Row],[Final Obj Type]],"|",Table1[[#This Row],[Final Obj Name]])</f>
        <v>0|0</v>
      </c>
      <c r="AB192" t="e">
        <f>VLOOKUP(Table1[[#This Row],[Final Obj Type]],Classification!B:E,3,FALSE)</f>
        <v>#N/A</v>
      </c>
      <c r="AC192" t="e">
        <f>VLOOKUP(Table1[[#This Row],[Final Obj Type]],Classification!B:E,4,FALSE)</f>
        <v>#N/A</v>
      </c>
      <c r="AD192" t="str">
        <f>IF(Table1[[#This Row],[Position 1]]=0,"/0SAP/",MID(Table1[[#This Row],[Final Obj Name]],Table1[[#This Row],[Position 1]],Table1[[#This Row],[Position 2]]-Table1[[#This Row],[Position 1]]+1))</f>
        <v>/0SAP/</v>
      </c>
      <c r="AE192" t="str">
        <f>VLOOKUP(Table1[[#This Row],[/* Object]],Namespace!A:J,10,FALSE)</f>
        <v>SAP AG</v>
      </c>
      <c r="AF192" t="str">
        <f>IF(VLOOKUP(Table1[[#This Row],[/* Object]],Namespace!A:J,4,FALSE)=0,"",VLOOKUP(Table1[[#This Row],[/* Object]],Namespace!A:J,4,FALSE))</f>
        <v>X</v>
      </c>
      <c r="AG192" t="str">
        <f>IF(VLOOKUP(Table1[[#This Row],[/* Object]],Namespace!A:J,5,FALSE)=0,"",VLOOKUP(Table1[[#This Row],[/* Object]],Namespace!A:J,5,FALSE))</f>
        <v>X</v>
      </c>
      <c r="AH192" t="str">
        <f>IF(VLOOKUP(Table1[[#This Row],[/* Object]],Namespace!A:J,6,FALSE)=0,"",VLOOKUP(Table1[[#This Row],[/* Object]],Namespace!A:J,6,FALSE))</f>
        <v/>
      </c>
      <c r="AI192">
        <f>IFERROR(FIND("/",Table1[[#This Row],[Final Obj Name]],1),0)</f>
        <v>0</v>
      </c>
      <c r="AJ192">
        <f>IF(Table1[[#This Row],[Position 1]]=0,0,FIND("/",Table1[[#This Row],[Final Obj Name]],Table1[[#This Row],[Position 1]]+1))</f>
        <v>0</v>
      </c>
      <c r="AK192" t="str">
        <f>IF(LEFT(Table1[[#This Row],[Final Obj Name]],1)="/",LEFT(Table1[[#This Row],[Final Obj Name]],FIND("/",Table1[[#This Row],[Final Obj Name]],2)),"/0SAP/")</f>
        <v>/0SAP/</v>
      </c>
    </row>
    <row r="193">
      <c r="A193" t="str">
        <v>CLAS</v>
      </c>
      <c r="B193" t="str">
        <v>ZCL_WM_OUTBOUND_HU_FORM</v>
      </c>
      <c r="C193" t="str">
        <v>CPUB</v>
      </c>
      <c r="D193" t="str">
        <v>ZCL_WM_OUTBOUND_HU_FORM</v>
      </c>
      <c r="E193" t="str">
        <v>XXXX</v>
      </c>
      <c r="G193" t="str">
        <v>ALL</v>
      </c>
      <c r="K193" t="str">
        <v>E</v>
      </c>
      <c r="L193" t="str">
        <v>CST_ARAJASEK</v>
      </c>
      <c r="M193">
        <v>46035</v>
      </c>
      <c r="N193">
        <v>0.7390625</v>
      </c>
      <c r="Y193">
        <f>IF(Table1[[#This Row],[OPERATION]]="NOTE","NOTE",Table1[[#This Row],[SUB_TYPE]])</f>
        <v>0</v>
      </c>
      <c r="Z193">
        <f>IF(Table1[[#This Row],[OPERATION]]="NOTE",NUMBERVALUE(LEFT(Table1[[#This Row],[MOD_NAME]],LEN(Table1[[#This Row],[MOD_NAME]])-4)),Table1[[#This Row],[SUB_NAME]])</f>
        <v>0</v>
      </c>
      <c r="AA193" t="str">
        <f>CONCAT(Table1[[#This Row],[Final Obj Type]],"|",Table1[[#This Row],[Final Obj Name]])</f>
        <v>0|0</v>
      </c>
      <c r="AB193" t="e">
        <f>VLOOKUP(Table1[[#This Row],[Final Obj Type]],Classification!B:E,3,FALSE)</f>
        <v>#N/A</v>
      </c>
      <c r="AC193" t="e">
        <f>VLOOKUP(Table1[[#This Row],[Final Obj Type]],Classification!B:E,4,FALSE)</f>
        <v>#N/A</v>
      </c>
      <c r="AD193" t="str">
        <f>IF(Table1[[#This Row],[Position 1]]=0,"/0SAP/",MID(Table1[[#This Row],[Final Obj Name]],Table1[[#This Row],[Position 1]],Table1[[#This Row],[Position 2]]-Table1[[#This Row],[Position 1]]+1))</f>
        <v>/0SAP/</v>
      </c>
      <c r="AE193" t="str">
        <f>VLOOKUP(Table1[[#This Row],[/* Object]],Namespace!A:J,10,FALSE)</f>
        <v>SAP AG</v>
      </c>
      <c r="AF193" t="str">
        <f>IF(VLOOKUP(Table1[[#This Row],[/* Object]],Namespace!A:J,4,FALSE)=0,"",VLOOKUP(Table1[[#This Row],[/* Object]],Namespace!A:J,4,FALSE))</f>
        <v>X</v>
      </c>
      <c r="AG193" t="str">
        <f>IF(VLOOKUP(Table1[[#This Row],[/* Object]],Namespace!A:J,5,FALSE)=0,"",VLOOKUP(Table1[[#This Row],[/* Object]],Namespace!A:J,5,FALSE))</f>
        <v>X</v>
      </c>
      <c r="AH193" t="str">
        <f>IF(VLOOKUP(Table1[[#This Row],[/* Object]],Namespace!A:J,6,FALSE)=0,"",VLOOKUP(Table1[[#This Row],[/* Object]],Namespace!A:J,6,FALSE))</f>
        <v/>
      </c>
      <c r="AI193">
        <f>IFERROR(FIND("/",Table1[[#This Row],[Final Obj Name]],1),0)</f>
        <v>0</v>
      </c>
      <c r="AJ193">
        <f>IF(Table1[[#This Row],[Position 1]]=0,0,FIND("/",Table1[[#This Row],[Final Obj Name]],Table1[[#This Row],[Position 1]]+1))</f>
        <v>0</v>
      </c>
      <c r="AK193" t="str">
        <f>IF(LEFT(Table1[[#This Row],[Final Obj Name]],1)="/",LEFT(Table1[[#This Row],[Final Obj Name]],FIND("/",Table1[[#This Row],[Final Obj Name]],2)),"/0SAP/")</f>
        <v>/0SAP/</v>
      </c>
    </row>
    <row r="194">
      <c r="A194" t="str">
        <v>CLAS</v>
      </c>
      <c r="B194" t="str">
        <v>ZCL_WM_PICKING_LIST_FORM</v>
      </c>
      <c r="C194" t="str">
        <v>CPRI</v>
      </c>
      <c r="D194" t="str">
        <v>ZCL_WM_PICKING_LIST_FORM</v>
      </c>
      <c r="E194" t="str">
        <v>XXXX</v>
      </c>
      <c r="G194" t="str">
        <v>ALL</v>
      </c>
      <c r="K194" t="str">
        <v>E</v>
      </c>
      <c r="L194" t="str">
        <v>CST_ACHAUHAN</v>
      </c>
      <c r="M194">
        <v>43749</v>
      </c>
      <c r="N194">
        <v>0.35677083333333</v>
      </c>
      <c r="Y194">
        <f>IF(Table1[[#This Row],[OPERATION]]="NOTE","NOTE",Table1[[#This Row],[SUB_TYPE]])</f>
        <v>0</v>
      </c>
      <c r="Z194">
        <f>IF(Table1[[#This Row],[OPERATION]]="NOTE",NUMBERVALUE(LEFT(Table1[[#This Row],[MOD_NAME]],LEN(Table1[[#This Row],[MOD_NAME]])-4)),Table1[[#This Row],[SUB_NAME]])</f>
        <v>0</v>
      </c>
      <c r="AA194" t="str">
        <f>CONCAT(Table1[[#This Row],[Final Obj Type]],"|",Table1[[#This Row],[Final Obj Name]])</f>
        <v>0|0</v>
      </c>
      <c r="AB194" t="e">
        <f>VLOOKUP(Table1[[#This Row],[Final Obj Type]],Classification!B:E,3,FALSE)</f>
        <v>#N/A</v>
      </c>
      <c r="AC194" t="e">
        <f>VLOOKUP(Table1[[#This Row],[Final Obj Type]],Classification!B:E,4,FALSE)</f>
        <v>#N/A</v>
      </c>
      <c r="AD194" t="str">
        <f>IF(Table1[[#This Row],[Position 1]]=0,"/0SAP/",MID(Table1[[#This Row],[Final Obj Name]],Table1[[#This Row],[Position 1]],Table1[[#This Row],[Position 2]]-Table1[[#This Row],[Position 1]]+1))</f>
        <v>/0SAP/</v>
      </c>
      <c r="AE194" t="str">
        <f>VLOOKUP(Table1[[#This Row],[/* Object]],Namespace!A:J,10,FALSE)</f>
        <v>SAP AG</v>
      </c>
      <c r="AF194" t="str">
        <f>IF(VLOOKUP(Table1[[#This Row],[/* Object]],Namespace!A:J,4,FALSE)=0,"",VLOOKUP(Table1[[#This Row],[/* Object]],Namespace!A:J,4,FALSE))</f>
        <v>X</v>
      </c>
      <c r="AG194" t="str">
        <f>IF(VLOOKUP(Table1[[#This Row],[/* Object]],Namespace!A:J,5,FALSE)=0,"",VLOOKUP(Table1[[#This Row],[/* Object]],Namespace!A:J,5,FALSE))</f>
        <v>X</v>
      </c>
      <c r="AH194" t="str">
        <f>IF(VLOOKUP(Table1[[#This Row],[/* Object]],Namespace!A:J,6,FALSE)=0,"",VLOOKUP(Table1[[#This Row],[/* Object]],Namespace!A:J,6,FALSE))</f>
        <v/>
      </c>
      <c r="AI194">
        <f>IFERROR(FIND("/",Table1[[#This Row],[Final Obj Name]],1),0)</f>
        <v>0</v>
      </c>
      <c r="AJ194">
        <f>IF(Table1[[#This Row],[Position 1]]=0,0,FIND("/",Table1[[#This Row],[Final Obj Name]],Table1[[#This Row],[Position 1]]+1))</f>
        <v>0</v>
      </c>
      <c r="AK194" t="str">
        <f>IF(LEFT(Table1[[#This Row],[Final Obj Name]],1)="/",LEFT(Table1[[#This Row],[Final Obj Name]],FIND("/",Table1[[#This Row],[Final Obj Name]],2)),"/0SAP/")</f>
        <v>/0SAP/</v>
      </c>
    </row>
    <row r="195">
      <c r="A195" t="str">
        <v>CLAS</v>
      </c>
      <c r="B195" t="str">
        <v>ZCL_WM_PICKING_LIST_FORM</v>
      </c>
      <c r="C195" t="str">
        <v>CPRO</v>
      </c>
      <c r="D195" t="str">
        <v>ZCL_WM_PICKING_LIST_FORM</v>
      </c>
      <c r="E195" t="str">
        <v>XXXX</v>
      </c>
      <c r="G195" t="str">
        <v>ALL</v>
      </c>
      <c r="K195" t="str">
        <v>E</v>
      </c>
      <c r="L195" t="str">
        <v>CST_ACHAUHAN</v>
      </c>
      <c r="M195">
        <v>43749</v>
      </c>
      <c r="N195">
        <v>0.35677083333333</v>
      </c>
      <c r="Y195">
        <f>IF(Table1[[#This Row],[OPERATION]]="NOTE","NOTE",Table1[[#This Row],[SUB_TYPE]])</f>
        <v>0</v>
      </c>
      <c r="Z195">
        <f>IF(Table1[[#This Row],[OPERATION]]="NOTE",NUMBERVALUE(LEFT(Table1[[#This Row],[MOD_NAME]],LEN(Table1[[#This Row],[MOD_NAME]])-4)),Table1[[#This Row],[SUB_NAME]])</f>
        <v>0</v>
      </c>
      <c r="AA195" t="str">
        <f>CONCAT(Table1[[#This Row],[Final Obj Type]],"|",Table1[[#This Row],[Final Obj Name]])</f>
        <v>0|0</v>
      </c>
      <c r="AB195" t="e">
        <f>VLOOKUP(Table1[[#This Row],[Final Obj Type]],Classification!B:E,3,FALSE)</f>
        <v>#N/A</v>
      </c>
      <c r="AC195" t="e">
        <f>VLOOKUP(Table1[[#This Row],[Final Obj Type]],Classification!B:E,4,FALSE)</f>
        <v>#N/A</v>
      </c>
      <c r="AD195" t="str">
        <f>IF(Table1[[#This Row],[Position 1]]=0,"/0SAP/",MID(Table1[[#This Row],[Final Obj Name]],Table1[[#This Row],[Position 1]],Table1[[#This Row],[Position 2]]-Table1[[#This Row],[Position 1]]+1))</f>
        <v>/0SAP/</v>
      </c>
      <c r="AE195" t="str">
        <f>VLOOKUP(Table1[[#This Row],[/* Object]],Namespace!A:J,10,FALSE)</f>
        <v>SAP AG</v>
      </c>
      <c r="AF195" t="str">
        <f>IF(VLOOKUP(Table1[[#This Row],[/* Object]],Namespace!A:J,4,FALSE)=0,"",VLOOKUP(Table1[[#This Row],[/* Object]],Namespace!A:J,4,FALSE))</f>
        <v>X</v>
      </c>
      <c r="AG195" t="str">
        <f>IF(VLOOKUP(Table1[[#This Row],[/* Object]],Namespace!A:J,5,FALSE)=0,"",VLOOKUP(Table1[[#This Row],[/* Object]],Namespace!A:J,5,FALSE))</f>
        <v>X</v>
      </c>
      <c r="AH195" t="str">
        <f>IF(VLOOKUP(Table1[[#This Row],[/* Object]],Namespace!A:J,6,FALSE)=0,"",VLOOKUP(Table1[[#This Row],[/* Object]],Namespace!A:J,6,FALSE))</f>
        <v/>
      </c>
      <c r="AI195">
        <f>IFERROR(FIND("/",Table1[[#This Row],[Final Obj Name]],1),0)</f>
        <v>0</v>
      </c>
      <c r="AJ195">
        <f>IF(Table1[[#This Row],[Position 1]]=0,0,FIND("/",Table1[[#This Row],[Final Obj Name]],Table1[[#This Row],[Position 1]]+1))</f>
        <v>0</v>
      </c>
      <c r="AK195" t="str">
        <f>IF(LEFT(Table1[[#This Row],[Final Obj Name]],1)="/",LEFT(Table1[[#This Row],[Final Obj Name]],FIND("/",Table1[[#This Row],[Final Obj Name]],2)),"/0SAP/")</f>
        <v>/0SAP/</v>
      </c>
    </row>
    <row r="196">
      <c r="A196" t="str">
        <v>CLAS</v>
      </c>
      <c r="B196" t="str">
        <v>ZCL_ZOTC_MRP_EXCEPTION_DPC_EXT</v>
      </c>
      <c r="C196" t="str">
        <v>CPRO</v>
      </c>
      <c r="D196" t="str">
        <v>ZCL_ZOTC_MRP_EXCEPTION_DPC_EXT</v>
      </c>
      <c r="E196" t="str">
        <v>INTF</v>
      </c>
      <c r="G196" t="str">
        <v>ALL</v>
      </c>
      <c r="K196" t="str">
        <v>E</v>
      </c>
      <c r="L196">
        <v>50117143</v>
      </c>
      <c r="M196">
        <v>45082</v>
      </c>
      <c r="N196">
        <v>0.52420138888889</v>
      </c>
      <c r="W196" t="str">
        <v>S01K916413</v>
      </c>
      <c r="Y196">
        <f>IF(Table1[[#This Row],[OPERATION]]="NOTE","NOTE",Table1[[#This Row],[SUB_TYPE]])</f>
        <v>0</v>
      </c>
      <c r="Z196">
        <f>IF(Table1[[#This Row],[OPERATION]]="NOTE",NUMBERVALUE(LEFT(Table1[[#This Row],[MOD_NAME]],LEN(Table1[[#This Row],[MOD_NAME]])-4)),Table1[[#This Row],[SUB_NAME]])</f>
        <v>0</v>
      </c>
      <c r="AA196" t="str">
        <f>CONCAT(Table1[[#This Row],[Final Obj Type]],"|",Table1[[#This Row],[Final Obj Name]])</f>
        <v>0|0</v>
      </c>
      <c r="AB196" t="e">
        <f>VLOOKUP(Table1[[#This Row],[Final Obj Type]],Classification!B:E,3,FALSE)</f>
        <v>#N/A</v>
      </c>
      <c r="AC196" t="e">
        <f>VLOOKUP(Table1[[#This Row],[Final Obj Type]],Classification!B:E,4,FALSE)</f>
        <v>#N/A</v>
      </c>
      <c r="AD196" t="str">
        <f>IF(Table1[[#This Row],[Position 1]]=0,"/0SAP/",MID(Table1[[#This Row],[Final Obj Name]],Table1[[#This Row],[Position 1]],Table1[[#This Row],[Position 2]]-Table1[[#This Row],[Position 1]]+1))</f>
        <v>/0SAP/</v>
      </c>
      <c r="AE196" t="str">
        <f>VLOOKUP(Table1[[#This Row],[/* Object]],Namespace!A:J,10,FALSE)</f>
        <v>SAP AG</v>
      </c>
      <c r="AF196" t="str">
        <f>IF(VLOOKUP(Table1[[#This Row],[/* Object]],Namespace!A:J,4,FALSE)=0,"",VLOOKUP(Table1[[#This Row],[/* Object]],Namespace!A:J,4,FALSE))</f>
        <v>X</v>
      </c>
      <c r="AG196" t="str">
        <f>IF(VLOOKUP(Table1[[#This Row],[/* Object]],Namespace!A:J,5,FALSE)=0,"",VLOOKUP(Table1[[#This Row],[/* Object]],Namespace!A:J,5,FALSE))</f>
        <v>X</v>
      </c>
      <c r="AH196" t="str">
        <f>IF(VLOOKUP(Table1[[#This Row],[/* Object]],Namespace!A:J,6,FALSE)=0,"",VLOOKUP(Table1[[#This Row],[/* Object]],Namespace!A:J,6,FALSE))</f>
        <v/>
      </c>
      <c r="AI196">
        <f>IFERROR(FIND("/",Table1[[#This Row],[Final Obj Name]],1),0)</f>
        <v>0</v>
      </c>
      <c r="AJ196">
        <f>IF(Table1[[#This Row],[Position 1]]=0,0,FIND("/",Table1[[#This Row],[Final Obj Name]],Table1[[#This Row],[Position 1]]+1))</f>
        <v>0</v>
      </c>
      <c r="AK196" t="str">
        <f>IF(LEFT(Table1[[#This Row],[Final Obj Name]],1)="/",LEFT(Table1[[#This Row],[Final Obj Name]],FIND("/",Table1[[#This Row],[Final Obj Name]],2)),"/0SAP/")</f>
        <v>/0SAP/</v>
      </c>
    </row>
    <row r="197">
      <c r="A197" t="str">
        <v>CLAS</v>
      </c>
      <c r="B197" t="str">
        <v>ZCL_ZOTC_MRP_EXCEPTION_DPC_EXT</v>
      </c>
      <c r="C197" t="str">
        <v>CPUB</v>
      </c>
      <c r="D197" t="str">
        <v>ZCL_ZOTC_MRP_EXCEPTION_DPC_EXT</v>
      </c>
      <c r="E197" t="str">
        <v>INTF</v>
      </c>
      <c r="G197" t="str">
        <v>ALL</v>
      </c>
      <c r="K197" t="str">
        <v>E</v>
      </c>
      <c r="L197">
        <v>50117143</v>
      </c>
      <c r="M197">
        <v>45120</v>
      </c>
      <c r="N197">
        <v>0.28068287037037</v>
      </c>
      <c r="W197" t="str">
        <v>S01K916440</v>
      </c>
      <c r="Y197">
        <f>IF(Table1[[#This Row],[OPERATION]]="NOTE","NOTE",Table1[[#This Row],[SUB_TYPE]])</f>
        <v>0</v>
      </c>
      <c r="Z197">
        <f>IF(Table1[[#This Row],[OPERATION]]="NOTE",NUMBERVALUE(LEFT(Table1[[#This Row],[MOD_NAME]],LEN(Table1[[#This Row],[MOD_NAME]])-4)),Table1[[#This Row],[SUB_NAME]])</f>
        <v>0</v>
      </c>
      <c r="AA197" t="str">
        <f>CONCAT(Table1[[#This Row],[Final Obj Type]],"|",Table1[[#This Row],[Final Obj Name]])</f>
        <v>0|0</v>
      </c>
      <c r="AB197" t="e">
        <f>VLOOKUP(Table1[[#This Row],[Final Obj Type]],Classification!B:E,3,FALSE)</f>
        <v>#N/A</v>
      </c>
      <c r="AC197" t="e">
        <f>VLOOKUP(Table1[[#This Row],[Final Obj Type]],Classification!B:E,4,FALSE)</f>
        <v>#N/A</v>
      </c>
      <c r="AD197" t="str">
        <f>IF(Table1[[#This Row],[Position 1]]=0,"/0SAP/",MID(Table1[[#This Row],[Final Obj Name]],Table1[[#This Row],[Position 1]],Table1[[#This Row],[Position 2]]-Table1[[#This Row],[Position 1]]+1))</f>
        <v>/0SAP/</v>
      </c>
      <c r="AE197" t="str">
        <f>VLOOKUP(Table1[[#This Row],[/* Object]],Namespace!A:J,10,FALSE)</f>
        <v>SAP AG</v>
      </c>
      <c r="AF197" t="str">
        <f>IF(VLOOKUP(Table1[[#This Row],[/* Object]],Namespace!A:J,4,FALSE)=0,"",VLOOKUP(Table1[[#This Row],[/* Object]],Namespace!A:J,4,FALSE))</f>
        <v>X</v>
      </c>
      <c r="AG197" t="str">
        <f>IF(VLOOKUP(Table1[[#This Row],[/* Object]],Namespace!A:J,5,FALSE)=0,"",VLOOKUP(Table1[[#This Row],[/* Object]],Namespace!A:J,5,FALSE))</f>
        <v>X</v>
      </c>
      <c r="AH197" t="str">
        <f>IF(VLOOKUP(Table1[[#This Row],[/* Object]],Namespace!A:J,6,FALSE)=0,"",VLOOKUP(Table1[[#This Row],[/* Object]],Namespace!A:J,6,FALSE))</f>
        <v/>
      </c>
      <c r="AI197">
        <f>IFERROR(FIND("/",Table1[[#This Row],[Final Obj Name]],1),0)</f>
        <v>0</v>
      </c>
      <c r="AJ197">
        <f>IF(Table1[[#This Row],[Position 1]]=0,0,FIND("/",Table1[[#This Row],[Final Obj Name]],Table1[[#This Row],[Position 1]]+1))</f>
        <v>0</v>
      </c>
      <c r="AK197" t="str">
        <f>IF(LEFT(Table1[[#This Row],[Final Obj Name]],1)="/",LEFT(Table1[[#This Row],[Final Obj Name]],FIND("/",Table1[[#This Row],[Final Obj Name]],2)),"/0SAP/")</f>
        <v>/0SAP/</v>
      </c>
    </row>
    <row r="198">
      <c r="A198" t="str">
        <v>CLAS</v>
      </c>
      <c r="B198" t="str">
        <v>ZCL_ZOTC_OUTPUT</v>
      </c>
      <c r="C198" t="str">
        <v>CPUB</v>
      </c>
      <c r="D198" t="str">
        <v>ZCL_ZOTC_OUTPUT</v>
      </c>
      <c r="E198" t="str">
        <v>INTF</v>
      </c>
      <c r="G198" t="str">
        <v>ALL</v>
      </c>
      <c r="K198" t="str">
        <v>E</v>
      </c>
      <c r="L198" t="str">
        <v>VKUNNAVAKAM</v>
      </c>
      <c r="M198">
        <v>45181</v>
      </c>
      <c r="N198">
        <v>0.50476851851852</v>
      </c>
      <c r="W198" t="str">
        <v>S01K918309</v>
      </c>
      <c r="Y198">
        <f>IF(Table1[[#This Row],[OPERATION]]="NOTE","NOTE",Table1[[#This Row],[SUB_TYPE]])</f>
        <v>0</v>
      </c>
      <c r="Z198">
        <f>IF(Table1[[#This Row],[OPERATION]]="NOTE",NUMBERVALUE(LEFT(Table1[[#This Row],[MOD_NAME]],LEN(Table1[[#This Row],[MOD_NAME]])-4)),Table1[[#This Row],[SUB_NAME]])</f>
        <v>0</v>
      </c>
      <c r="AA198" t="str">
        <f>CONCAT(Table1[[#This Row],[Final Obj Type]],"|",Table1[[#This Row],[Final Obj Name]])</f>
        <v>0|0</v>
      </c>
      <c r="AB198" t="e">
        <f>VLOOKUP(Table1[[#This Row],[Final Obj Type]],Classification!B:E,3,FALSE)</f>
        <v>#N/A</v>
      </c>
      <c r="AC198" t="e">
        <f>VLOOKUP(Table1[[#This Row],[Final Obj Type]],Classification!B:E,4,FALSE)</f>
        <v>#N/A</v>
      </c>
      <c r="AD198" t="str">
        <f>IF(Table1[[#This Row],[Position 1]]=0,"/0SAP/",MID(Table1[[#This Row],[Final Obj Name]],Table1[[#This Row],[Position 1]],Table1[[#This Row],[Position 2]]-Table1[[#This Row],[Position 1]]+1))</f>
        <v>/0SAP/</v>
      </c>
      <c r="AE198" t="str">
        <f>VLOOKUP(Table1[[#This Row],[/* Object]],Namespace!A:J,10,FALSE)</f>
        <v>SAP AG</v>
      </c>
      <c r="AF198" t="str">
        <f>IF(VLOOKUP(Table1[[#This Row],[/* Object]],Namespace!A:J,4,FALSE)=0,"",VLOOKUP(Table1[[#This Row],[/* Object]],Namespace!A:J,4,FALSE))</f>
        <v>X</v>
      </c>
      <c r="AG198" t="str">
        <f>IF(VLOOKUP(Table1[[#This Row],[/* Object]],Namespace!A:J,5,FALSE)=0,"",VLOOKUP(Table1[[#This Row],[/* Object]],Namespace!A:J,5,FALSE))</f>
        <v>X</v>
      </c>
      <c r="AH198" t="str">
        <f>IF(VLOOKUP(Table1[[#This Row],[/* Object]],Namespace!A:J,6,FALSE)=0,"",VLOOKUP(Table1[[#This Row],[/* Object]],Namespace!A:J,6,FALSE))</f>
        <v/>
      </c>
      <c r="AI198">
        <f>IFERROR(FIND("/",Table1[[#This Row],[Final Obj Name]],1),0)</f>
        <v>0</v>
      </c>
      <c r="AJ198">
        <f>IF(Table1[[#This Row],[Position 1]]=0,0,FIND("/",Table1[[#This Row],[Final Obj Name]],Table1[[#This Row],[Position 1]]+1))</f>
        <v>0</v>
      </c>
      <c r="AK198" t="str">
        <f>IF(LEFT(Table1[[#This Row],[Final Obj Name]],1)="/",LEFT(Table1[[#This Row],[Final Obj Name]],FIND("/",Table1[[#This Row],[Final Obj Name]],2)),"/0SAP/")</f>
        <v>/0SAP/</v>
      </c>
    </row>
    <row r="199">
      <c r="A199" t="str">
        <v>CLAS</v>
      </c>
      <c r="B199" t="str">
        <v>ZCL_ZPTM_OSMI_CALCULATION</v>
      </c>
      <c r="C199" t="str">
        <v>METH</v>
      </c>
      <c r="D199" t="str">
        <v>ZCL_ZPTM_OSMI_CALCULATION     CHANGE_CALCULATION</v>
      </c>
      <c r="E199" t="str">
        <v>PN</v>
      </c>
      <c r="G199" t="str">
        <v>MOD</v>
      </c>
      <c r="H199" t="str">
        <v>ZCL_ZPTM_OSMI_CALCULATION=====CP</v>
      </c>
      <c r="K199" t="str">
        <v>E</v>
      </c>
      <c r="L199" t="str">
        <v>CST_UKHANNA</v>
      </c>
      <c r="M199">
        <v>44092</v>
      </c>
      <c r="N199">
        <v>0.50988425925926</v>
      </c>
      <c r="W199" t="str">
        <v>S01K909344</v>
      </c>
      <c r="Y199">
        <f>IF(Table1[[#This Row],[OPERATION]]="NOTE","NOTE",Table1[[#This Row],[SUB_TYPE]])</f>
        <v>0</v>
      </c>
      <c r="Z199">
        <f>IF(Table1[[#This Row],[OPERATION]]="NOTE",NUMBERVALUE(LEFT(Table1[[#This Row],[MOD_NAME]],LEN(Table1[[#This Row],[MOD_NAME]])-4)),Table1[[#This Row],[SUB_NAME]])</f>
        <v>0</v>
      </c>
      <c r="AA199" t="str">
        <f>CONCAT(Table1[[#This Row],[Final Obj Type]],"|",Table1[[#This Row],[Final Obj Name]])</f>
        <v>0|0</v>
      </c>
      <c r="AB199" t="e">
        <f>VLOOKUP(Table1[[#This Row],[Final Obj Type]],Classification!B:E,3,FALSE)</f>
        <v>#N/A</v>
      </c>
      <c r="AC199" t="e">
        <f>VLOOKUP(Table1[[#This Row],[Final Obj Type]],Classification!B:E,4,FALSE)</f>
        <v>#N/A</v>
      </c>
      <c r="AD199" t="str">
        <f>IF(Table1[[#This Row],[Position 1]]=0,"/0SAP/",MID(Table1[[#This Row],[Final Obj Name]],Table1[[#This Row],[Position 1]],Table1[[#This Row],[Position 2]]-Table1[[#This Row],[Position 1]]+1))</f>
        <v>/0SAP/</v>
      </c>
      <c r="AE199" t="str">
        <f>VLOOKUP(Table1[[#This Row],[/* Object]],Namespace!A:J,10,FALSE)</f>
        <v>SAP AG</v>
      </c>
      <c r="AF199" t="str">
        <f>IF(VLOOKUP(Table1[[#This Row],[/* Object]],Namespace!A:J,4,FALSE)=0,"",VLOOKUP(Table1[[#This Row],[/* Object]],Namespace!A:J,4,FALSE))</f>
        <v>X</v>
      </c>
      <c r="AG199" t="str">
        <f>IF(VLOOKUP(Table1[[#This Row],[/* Object]],Namespace!A:J,5,FALSE)=0,"",VLOOKUP(Table1[[#This Row],[/* Object]],Namespace!A:J,5,FALSE))</f>
        <v>X</v>
      </c>
      <c r="AH199" t="str">
        <f>IF(VLOOKUP(Table1[[#This Row],[/* Object]],Namespace!A:J,6,FALSE)=0,"",VLOOKUP(Table1[[#This Row],[/* Object]],Namespace!A:J,6,FALSE))</f>
        <v/>
      </c>
      <c r="AI199">
        <f>IFERROR(FIND("/",Table1[[#This Row],[Final Obj Name]],1),0)</f>
        <v>0</v>
      </c>
      <c r="AJ199">
        <f>IF(Table1[[#This Row],[Position 1]]=0,0,FIND("/",Table1[[#This Row],[Final Obj Name]],Table1[[#This Row],[Position 1]]+1))</f>
        <v>0</v>
      </c>
      <c r="AK199" t="str">
        <f>IF(LEFT(Table1[[#This Row],[Final Obj Name]],1)="/",LEFT(Table1[[#This Row],[Final Obj Name]],FIND("/",Table1[[#This Row],[Final Obj Name]],2)),"/0SAP/")</f>
        <v>/0SAP/</v>
      </c>
    </row>
    <row r="200">
      <c r="A200" t="str">
        <v>CLAS</v>
      </c>
      <c r="B200" t="str">
        <v>ZCL_ZPTP_ASN_RECEIVE_A_DPC_EXT</v>
      </c>
      <c r="C200" t="str">
        <v>CPRO</v>
      </c>
      <c r="D200" t="str">
        <v>ZCL_ZPTP_ASN_RECEIVE_A_DPC_EXT</v>
      </c>
      <c r="E200" t="str">
        <v>INTF</v>
      </c>
      <c r="G200" t="str">
        <v>ALL</v>
      </c>
      <c r="K200" t="str">
        <v>E</v>
      </c>
      <c r="L200">
        <v>50116557</v>
      </c>
      <c r="M200">
        <v>45064</v>
      </c>
      <c r="N200">
        <v>0.68886574074074</v>
      </c>
      <c r="W200" t="str">
        <v>S01K916024</v>
      </c>
      <c r="Y200">
        <f>IF(Table1[[#This Row],[OPERATION]]="NOTE","NOTE",Table1[[#This Row],[SUB_TYPE]])</f>
        <v>0</v>
      </c>
      <c r="Z200">
        <f>IF(Table1[[#This Row],[OPERATION]]="NOTE",NUMBERVALUE(LEFT(Table1[[#This Row],[MOD_NAME]],LEN(Table1[[#This Row],[MOD_NAME]])-4)),Table1[[#This Row],[SUB_NAME]])</f>
        <v>0</v>
      </c>
      <c r="AA200" t="str">
        <f>CONCAT(Table1[[#This Row],[Final Obj Type]],"|",Table1[[#This Row],[Final Obj Name]])</f>
        <v>0|0</v>
      </c>
      <c r="AB200" t="e">
        <f>VLOOKUP(Table1[[#This Row],[Final Obj Type]],Classification!B:E,3,FALSE)</f>
        <v>#N/A</v>
      </c>
      <c r="AC200" t="e">
        <f>VLOOKUP(Table1[[#This Row],[Final Obj Type]],Classification!B:E,4,FALSE)</f>
        <v>#N/A</v>
      </c>
      <c r="AD200" t="str">
        <f>IF(Table1[[#This Row],[Position 1]]=0,"/0SAP/",MID(Table1[[#This Row],[Final Obj Name]],Table1[[#This Row],[Position 1]],Table1[[#This Row],[Position 2]]-Table1[[#This Row],[Position 1]]+1))</f>
        <v>/0SAP/</v>
      </c>
      <c r="AE200" t="str">
        <f>VLOOKUP(Table1[[#This Row],[/* Object]],Namespace!A:J,10,FALSE)</f>
        <v>SAP AG</v>
      </c>
      <c r="AF200" t="str">
        <f>IF(VLOOKUP(Table1[[#This Row],[/* Object]],Namespace!A:J,4,FALSE)=0,"",VLOOKUP(Table1[[#This Row],[/* Object]],Namespace!A:J,4,FALSE))</f>
        <v>X</v>
      </c>
      <c r="AG200" t="str">
        <f>IF(VLOOKUP(Table1[[#This Row],[/* Object]],Namespace!A:J,5,FALSE)=0,"",VLOOKUP(Table1[[#This Row],[/* Object]],Namespace!A:J,5,FALSE))</f>
        <v>X</v>
      </c>
      <c r="AH200" t="str">
        <f>IF(VLOOKUP(Table1[[#This Row],[/* Object]],Namespace!A:J,6,FALSE)=0,"",VLOOKUP(Table1[[#This Row],[/* Object]],Namespace!A:J,6,FALSE))</f>
        <v/>
      </c>
      <c r="AI200">
        <f>IFERROR(FIND("/",Table1[[#This Row],[Final Obj Name]],1),0)</f>
        <v>0</v>
      </c>
      <c r="AJ200">
        <f>IF(Table1[[#This Row],[Position 1]]=0,0,FIND("/",Table1[[#This Row],[Final Obj Name]],Table1[[#This Row],[Position 1]]+1))</f>
        <v>0</v>
      </c>
      <c r="AK200" t="str">
        <f>IF(LEFT(Table1[[#This Row],[Final Obj Name]],1)="/",LEFT(Table1[[#This Row],[Final Obj Name]],FIND("/",Table1[[#This Row],[Final Obj Name]],2)),"/0SAP/")</f>
        <v>/0SAP/</v>
      </c>
    </row>
    <row r="201">
      <c r="A201" t="str">
        <v>CLAS</v>
      </c>
      <c r="B201" t="str">
        <v>ZCL_ZPTP_ASN_RECEIVE_A_DPC_EXT</v>
      </c>
      <c r="C201" t="str">
        <v>CPUB</v>
      </c>
      <c r="D201" t="str">
        <v>ZCL_ZPTP_ASN_RECEIVE_A_DPC_EXT</v>
      </c>
      <c r="E201" t="str">
        <v>INTF</v>
      </c>
      <c r="G201" t="str">
        <v>ALL</v>
      </c>
      <c r="K201" t="str">
        <v>E</v>
      </c>
      <c r="L201">
        <v>50116557</v>
      </c>
      <c r="M201">
        <v>45099</v>
      </c>
      <c r="N201">
        <v>0.82871527777778</v>
      </c>
      <c r="W201" t="str">
        <v>S01K916739</v>
      </c>
      <c r="Y201">
        <f>IF(Table1[[#This Row],[OPERATION]]="NOTE","NOTE",Table1[[#This Row],[SUB_TYPE]])</f>
        <v>0</v>
      </c>
      <c r="Z201">
        <f>IF(Table1[[#This Row],[OPERATION]]="NOTE",NUMBERVALUE(LEFT(Table1[[#This Row],[MOD_NAME]],LEN(Table1[[#This Row],[MOD_NAME]])-4)),Table1[[#This Row],[SUB_NAME]])</f>
        <v>0</v>
      </c>
      <c r="AA201" t="str">
        <f>CONCAT(Table1[[#This Row],[Final Obj Type]],"|",Table1[[#This Row],[Final Obj Name]])</f>
        <v>0|0</v>
      </c>
      <c r="AB201" t="e">
        <f>VLOOKUP(Table1[[#This Row],[Final Obj Type]],Classification!B:E,3,FALSE)</f>
        <v>#N/A</v>
      </c>
      <c r="AC201" t="e">
        <f>VLOOKUP(Table1[[#This Row],[Final Obj Type]],Classification!B:E,4,FALSE)</f>
        <v>#N/A</v>
      </c>
      <c r="AD201" t="str">
        <f>IF(Table1[[#This Row],[Position 1]]=0,"/0SAP/",MID(Table1[[#This Row],[Final Obj Name]],Table1[[#This Row],[Position 1]],Table1[[#This Row],[Position 2]]-Table1[[#This Row],[Position 1]]+1))</f>
        <v>/0SAP/</v>
      </c>
      <c r="AE201" t="str">
        <f>VLOOKUP(Table1[[#This Row],[/* Object]],Namespace!A:J,10,FALSE)</f>
        <v>SAP AG</v>
      </c>
      <c r="AF201" t="str">
        <f>IF(VLOOKUP(Table1[[#This Row],[/* Object]],Namespace!A:J,4,FALSE)=0,"",VLOOKUP(Table1[[#This Row],[/* Object]],Namespace!A:J,4,FALSE))</f>
        <v>X</v>
      </c>
      <c r="AG201" t="str">
        <f>IF(VLOOKUP(Table1[[#This Row],[/* Object]],Namespace!A:J,5,FALSE)=0,"",VLOOKUP(Table1[[#This Row],[/* Object]],Namespace!A:J,5,FALSE))</f>
        <v>X</v>
      </c>
      <c r="AH201" t="str">
        <f>IF(VLOOKUP(Table1[[#This Row],[/* Object]],Namespace!A:J,6,FALSE)=0,"",VLOOKUP(Table1[[#This Row],[/* Object]],Namespace!A:J,6,FALSE))</f>
        <v/>
      </c>
      <c r="AI201">
        <f>IFERROR(FIND("/",Table1[[#This Row],[Final Obj Name]],1),0)</f>
        <v>0</v>
      </c>
      <c r="AJ201">
        <f>IF(Table1[[#This Row],[Position 1]]=0,0,FIND("/",Table1[[#This Row],[Final Obj Name]],Table1[[#This Row],[Position 1]]+1))</f>
        <v>0</v>
      </c>
      <c r="AK201" t="str">
        <f>IF(LEFT(Table1[[#This Row],[Final Obj Name]],1)="/",LEFT(Table1[[#This Row],[Final Obj Name]],FIND("/",Table1[[#This Row],[Final Obj Name]],2)),"/0SAP/")</f>
        <v>/0SAP/</v>
      </c>
    </row>
    <row r="202">
      <c r="A202" t="str">
        <v>CLAS</v>
      </c>
      <c r="B202" t="str">
        <v>ZCL_ZPTP_ASN_RECEIVE_A_DPC_EXT</v>
      </c>
      <c r="C202" t="str">
        <v>REPT</v>
      </c>
      <c r="D202" t="str">
        <v>ZCL_ZPTP_ASN_RECEIVE_A_DPC_EXTCP</v>
      </c>
      <c r="G202" t="str">
        <v>ALL</v>
      </c>
      <c r="H202" t="str">
        <v>ZCL_ZPTP_ASN_RECEIVE_A_DPC_EXTCP</v>
      </c>
      <c r="K202" t="str">
        <v>E</v>
      </c>
      <c r="L202">
        <v>50116557</v>
      </c>
      <c r="M202">
        <v>45120</v>
      </c>
      <c r="N202">
        <v>0.28989583333333</v>
      </c>
      <c r="W202" t="str">
        <v>S01K916910</v>
      </c>
      <c r="Y202">
        <f>IF(Table1[[#This Row],[OPERATION]]="NOTE","NOTE",Table1[[#This Row],[SUB_TYPE]])</f>
        <v>0</v>
      </c>
      <c r="Z202">
        <f>IF(Table1[[#This Row],[OPERATION]]="NOTE",NUMBERVALUE(LEFT(Table1[[#This Row],[MOD_NAME]],LEN(Table1[[#This Row],[MOD_NAME]])-4)),Table1[[#This Row],[SUB_NAME]])</f>
        <v>0</v>
      </c>
      <c r="AA202" t="str">
        <f>CONCAT(Table1[[#This Row],[Final Obj Type]],"|",Table1[[#This Row],[Final Obj Name]])</f>
        <v>0|0</v>
      </c>
      <c r="AB202" t="e">
        <f>VLOOKUP(Table1[[#This Row],[Final Obj Type]],Classification!B:E,3,FALSE)</f>
        <v>#N/A</v>
      </c>
      <c r="AC202" t="e">
        <f>VLOOKUP(Table1[[#This Row],[Final Obj Type]],Classification!B:E,4,FALSE)</f>
        <v>#N/A</v>
      </c>
      <c r="AD202" t="str">
        <f>IF(Table1[[#This Row],[Position 1]]=0,"/0SAP/",MID(Table1[[#This Row],[Final Obj Name]],Table1[[#This Row],[Position 1]],Table1[[#This Row],[Position 2]]-Table1[[#This Row],[Position 1]]+1))</f>
        <v>/0SAP/</v>
      </c>
      <c r="AE202" t="str">
        <f>VLOOKUP(Table1[[#This Row],[/* Object]],Namespace!A:J,10,FALSE)</f>
        <v>SAP AG</v>
      </c>
      <c r="AF202" t="str">
        <f>IF(VLOOKUP(Table1[[#This Row],[/* Object]],Namespace!A:J,4,FALSE)=0,"",VLOOKUP(Table1[[#This Row],[/* Object]],Namespace!A:J,4,FALSE))</f>
        <v>X</v>
      </c>
      <c r="AG202" t="str">
        <f>IF(VLOOKUP(Table1[[#This Row],[/* Object]],Namespace!A:J,5,FALSE)=0,"",VLOOKUP(Table1[[#This Row],[/* Object]],Namespace!A:J,5,FALSE))</f>
        <v>X</v>
      </c>
      <c r="AH202" t="str">
        <f>IF(VLOOKUP(Table1[[#This Row],[/* Object]],Namespace!A:J,6,FALSE)=0,"",VLOOKUP(Table1[[#This Row],[/* Object]],Namespace!A:J,6,FALSE))</f>
        <v/>
      </c>
      <c r="AI202">
        <f>IFERROR(FIND("/",Table1[[#This Row],[Final Obj Name]],1),0)</f>
        <v>0</v>
      </c>
      <c r="AJ202">
        <f>IF(Table1[[#This Row],[Position 1]]=0,0,FIND("/",Table1[[#This Row],[Final Obj Name]],Table1[[#This Row],[Position 1]]+1))</f>
        <v>0</v>
      </c>
      <c r="AK202" t="str">
        <f>IF(LEFT(Table1[[#This Row],[Final Obj Name]],1)="/",LEFT(Table1[[#This Row],[Final Obj Name]],FIND("/",Table1[[#This Row],[Final Obj Name]],2)),"/0SAP/")</f>
        <v>/0SAP/</v>
      </c>
    </row>
    <row r="203">
      <c r="A203" t="str">
        <v>CLAS</v>
      </c>
      <c r="B203" t="str">
        <v>ZCL_ZSSTRGWP_REPFIORIA_DPC_EXT</v>
      </c>
      <c r="C203" t="str">
        <v>METH</v>
      </c>
      <c r="D203" t="str">
        <v>ZCL_ZSSTRGWP_REPFIORIA_DPC_EXTE_ASFOUNDCOMP_GET_ENTITYSET</v>
      </c>
      <c r="E203" t="str">
        <v>PN</v>
      </c>
      <c r="G203" t="str">
        <v>MOD</v>
      </c>
      <c r="H203" t="str">
        <v>ZCL_ZSSTRGWP_REPFIORIA_DPC_EXTCP</v>
      </c>
      <c r="K203" t="str">
        <v>E</v>
      </c>
      <c r="L203" t="str">
        <v>CST_SOURYA</v>
      </c>
      <c r="M203">
        <v>45828</v>
      </c>
      <c r="N203">
        <v>0.34662037037037</v>
      </c>
      <c r="Y203">
        <f>IF(Table1[[#This Row],[OPERATION]]="NOTE","NOTE",Table1[[#This Row],[SUB_TYPE]])</f>
        <v>0</v>
      </c>
      <c r="Z203">
        <f>IF(Table1[[#This Row],[OPERATION]]="NOTE",NUMBERVALUE(LEFT(Table1[[#This Row],[MOD_NAME]],LEN(Table1[[#This Row],[MOD_NAME]])-4)),Table1[[#This Row],[SUB_NAME]])</f>
        <v>0</v>
      </c>
      <c r="AA203" t="str">
        <f>CONCAT(Table1[[#This Row],[Final Obj Type]],"|",Table1[[#This Row],[Final Obj Name]])</f>
        <v>0|0</v>
      </c>
      <c r="AB203" t="e">
        <f>VLOOKUP(Table1[[#This Row],[Final Obj Type]],Classification!B:E,3,FALSE)</f>
        <v>#N/A</v>
      </c>
      <c r="AC203" t="e">
        <f>VLOOKUP(Table1[[#This Row],[Final Obj Type]],Classification!B:E,4,FALSE)</f>
        <v>#N/A</v>
      </c>
      <c r="AD203" t="str">
        <f>IF(Table1[[#This Row],[Position 1]]=0,"/0SAP/",MID(Table1[[#This Row],[Final Obj Name]],Table1[[#This Row],[Position 1]],Table1[[#This Row],[Position 2]]-Table1[[#This Row],[Position 1]]+1))</f>
        <v>/0SAP/</v>
      </c>
      <c r="AE203" t="str">
        <f>VLOOKUP(Table1[[#This Row],[/* Object]],Namespace!A:J,10,FALSE)</f>
        <v>SAP AG</v>
      </c>
      <c r="AF203" t="str">
        <f>IF(VLOOKUP(Table1[[#This Row],[/* Object]],Namespace!A:J,4,FALSE)=0,"",VLOOKUP(Table1[[#This Row],[/* Object]],Namespace!A:J,4,FALSE))</f>
        <v>X</v>
      </c>
      <c r="AG203" t="str">
        <f>IF(VLOOKUP(Table1[[#This Row],[/* Object]],Namespace!A:J,5,FALSE)=0,"",VLOOKUP(Table1[[#This Row],[/* Object]],Namespace!A:J,5,FALSE))</f>
        <v>X</v>
      </c>
      <c r="AH203" t="str">
        <f>IF(VLOOKUP(Table1[[#This Row],[/* Object]],Namespace!A:J,6,FALSE)=0,"",VLOOKUP(Table1[[#This Row],[/* Object]],Namespace!A:J,6,FALSE))</f>
        <v/>
      </c>
      <c r="AI203">
        <f>IFERROR(FIND("/",Table1[[#This Row],[Final Obj Name]],1),0)</f>
        <v>0</v>
      </c>
      <c r="AJ203">
        <f>IF(Table1[[#This Row],[Position 1]]=0,0,FIND("/",Table1[[#This Row],[Final Obj Name]],Table1[[#This Row],[Position 1]]+1))</f>
        <v>0</v>
      </c>
      <c r="AK203" t="str">
        <f>IF(LEFT(Table1[[#This Row],[Final Obj Name]],1)="/",LEFT(Table1[[#This Row],[Final Obj Name]],FIND("/",Table1[[#This Row],[Final Obj Name]],2)),"/0SAP/")</f>
        <v>/0SAP/</v>
      </c>
    </row>
    <row r="204">
      <c r="A204" t="str">
        <v>CLAS</v>
      </c>
      <c r="B204" t="str">
        <v>ZFICO_CON</v>
      </c>
      <c r="C204" t="str">
        <v>CPUB</v>
      </c>
      <c r="D204" t="str">
        <v>ZFICO_CON</v>
      </c>
      <c r="E204" t="str">
        <v>DUMY</v>
      </c>
      <c r="G204" t="str">
        <v>ALL</v>
      </c>
      <c r="K204" t="str">
        <v>E</v>
      </c>
      <c r="L204" t="str">
        <v>HMAISCH</v>
      </c>
      <c r="M204">
        <v>43941</v>
      </c>
      <c r="N204">
        <v>0.79471064814815</v>
      </c>
      <c r="Y204">
        <f>IF(Table1[[#This Row],[OPERATION]]="NOTE","NOTE",Table1[[#This Row],[SUB_TYPE]])</f>
        <v>0</v>
      </c>
      <c r="Z204">
        <f>IF(Table1[[#This Row],[OPERATION]]="NOTE",NUMBERVALUE(LEFT(Table1[[#This Row],[MOD_NAME]],LEN(Table1[[#This Row],[MOD_NAME]])-4)),Table1[[#This Row],[SUB_NAME]])</f>
        <v>0</v>
      </c>
      <c r="AA204" t="str">
        <f>CONCAT(Table1[[#This Row],[Final Obj Type]],"|",Table1[[#This Row],[Final Obj Name]])</f>
        <v>0|0</v>
      </c>
      <c r="AB204" t="e">
        <f>VLOOKUP(Table1[[#This Row],[Final Obj Type]],Classification!B:E,3,FALSE)</f>
        <v>#N/A</v>
      </c>
      <c r="AC204" t="e">
        <f>VLOOKUP(Table1[[#This Row],[Final Obj Type]],Classification!B:E,4,FALSE)</f>
        <v>#N/A</v>
      </c>
      <c r="AD204" t="str">
        <f>IF(Table1[[#This Row],[Position 1]]=0,"/0SAP/",MID(Table1[[#This Row],[Final Obj Name]],Table1[[#This Row],[Position 1]],Table1[[#This Row],[Position 2]]-Table1[[#This Row],[Position 1]]+1))</f>
        <v>/0SAP/</v>
      </c>
      <c r="AE204" t="str">
        <f>VLOOKUP(Table1[[#This Row],[/* Object]],Namespace!A:J,10,FALSE)</f>
        <v>SAP AG</v>
      </c>
      <c r="AF204" t="str">
        <f>IF(VLOOKUP(Table1[[#This Row],[/* Object]],Namespace!A:J,4,FALSE)=0,"",VLOOKUP(Table1[[#This Row],[/* Object]],Namespace!A:J,4,FALSE))</f>
        <v>X</v>
      </c>
      <c r="AG204" t="str">
        <f>IF(VLOOKUP(Table1[[#This Row],[/* Object]],Namespace!A:J,5,FALSE)=0,"",VLOOKUP(Table1[[#This Row],[/* Object]],Namespace!A:J,5,FALSE))</f>
        <v>X</v>
      </c>
      <c r="AH204" t="str">
        <f>IF(VLOOKUP(Table1[[#This Row],[/* Object]],Namespace!A:J,6,FALSE)=0,"",VLOOKUP(Table1[[#This Row],[/* Object]],Namespace!A:J,6,FALSE))</f>
        <v/>
      </c>
      <c r="AI204">
        <f>IFERROR(FIND("/",Table1[[#This Row],[Final Obj Name]],1),0)</f>
        <v>0</v>
      </c>
      <c r="AJ204">
        <f>IF(Table1[[#This Row],[Position 1]]=0,0,FIND("/",Table1[[#This Row],[Final Obj Name]],Table1[[#This Row],[Position 1]]+1))</f>
        <v>0</v>
      </c>
      <c r="AK204" t="str">
        <f>IF(LEFT(Table1[[#This Row],[Final Obj Name]],1)="/",LEFT(Table1[[#This Row],[Final Obj Name]],FIND("/",Table1[[#This Row],[Final Obj Name]],2)),"/0SAP/")</f>
        <v>/0SAP/</v>
      </c>
    </row>
    <row r="205">
      <c r="A205" t="str">
        <v>CLAS</v>
      </c>
      <c r="B205" t="str">
        <v>ZFLS_IDT_PCARD_MATKL</v>
      </c>
      <c r="C205" t="str">
        <v>METH</v>
      </c>
      <c r="D205" t="str">
        <v>ZFLS_IDT_PCARD_MATKL          /IDT/USER_EXIT_INTERFACE~USER_EXIT</v>
      </c>
      <c r="E205" t="str">
        <v>PN</v>
      </c>
      <c r="G205" t="str">
        <v>MOD</v>
      </c>
      <c r="H205" t="str">
        <v>ZFLS_IDT_PCARD_MATKL==========CP</v>
      </c>
      <c r="K205" t="str">
        <v>E</v>
      </c>
      <c r="L205" t="str">
        <v>JVITER</v>
      </c>
      <c r="M205">
        <v>45533</v>
      </c>
      <c r="N205">
        <v>0.80263888888889</v>
      </c>
      <c r="W205" t="str">
        <v>S01K922455</v>
      </c>
      <c r="Y205">
        <f>IF(Table1[[#This Row],[OPERATION]]="NOTE","NOTE",Table1[[#This Row],[SUB_TYPE]])</f>
        <v>0</v>
      </c>
      <c r="Z205">
        <f>IF(Table1[[#This Row],[OPERATION]]="NOTE",NUMBERVALUE(LEFT(Table1[[#This Row],[MOD_NAME]],LEN(Table1[[#This Row],[MOD_NAME]])-4)),Table1[[#This Row],[SUB_NAME]])</f>
        <v>0</v>
      </c>
      <c r="AA205" t="str">
        <f>CONCAT(Table1[[#This Row],[Final Obj Type]],"|",Table1[[#This Row],[Final Obj Name]])</f>
        <v>0|0</v>
      </c>
      <c r="AB205" t="e">
        <f>VLOOKUP(Table1[[#This Row],[Final Obj Type]],Classification!B:E,3,FALSE)</f>
        <v>#N/A</v>
      </c>
      <c r="AC205" t="e">
        <f>VLOOKUP(Table1[[#This Row],[Final Obj Type]],Classification!B:E,4,FALSE)</f>
        <v>#N/A</v>
      </c>
      <c r="AD205" t="str">
        <f>IF(Table1[[#This Row],[Position 1]]=0,"/0SAP/",MID(Table1[[#This Row],[Final Obj Name]],Table1[[#This Row],[Position 1]],Table1[[#This Row],[Position 2]]-Table1[[#This Row],[Position 1]]+1))</f>
        <v>/0SAP/</v>
      </c>
      <c r="AE205" t="str">
        <f>VLOOKUP(Table1[[#This Row],[/* Object]],Namespace!A:J,10,FALSE)</f>
        <v>SAP AG</v>
      </c>
      <c r="AF205" t="str">
        <f>IF(VLOOKUP(Table1[[#This Row],[/* Object]],Namespace!A:J,4,FALSE)=0,"",VLOOKUP(Table1[[#This Row],[/* Object]],Namespace!A:J,4,FALSE))</f>
        <v>X</v>
      </c>
      <c r="AG205" t="str">
        <f>IF(VLOOKUP(Table1[[#This Row],[/* Object]],Namespace!A:J,5,FALSE)=0,"",VLOOKUP(Table1[[#This Row],[/* Object]],Namespace!A:J,5,FALSE))</f>
        <v>X</v>
      </c>
      <c r="AH205" t="str">
        <f>IF(VLOOKUP(Table1[[#This Row],[/* Object]],Namespace!A:J,6,FALSE)=0,"",VLOOKUP(Table1[[#This Row],[/* Object]],Namespace!A:J,6,FALSE))</f>
        <v/>
      </c>
      <c r="AI205">
        <f>IFERROR(FIND("/",Table1[[#This Row],[Final Obj Name]],1),0)</f>
        <v>0</v>
      </c>
      <c r="AJ205">
        <f>IF(Table1[[#This Row],[Position 1]]=0,0,FIND("/",Table1[[#This Row],[Final Obj Name]],Table1[[#This Row],[Position 1]]+1))</f>
        <v>0</v>
      </c>
      <c r="AK205" t="str">
        <f>IF(LEFT(Table1[[#This Row],[Final Obj Name]],1)="/",LEFT(Table1[[#This Row],[Final Obj Name]],FIND("/",Table1[[#This Row],[Final Obj Name]],2)),"/0SAP/")</f>
        <v>/0SAP/</v>
      </c>
    </row>
    <row r="206">
      <c r="A206" t="str">
        <v>CLAS</v>
      </c>
      <c r="B206" t="str">
        <v>ZIDT_TAX_DATA_PROC</v>
      </c>
      <c r="C206" t="str">
        <v>METH</v>
      </c>
      <c r="D206" t="str">
        <v>ZIDT_TAX_DATA_PROC            CALCULATE_TAXES</v>
      </c>
      <c r="G206" t="str">
        <v>ALL</v>
      </c>
      <c r="L206" t="str">
        <v>JVITER</v>
      </c>
      <c r="M206">
        <v>44871</v>
      </c>
      <c r="N206">
        <v>0.86896990740741</v>
      </c>
      <c r="P206" t="str">
        <v>R</v>
      </c>
      <c r="S206" t="str">
        <v>X</v>
      </c>
      <c r="W206" t="str">
        <v>S01K914916</v>
      </c>
      <c r="Y206">
        <f>IF(Table1[[#This Row],[OPERATION]]="NOTE","NOTE",Table1[[#This Row],[SUB_TYPE]])</f>
        <v>0</v>
      </c>
      <c r="Z206">
        <f>IF(Table1[[#This Row],[OPERATION]]="NOTE",NUMBERVALUE(LEFT(Table1[[#This Row],[MOD_NAME]],LEN(Table1[[#This Row],[MOD_NAME]])-4)),Table1[[#This Row],[SUB_NAME]])</f>
        <v>0</v>
      </c>
      <c r="AA206" t="str">
        <f>CONCAT(Table1[[#This Row],[Final Obj Type]],"|",Table1[[#This Row],[Final Obj Name]])</f>
        <v>0|0</v>
      </c>
      <c r="AB206" t="e">
        <f>VLOOKUP(Table1[[#This Row],[Final Obj Type]],Classification!B:E,3,FALSE)</f>
        <v>#N/A</v>
      </c>
      <c r="AC206" t="e">
        <f>VLOOKUP(Table1[[#This Row],[Final Obj Type]],Classification!B:E,4,FALSE)</f>
        <v>#N/A</v>
      </c>
      <c r="AD206" t="str">
        <f>IF(Table1[[#This Row],[Position 1]]=0,"/0SAP/",MID(Table1[[#This Row],[Final Obj Name]],Table1[[#This Row],[Position 1]],Table1[[#This Row],[Position 2]]-Table1[[#This Row],[Position 1]]+1))</f>
        <v>/0SAP/</v>
      </c>
      <c r="AE206" t="str">
        <f>VLOOKUP(Table1[[#This Row],[/* Object]],Namespace!A:J,10,FALSE)</f>
        <v>SAP AG</v>
      </c>
      <c r="AF206" t="str">
        <f>IF(VLOOKUP(Table1[[#This Row],[/* Object]],Namespace!A:J,4,FALSE)=0,"",VLOOKUP(Table1[[#This Row],[/* Object]],Namespace!A:J,4,FALSE))</f>
        <v>X</v>
      </c>
      <c r="AG206" t="str">
        <f>IF(VLOOKUP(Table1[[#This Row],[/* Object]],Namespace!A:J,5,FALSE)=0,"",VLOOKUP(Table1[[#This Row],[/* Object]],Namespace!A:J,5,FALSE))</f>
        <v>X</v>
      </c>
      <c r="AH206" t="str">
        <f>IF(VLOOKUP(Table1[[#This Row],[/* Object]],Namespace!A:J,6,FALSE)=0,"",VLOOKUP(Table1[[#This Row],[/* Object]],Namespace!A:J,6,FALSE))</f>
        <v/>
      </c>
      <c r="AI206">
        <f>IFERROR(FIND("/",Table1[[#This Row],[Final Obj Name]],1),0)</f>
        <v>0</v>
      </c>
      <c r="AJ206">
        <f>IF(Table1[[#This Row],[Position 1]]=0,0,FIND("/",Table1[[#This Row],[Final Obj Name]],Table1[[#This Row],[Position 1]]+1))</f>
        <v>0</v>
      </c>
      <c r="AK206" t="str">
        <f>IF(LEFT(Table1[[#This Row],[Final Obj Name]],1)="/",LEFT(Table1[[#This Row],[Final Obj Name]],FIND("/",Table1[[#This Row],[Final Obj Name]],2)),"/0SAP/")</f>
        <v>/0SAP/</v>
      </c>
    </row>
    <row r="207">
      <c r="A207" t="str">
        <v>CLAS</v>
      </c>
      <c r="B207" t="str">
        <v>ZOPT_CL_D_LM_DETERM_PAY_TERM</v>
      </c>
      <c r="C207" t="str">
        <v>METH</v>
      </c>
      <c r="D207" t="str">
        <v>ZOPT_CL_D_LM_DETERM_PAY_TERM  /OPT/IF_D_BP_MODULE~PROCESSING</v>
      </c>
      <c r="G207" t="str">
        <v>ALL</v>
      </c>
      <c r="L207">
        <v>50095444</v>
      </c>
      <c r="M207">
        <v>44386</v>
      </c>
      <c r="N207">
        <v>0.58697916666667</v>
      </c>
      <c r="P207" t="str">
        <v>R</v>
      </c>
      <c r="S207" t="str">
        <v>X</v>
      </c>
      <c r="W207" t="str">
        <v>S01K912477</v>
      </c>
      <c r="Y207">
        <f>IF(Table1[[#This Row],[OPERATION]]="NOTE","NOTE",Table1[[#This Row],[SUB_TYPE]])</f>
        <v>0</v>
      </c>
      <c r="Z207">
        <f>IF(Table1[[#This Row],[OPERATION]]="NOTE",NUMBERVALUE(LEFT(Table1[[#This Row],[MOD_NAME]],LEN(Table1[[#This Row],[MOD_NAME]])-4)),Table1[[#This Row],[SUB_NAME]])</f>
        <v>0</v>
      </c>
      <c r="AA207" t="str">
        <f>CONCAT(Table1[[#This Row],[Final Obj Type]],"|",Table1[[#This Row],[Final Obj Name]])</f>
        <v>0|0</v>
      </c>
      <c r="AB207" t="e">
        <f>VLOOKUP(Table1[[#This Row],[Final Obj Type]],Classification!B:E,3,FALSE)</f>
        <v>#N/A</v>
      </c>
      <c r="AC207" t="e">
        <f>VLOOKUP(Table1[[#This Row],[Final Obj Type]],Classification!B:E,4,FALSE)</f>
        <v>#N/A</v>
      </c>
      <c r="AD207" t="str">
        <f>IF(Table1[[#This Row],[Position 1]]=0,"/0SAP/",MID(Table1[[#This Row],[Final Obj Name]],Table1[[#This Row],[Position 1]],Table1[[#This Row],[Position 2]]-Table1[[#This Row],[Position 1]]+1))</f>
        <v>/0SAP/</v>
      </c>
      <c r="AE207" t="str">
        <f>VLOOKUP(Table1[[#This Row],[/* Object]],Namespace!A:J,10,FALSE)</f>
        <v>SAP AG</v>
      </c>
      <c r="AF207" t="str">
        <f>IF(VLOOKUP(Table1[[#This Row],[/* Object]],Namespace!A:J,4,FALSE)=0,"",VLOOKUP(Table1[[#This Row],[/* Object]],Namespace!A:J,4,FALSE))</f>
        <v>X</v>
      </c>
      <c r="AG207" t="str">
        <f>IF(VLOOKUP(Table1[[#This Row],[/* Object]],Namespace!A:J,5,FALSE)=0,"",VLOOKUP(Table1[[#This Row],[/* Object]],Namespace!A:J,5,FALSE))</f>
        <v>X</v>
      </c>
      <c r="AH207" t="str">
        <f>IF(VLOOKUP(Table1[[#This Row],[/* Object]],Namespace!A:J,6,FALSE)=0,"",VLOOKUP(Table1[[#This Row],[/* Object]],Namespace!A:J,6,FALSE))</f>
        <v/>
      </c>
      <c r="AI207">
        <f>IFERROR(FIND("/",Table1[[#This Row],[Final Obj Name]],1),0)</f>
        <v>0</v>
      </c>
      <c r="AJ207">
        <f>IF(Table1[[#This Row],[Position 1]]=0,0,FIND("/",Table1[[#This Row],[Final Obj Name]],Table1[[#This Row],[Position 1]]+1))</f>
        <v>0</v>
      </c>
      <c r="AK207" t="str">
        <f>IF(LEFT(Table1[[#This Row],[Final Obj Name]],1)="/",LEFT(Table1[[#This Row],[Final Obj Name]],FIND("/",Table1[[#This Row],[Final Obj Name]],2)),"/0SAP/")</f>
        <v>/0SAP/</v>
      </c>
    </row>
    <row r="208">
      <c r="A208" t="str">
        <v>CLAS</v>
      </c>
      <c r="B208" t="str">
        <v>ZOPT_CL_IAP_USERMAP_BL1</v>
      </c>
      <c r="C208" t="str">
        <v>CPRO</v>
      </c>
      <c r="D208" t="str">
        <v>ZOPT_CL_IAP_USERMAP_BL1</v>
      </c>
      <c r="E208" t="str">
        <v>DUMY</v>
      </c>
      <c r="G208" t="str">
        <v>ALL</v>
      </c>
      <c r="K208" t="str">
        <v>E</v>
      </c>
      <c r="L208" t="str">
        <v>CST_DDIENES</v>
      </c>
      <c r="M208">
        <v>43993</v>
      </c>
      <c r="N208">
        <v>0.38453703703704</v>
      </c>
      <c r="W208" t="str">
        <v>SP1K911787</v>
      </c>
      <c r="Y208">
        <f>IF(Table1[[#This Row],[OPERATION]]="NOTE","NOTE",Table1[[#This Row],[SUB_TYPE]])</f>
        <v>0</v>
      </c>
      <c r="Z208">
        <f>IF(Table1[[#This Row],[OPERATION]]="NOTE",NUMBERVALUE(LEFT(Table1[[#This Row],[MOD_NAME]],LEN(Table1[[#This Row],[MOD_NAME]])-4)),Table1[[#This Row],[SUB_NAME]])</f>
        <v>0</v>
      </c>
      <c r="AA208" t="str">
        <f>CONCAT(Table1[[#This Row],[Final Obj Type]],"|",Table1[[#This Row],[Final Obj Name]])</f>
        <v>0|0</v>
      </c>
      <c r="AB208" t="e">
        <f>VLOOKUP(Table1[[#This Row],[Final Obj Type]],Classification!B:E,3,FALSE)</f>
        <v>#N/A</v>
      </c>
      <c r="AC208" t="e">
        <f>VLOOKUP(Table1[[#This Row],[Final Obj Type]],Classification!B:E,4,FALSE)</f>
        <v>#N/A</v>
      </c>
      <c r="AD208" t="str">
        <f>IF(Table1[[#This Row],[Position 1]]=0,"/0SAP/",MID(Table1[[#This Row],[Final Obj Name]],Table1[[#This Row],[Position 1]],Table1[[#This Row],[Position 2]]-Table1[[#This Row],[Position 1]]+1))</f>
        <v>/0SAP/</v>
      </c>
      <c r="AE208" t="str">
        <f>VLOOKUP(Table1[[#This Row],[/* Object]],Namespace!A:J,10,FALSE)</f>
        <v>SAP AG</v>
      </c>
      <c r="AF208" t="str">
        <f>IF(VLOOKUP(Table1[[#This Row],[/* Object]],Namespace!A:J,4,FALSE)=0,"",VLOOKUP(Table1[[#This Row],[/* Object]],Namespace!A:J,4,FALSE))</f>
        <v>X</v>
      </c>
      <c r="AG208" t="str">
        <f>IF(VLOOKUP(Table1[[#This Row],[/* Object]],Namespace!A:J,5,FALSE)=0,"",VLOOKUP(Table1[[#This Row],[/* Object]],Namespace!A:J,5,FALSE))</f>
        <v>X</v>
      </c>
      <c r="AH208" t="str">
        <f>IF(VLOOKUP(Table1[[#This Row],[/* Object]],Namespace!A:J,6,FALSE)=0,"",VLOOKUP(Table1[[#This Row],[/* Object]],Namespace!A:J,6,FALSE))</f>
        <v/>
      </c>
      <c r="AI208">
        <f>IFERROR(FIND("/",Table1[[#This Row],[Final Obj Name]],1),0)</f>
        <v>0</v>
      </c>
      <c r="AJ208">
        <f>IF(Table1[[#This Row],[Position 1]]=0,0,FIND("/",Table1[[#This Row],[Final Obj Name]],Table1[[#This Row],[Position 1]]+1))</f>
        <v>0</v>
      </c>
      <c r="AK208" t="str">
        <f>IF(LEFT(Table1[[#This Row],[Final Obj Name]],1)="/",LEFT(Table1[[#This Row],[Final Obj Name]],FIND("/",Table1[[#This Row],[Final Obj Name]],2)),"/0SAP/")</f>
        <v>/0SAP/</v>
      </c>
    </row>
    <row r="209">
      <c r="A209" t="str">
        <v>CLAS</v>
      </c>
      <c r="B209" t="str">
        <v>ZOPT_CL_IAP_USERMAP_BL1</v>
      </c>
      <c r="C209" t="str">
        <v>CPUB</v>
      </c>
      <c r="D209" t="str">
        <v>ZOPT_CL_IAP_USERMAP_BL1</v>
      </c>
      <c r="E209" t="str">
        <v>DUMY</v>
      </c>
      <c r="G209" t="str">
        <v>ALL</v>
      </c>
      <c r="K209" t="str">
        <v>E</v>
      </c>
      <c r="L209" t="str">
        <v>CST_DDIENES</v>
      </c>
      <c r="M209">
        <v>43993</v>
      </c>
      <c r="N209">
        <v>0.38453703703704</v>
      </c>
      <c r="W209" t="str">
        <v>SP1K911787</v>
      </c>
      <c r="Y209">
        <f>IF(Table1[[#This Row],[OPERATION]]="NOTE","NOTE",Table1[[#This Row],[SUB_TYPE]])</f>
        <v>0</v>
      </c>
      <c r="Z209">
        <f>IF(Table1[[#This Row],[OPERATION]]="NOTE",NUMBERVALUE(LEFT(Table1[[#This Row],[MOD_NAME]],LEN(Table1[[#This Row],[MOD_NAME]])-4)),Table1[[#This Row],[SUB_NAME]])</f>
        <v>0</v>
      </c>
      <c r="AA209" t="str">
        <f>CONCAT(Table1[[#This Row],[Final Obj Type]],"|",Table1[[#This Row],[Final Obj Name]])</f>
        <v>0|0</v>
      </c>
      <c r="AB209" t="e">
        <f>VLOOKUP(Table1[[#This Row],[Final Obj Type]],Classification!B:E,3,FALSE)</f>
        <v>#N/A</v>
      </c>
      <c r="AC209" t="e">
        <f>VLOOKUP(Table1[[#This Row],[Final Obj Type]],Classification!B:E,4,FALSE)</f>
        <v>#N/A</v>
      </c>
      <c r="AD209" t="str">
        <f>IF(Table1[[#This Row],[Position 1]]=0,"/0SAP/",MID(Table1[[#This Row],[Final Obj Name]],Table1[[#This Row],[Position 1]],Table1[[#This Row],[Position 2]]-Table1[[#This Row],[Position 1]]+1))</f>
        <v>/0SAP/</v>
      </c>
      <c r="AE209" t="str">
        <f>VLOOKUP(Table1[[#This Row],[/* Object]],Namespace!A:J,10,FALSE)</f>
        <v>SAP AG</v>
      </c>
      <c r="AF209" t="str">
        <f>IF(VLOOKUP(Table1[[#This Row],[/* Object]],Namespace!A:J,4,FALSE)=0,"",VLOOKUP(Table1[[#This Row],[/* Object]],Namespace!A:J,4,FALSE))</f>
        <v>X</v>
      </c>
      <c r="AG209" t="str">
        <f>IF(VLOOKUP(Table1[[#This Row],[/* Object]],Namespace!A:J,5,FALSE)=0,"",VLOOKUP(Table1[[#This Row],[/* Object]],Namespace!A:J,5,FALSE))</f>
        <v>X</v>
      </c>
      <c r="AH209" t="str">
        <f>IF(VLOOKUP(Table1[[#This Row],[/* Object]],Namespace!A:J,6,FALSE)=0,"",VLOOKUP(Table1[[#This Row],[/* Object]],Namespace!A:J,6,FALSE))</f>
        <v/>
      </c>
      <c r="AI209">
        <f>IFERROR(FIND("/",Table1[[#This Row],[Final Obj Name]],1),0)</f>
        <v>0</v>
      </c>
      <c r="AJ209">
        <f>IF(Table1[[#This Row],[Position 1]]=0,0,FIND("/",Table1[[#This Row],[Final Obj Name]],Table1[[#This Row],[Position 1]]+1))</f>
        <v>0</v>
      </c>
      <c r="AK209" t="str">
        <f>IF(LEFT(Table1[[#This Row],[Final Obj Name]],1)="/",LEFT(Table1[[#This Row],[Final Obj Name]],FIND("/",Table1[[#This Row],[Final Obj Name]],2)),"/0SAP/")</f>
        <v>/0SAP/</v>
      </c>
    </row>
    <row r="210">
      <c r="A210" t="str">
        <v>CLAS</v>
      </c>
      <c r="B210" t="str">
        <v>ZOPT_CL_IAP_USERMAP_BL1</v>
      </c>
      <c r="C210" t="str">
        <v>METH</v>
      </c>
      <c r="D210" t="str">
        <v>ZOPT_CL_IAP_USERMAP_BL1       LBA_CHECK_LINE_FOR_APPROVER</v>
      </c>
      <c r="E210" t="str">
        <v>PN</v>
      </c>
      <c r="G210" t="str">
        <v>MOD</v>
      </c>
      <c r="H210" t="str">
        <v>ZOPT_CL_IAP_USERMAP_BL1=======CP</v>
      </c>
      <c r="K210" t="str">
        <v>E</v>
      </c>
      <c r="L210" t="str">
        <v>CST_DDIENES</v>
      </c>
      <c r="M210">
        <v>44022</v>
      </c>
      <c r="N210">
        <v>0.35799768518519</v>
      </c>
      <c r="W210" t="str">
        <v>SP1K913317</v>
      </c>
      <c r="Y210">
        <f>IF(Table1[[#This Row],[OPERATION]]="NOTE","NOTE",Table1[[#This Row],[SUB_TYPE]])</f>
        <v>0</v>
      </c>
      <c r="Z210">
        <f>IF(Table1[[#This Row],[OPERATION]]="NOTE",NUMBERVALUE(LEFT(Table1[[#This Row],[MOD_NAME]],LEN(Table1[[#This Row],[MOD_NAME]])-4)),Table1[[#This Row],[SUB_NAME]])</f>
        <v>0</v>
      </c>
      <c r="AA210" t="str">
        <f>CONCAT(Table1[[#This Row],[Final Obj Type]],"|",Table1[[#This Row],[Final Obj Name]])</f>
        <v>0|0</v>
      </c>
      <c r="AB210" t="e">
        <f>VLOOKUP(Table1[[#This Row],[Final Obj Type]],Classification!B:E,3,FALSE)</f>
        <v>#N/A</v>
      </c>
      <c r="AC210" t="e">
        <f>VLOOKUP(Table1[[#This Row],[Final Obj Type]],Classification!B:E,4,FALSE)</f>
        <v>#N/A</v>
      </c>
      <c r="AD210" t="str">
        <f>IF(Table1[[#This Row],[Position 1]]=0,"/0SAP/",MID(Table1[[#This Row],[Final Obj Name]],Table1[[#This Row],[Position 1]],Table1[[#This Row],[Position 2]]-Table1[[#This Row],[Position 1]]+1))</f>
        <v>/0SAP/</v>
      </c>
      <c r="AE210" t="str">
        <f>VLOOKUP(Table1[[#This Row],[/* Object]],Namespace!A:J,10,FALSE)</f>
        <v>SAP AG</v>
      </c>
      <c r="AF210" t="str">
        <f>IF(VLOOKUP(Table1[[#This Row],[/* Object]],Namespace!A:J,4,FALSE)=0,"",VLOOKUP(Table1[[#This Row],[/* Object]],Namespace!A:J,4,FALSE))</f>
        <v>X</v>
      </c>
      <c r="AG210" t="str">
        <f>IF(VLOOKUP(Table1[[#This Row],[/* Object]],Namespace!A:J,5,FALSE)=0,"",VLOOKUP(Table1[[#This Row],[/* Object]],Namespace!A:J,5,FALSE))</f>
        <v>X</v>
      </c>
      <c r="AH210" t="str">
        <f>IF(VLOOKUP(Table1[[#This Row],[/* Object]],Namespace!A:J,6,FALSE)=0,"",VLOOKUP(Table1[[#This Row],[/* Object]],Namespace!A:J,6,FALSE))</f>
        <v/>
      </c>
      <c r="AI210">
        <f>IFERROR(FIND("/",Table1[[#This Row],[Final Obj Name]],1),0)</f>
        <v>0</v>
      </c>
      <c r="AJ210">
        <f>IF(Table1[[#This Row],[Position 1]]=0,0,FIND("/",Table1[[#This Row],[Final Obj Name]],Table1[[#This Row],[Position 1]]+1))</f>
        <v>0</v>
      </c>
      <c r="AK210" t="str">
        <f>IF(LEFT(Table1[[#This Row],[Final Obj Name]],1)="/",LEFT(Table1[[#This Row],[Final Obj Name]],FIND("/",Table1[[#This Row],[Final Obj Name]],2)),"/0SAP/")</f>
        <v>/0SAP/</v>
      </c>
    </row>
    <row r="211">
      <c r="A211" t="str">
        <v>CLAS</v>
      </c>
      <c r="B211" t="str">
        <v>ZOPT_CL_IAP_USERMAP_BL1</v>
      </c>
      <c r="C211" t="str">
        <v>METH</v>
      </c>
      <c r="D211" t="str">
        <v>ZOPT_CL_IAP_USERMAP_BL1       LBA_GET_APPROVER_LIST_HEADER</v>
      </c>
      <c r="E211" t="str">
        <v>DUMY</v>
      </c>
      <c r="G211" t="str">
        <v>ALL</v>
      </c>
      <c r="L211" t="str">
        <v>CST_DDIENES</v>
      </c>
      <c r="M211">
        <v>43993</v>
      </c>
      <c r="N211">
        <v>0.38453703703704</v>
      </c>
      <c r="W211" t="str">
        <v>SP1K911787</v>
      </c>
      <c r="Y211">
        <f>IF(Table1[[#This Row],[OPERATION]]="NOTE","NOTE",Table1[[#This Row],[SUB_TYPE]])</f>
        <v>0</v>
      </c>
      <c r="Z211">
        <f>IF(Table1[[#This Row],[OPERATION]]="NOTE",NUMBERVALUE(LEFT(Table1[[#This Row],[MOD_NAME]],LEN(Table1[[#This Row],[MOD_NAME]])-4)),Table1[[#This Row],[SUB_NAME]])</f>
        <v>0</v>
      </c>
      <c r="AA211" t="str">
        <f>CONCAT(Table1[[#This Row],[Final Obj Type]],"|",Table1[[#This Row],[Final Obj Name]])</f>
        <v>0|0</v>
      </c>
      <c r="AB211" t="e">
        <f>VLOOKUP(Table1[[#This Row],[Final Obj Type]],Classification!B:E,3,FALSE)</f>
        <v>#N/A</v>
      </c>
      <c r="AC211" t="e">
        <f>VLOOKUP(Table1[[#This Row],[Final Obj Type]],Classification!B:E,4,FALSE)</f>
        <v>#N/A</v>
      </c>
      <c r="AD211" t="str">
        <f>IF(Table1[[#This Row],[Position 1]]=0,"/0SAP/",MID(Table1[[#This Row],[Final Obj Name]],Table1[[#This Row],[Position 1]],Table1[[#This Row],[Position 2]]-Table1[[#This Row],[Position 1]]+1))</f>
        <v>/0SAP/</v>
      </c>
      <c r="AE211" t="str">
        <f>VLOOKUP(Table1[[#This Row],[/* Object]],Namespace!A:J,10,FALSE)</f>
        <v>SAP AG</v>
      </c>
      <c r="AF211" t="str">
        <f>IF(VLOOKUP(Table1[[#This Row],[/* Object]],Namespace!A:J,4,FALSE)=0,"",VLOOKUP(Table1[[#This Row],[/* Object]],Namespace!A:J,4,FALSE))</f>
        <v>X</v>
      </c>
      <c r="AG211" t="str">
        <f>IF(VLOOKUP(Table1[[#This Row],[/* Object]],Namespace!A:J,5,FALSE)=0,"",VLOOKUP(Table1[[#This Row],[/* Object]],Namespace!A:J,5,FALSE))</f>
        <v>X</v>
      </c>
      <c r="AH211" t="str">
        <f>IF(VLOOKUP(Table1[[#This Row],[/* Object]],Namespace!A:J,6,FALSE)=0,"",VLOOKUP(Table1[[#This Row],[/* Object]],Namespace!A:J,6,FALSE))</f>
        <v/>
      </c>
      <c r="AI211">
        <f>IFERROR(FIND("/",Table1[[#This Row],[Final Obj Name]],1),0)</f>
        <v>0</v>
      </c>
      <c r="AJ211">
        <f>IF(Table1[[#This Row],[Position 1]]=0,0,FIND("/",Table1[[#This Row],[Final Obj Name]],Table1[[#This Row],[Position 1]]+1))</f>
        <v>0</v>
      </c>
      <c r="AK211" t="str">
        <f>IF(LEFT(Table1[[#This Row],[Final Obj Name]],1)="/",LEFT(Table1[[#This Row],[Final Obj Name]],FIND("/",Table1[[#This Row],[Final Obj Name]],2)),"/0SAP/")</f>
        <v>/0SAP/</v>
      </c>
    </row>
    <row r="212">
      <c r="A212" t="str">
        <v>CLAS</v>
      </c>
      <c r="B212" t="str">
        <v>ZOPT_CL_IAP_USERMAP_BL1</v>
      </c>
      <c r="C212" t="str">
        <v>METH</v>
      </c>
      <c r="D212" t="str">
        <v>ZOPT_CL_IAP_USERMAP_BL1       Z_LBA_GET_INVOICE_DATA</v>
      </c>
      <c r="E212" t="str">
        <v>DUMY</v>
      </c>
      <c r="G212" t="str">
        <v>ALL</v>
      </c>
      <c r="L212" t="str">
        <v>CST_DDIENES</v>
      </c>
      <c r="M212">
        <v>44389</v>
      </c>
      <c r="N212">
        <v>0.46837962962963</v>
      </c>
      <c r="W212" t="str">
        <v>SP1K922146</v>
      </c>
      <c r="Y212">
        <f>IF(Table1[[#This Row],[OPERATION]]="NOTE","NOTE",Table1[[#This Row],[SUB_TYPE]])</f>
        <v>0</v>
      </c>
      <c r="Z212">
        <f>IF(Table1[[#This Row],[OPERATION]]="NOTE",NUMBERVALUE(LEFT(Table1[[#This Row],[MOD_NAME]],LEN(Table1[[#This Row],[MOD_NAME]])-4)),Table1[[#This Row],[SUB_NAME]])</f>
        <v>0</v>
      </c>
      <c r="AA212" t="str">
        <f>CONCAT(Table1[[#This Row],[Final Obj Type]],"|",Table1[[#This Row],[Final Obj Name]])</f>
        <v>0|0</v>
      </c>
      <c r="AB212" t="e">
        <f>VLOOKUP(Table1[[#This Row],[Final Obj Type]],Classification!B:E,3,FALSE)</f>
        <v>#N/A</v>
      </c>
      <c r="AC212" t="e">
        <f>VLOOKUP(Table1[[#This Row],[Final Obj Type]],Classification!B:E,4,FALSE)</f>
        <v>#N/A</v>
      </c>
      <c r="AD212" t="str">
        <f>IF(Table1[[#This Row],[Position 1]]=0,"/0SAP/",MID(Table1[[#This Row],[Final Obj Name]],Table1[[#This Row],[Position 1]],Table1[[#This Row],[Position 2]]-Table1[[#This Row],[Position 1]]+1))</f>
        <v>/0SAP/</v>
      </c>
      <c r="AE212" t="str">
        <f>VLOOKUP(Table1[[#This Row],[/* Object]],Namespace!A:J,10,FALSE)</f>
        <v>SAP AG</v>
      </c>
      <c r="AF212" t="str">
        <f>IF(VLOOKUP(Table1[[#This Row],[/* Object]],Namespace!A:J,4,FALSE)=0,"",VLOOKUP(Table1[[#This Row],[/* Object]],Namespace!A:J,4,FALSE))</f>
        <v>X</v>
      </c>
      <c r="AG212" t="str">
        <f>IF(VLOOKUP(Table1[[#This Row],[/* Object]],Namespace!A:J,5,FALSE)=0,"",VLOOKUP(Table1[[#This Row],[/* Object]],Namespace!A:J,5,FALSE))</f>
        <v>X</v>
      </c>
      <c r="AH212" t="str">
        <f>IF(VLOOKUP(Table1[[#This Row],[/* Object]],Namespace!A:J,6,FALSE)=0,"",VLOOKUP(Table1[[#This Row],[/* Object]],Namespace!A:J,6,FALSE))</f>
        <v/>
      </c>
      <c r="AI212">
        <f>IFERROR(FIND("/",Table1[[#This Row],[Final Obj Name]],1),0)</f>
        <v>0</v>
      </c>
      <c r="AJ212">
        <f>IF(Table1[[#This Row],[Position 1]]=0,0,FIND("/",Table1[[#This Row],[Final Obj Name]],Table1[[#This Row],[Position 1]]+1))</f>
        <v>0</v>
      </c>
      <c r="AK212" t="str">
        <f>IF(LEFT(Table1[[#This Row],[Final Obj Name]],1)="/",LEFT(Table1[[#This Row],[Final Obj Name]],FIND("/",Table1[[#This Row],[Final Obj Name]],2)),"/0SAP/")</f>
        <v>/0SAP/</v>
      </c>
    </row>
    <row r="213">
      <c r="A213" t="str">
        <v>CMOD</v>
      </c>
      <c r="B213" t="str">
        <v>ZFLS_EXT</v>
      </c>
      <c r="C213" t="str">
        <v>CMOD</v>
      </c>
      <c r="D213" t="str">
        <v>ZFLS_EXT</v>
      </c>
      <c r="G213" t="str">
        <v>ALL</v>
      </c>
      <c r="L213" t="str">
        <v>CST_SURBHI</v>
      </c>
      <c r="M213">
        <v>43839</v>
      </c>
      <c r="N213">
        <v>0.56284722222222</v>
      </c>
      <c r="S213" t="str">
        <v>X</v>
      </c>
      <c r="W213" t="str">
        <v>SP1K905527</v>
      </c>
      <c r="Y213">
        <f>IF(Table1[[#This Row],[OPERATION]]="NOTE","NOTE",Table1[[#This Row],[SUB_TYPE]])</f>
        <v>0</v>
      </c>
      <c r="Z213">
        <f>IF(Table1[[#This Row],[OPERATION]]="NOTE",NUMBERVALUE(LEFT(Table1[[#This Row],[MOD_NAME]],LEN(Table1[[#This Row],[MOD_NAME]])-4)),Table1[[#This Row],[SUB_NAME]])</f>
        <v>0</v>
      </c>
      <c r="AA213" t="str">
        <f>CONCAT(Table1[[#This Row],[Final Obj Type]],"|",Table1[[#This Row],[Final Obj Name]])</f>
        <v>0|0</v>
      </c>
      <c r="AB213" t="e">
        <f>VLOOKUP(Table1[[#This Row],[Final Obj Type]],Classification!B:E,3,FALSE)</f>
        <v>#N/A</v>
      </c>
      <c r="AC213" t="e">
        <f>VLOOKUP(Table1[[#This Row],[Final Obj Type]],Classification!B:E,4,FALSE)</f>
        <v>#N/A</v>
      </c>
      <c r="AD213" t="str">
        <f>IF(Table1[[#This Row],[Position 1]]=0,"/0SAP/",MID(Table1[[#This Row],[Final Obj Name]],Table1[[#This Row],[Position 1]],Table1[[#This Row],[Position 2]]-Table1[[#This Row],[Position 1]]+1))</f>
        <v>/0SAP/</v>
      </c>
      <c r="AE213" t="str">
        <f>VLOOKUP(Table1[[#This Row],[/* Object]],Namespace!A:J,10,FALSE)</f>
        <v>SAP AG</v>
      </c>
      <c r="AF213" t="str">
        <f>IF(VLOOKUP(Table1[[#This Row],[/* Object]],Namespace!A:J,4,FALSE)=0,"",VLOOKUP(Table1[[#This Row],[/* Object]],Namespace!A:J,4,FALSE))</f>
        <v>X</v>
      </c>
      <c r="AG213" t="str">
        <f>IF(VLOOKUP(Table1[[#This Row],[/* Object]],Namespace!A:J,5,FALSE)=0,"",VLOOKUP(Table1[[#This Row],[/* Object]],Namespace!A:J,5,FALSE))</f>
        <v>X</v>
      </c>
      <c r="AH213" t="str">
        <f>IF(VLOOKUP(Table1[[#This Row],[/* Object]],Namespace!A:J,6,FALSE)=0,"",VLOOKUP(Table1[[#This Row],[/* Object]],Namespace!A:J,6,FALSE))</f>
        <v/>
      </c>
      <c r="AI213">
        <f>IFERROR(FIND("/",Table1[[#This Row],[Final Obj Name]],1),0)</f>
        <v>0</v>
      </c>
      <c r="AJ213">
        <f>IF(Table1[[#This Row],[Position 1]]=0,0,FIND("/",Table1[[#This Row],[Final Obj Name]],Table1[[#This Row],[Position 1]]+1))</f>
        <v>0</v>
      </c>
      <c r="AK213" t="str">
        <f>IF(LEFT(Table1[[#This Row],[Final Obj Name]],1)="/",LEFT(Table1[[#This Row],[Final Obj Name]],FIND("/",Table1[[#This Row],[Final Obj Name]],2)),"/0SAP/")</f>
        <v>/0SAP/</v>
      </c>
    </row>
    <row r="214">
      <c r="A214" t="str">
        <v>DDLS</v>
      </c>
      <c r="B214" t="str">
        <v>ZCDS_ACCRUALS_SRV_ORD_REPORT</v>
      </c>
      <c r="C214" t="str">
        <v>DDLS</v>
      </c>
      <c r="D214" t="str">
        <v>ZCDS_ACCRUALS_SRV_ORD_REPORT</v>
      </c>
      <c r="G214" t="str">
        <v>ALL</v>
      </c>
      <c r="L214" t="str">
        <v>DDIC_SPDD</v>
      </c>
      <c r="M214">
        <v>45337</v>
      </c>
      <c r="N214">
        <v>0.35398148148148</v>
      </c>
      <c r="S214" t="str">
        <v>X</v>
      </c>
      <c r="W214" t="str">
        <v>P01K900067</v>
      </c>
      <c r="Y214">
        <f>IF(Table1[[#This Row],[OPERATION]]="NOTE","NOTE",Table1[[#This Row],[SUB_TYPE]])</f>
        <v>0</v>
      </c>
      <c r="Z214">
        <f>IF(Table1[[#This Row],[OPERATION]]="NOTE",NUMBERVALUE(LEFT(Table1[[#This Row],[MOD_NAME]],LEN(Table1[[#This Row],[MOD_NAME]])-4)),Table1[[#This Row],[SUB_NAME]])</f>
        <v>0</v>
      </c>
      <c r="AA214" t="str">
        <f>CONCAT(Table1[[#This Row],[Final Obj Type]],"|",Table1[[#This Row],[Final Obj Name]])</f>
        <v>0|0</v>
      </c>
      <c r="AB214" t="e">
        <f>VLOOKUP(Table1[[#This Row],[Final Obj Type]],Classification!B:E,3,FALSE)</f>
        <v>#N/A</v>
      </c>
      <c r="AC214" t="e">
        <f>VLOOKUP(Table1[[#This Row],[Final Obj Type]],Classification!B:E,4,FALSE)</f>
        <v>#N/A</v>
      </c>
      <c r="AD214" t="str">
        <f>IF(Table1[[#This Row],[Position 1]]=0,"/0SAP/",MID(Table1[[#This Row],[Final Obj Name]],Table1[[#This Row],[Position 1]],Table1[[#This Row],[Position 2]]-Table1[[#This Row],[Position 1]]+1))</f>
        <v>/0SAP/</v>
      </c>
      <c r="AE214" t="str">
        <f>VLOOKUP(Table1[[#This Row],[/* Object]],Namespace!A:J,10,FALSE)</f>
        <v>SAP AG</v>
      </c>
      <c r="AF214" t="str">
        <f>IF(VLOOKUP(Table1[[#This Row],[/* Object]],Namespace!A:J,4,FALSE)=0,"",VLOOKUP(Table1[[#This Row],[/* Object]],Namespace!A:J,4,FALSE))</f>
        <v>X</v>
      </c>
      <c r="AG214" t="str">
        <f>IF(VLOOKUP(Table1[[#This Row],[/* Object]],Namespace!A:J,5,FALSE)=0,"",VLOOKUP(Table1[[#This Row],[/* Object]],Namespace!A:J,5,FALSE))</f>
        <v>X</v>
      </c>
      <c r="AH214" t="str">
        <f>IF(VLOOKUP(Table1[[#This Row],[/* Object]],Namespace!A:J,6,FALSE)=0,"",VLOOKUP(Table1[[#This Row],[/* Object]],Namespace!A:J,6,FALSE))</f>
        <v/>
      </c>
      <c r="AI214">
        <f>IFERROR(FIND("/",Table1[[#This Row],[Final Obj Name]],1),0)</f>
        <v>0</v>
      </c>
      <c r="AJ214">
        <f>IF(Table1[[#This Row],[Position 1]]=0,0,FIND("/",Table1[[#This Row],[Final Obj Name]],Table1[[#This Row],[Position 1]]+1))</f>
        <v>0</v>
      </c>
      <c r="AK214" t="str">
        <f>IF(LEFT(Table1[[#This Row],[Final Obj Name]],1)="/",LEFT(Table1[[#This Row],[Final Obj Name]],FIND("/",Table1[[#This Row],[Final Obj Name]],2)),"/0SAP/")</f>
        <v>/0SAP/</v>
      </c>
    </row>
    <row r="215">
      <c r="A215" t="str">
        <v>DDLS</v>
      </c>
      <c r="B215" t="str">
        <v>ZCDS_ACCRUALS_WBS_REPORT</v>
      </c>
      <c r="C215" t="str">
        <v>DDLS</v>
      </c>
      <c r="D215" t="str">
        <v>ZCDS_ACCRUALS_WBS_REPORT</v>
      </c>
      <c r="G215" t="str">
        <v>ALL</v>
      </c>
      <c r="L215" t="str">
        <v>DDIC_SPDD</v>
      </c>
      <c r="M215">
        <v>45337</v>
      </c>
      <c r="N215">
        <v>0.35550925925926</v>
      </c>
      <c r="S215" t="str">
        <v>X</v>
      </c>
      <c r="W215" t="str">
        <v>P01K900067</v>
      </c>
      <c r="Y215">
        <f>IF(Table1[[#This Row],[OPERATION]]="NOTE","NOTE",Table1[[#This Row],[SUB_TYPE]])</f>
        <v>0</v>
      </c>
      <c r="Z215">
        <f>IF(Table1[[#This Row],[OPERATION]]="NOTE",NUMBERVALUE(LEFT(Table1[[#This Row],[MOD_NAME]],LEN(Table1[[#This Row],[MOD_NAME]])-4)),Table1[[#This Row],[SUB_NAME]])</f>
        <v>0</v>
      </c>
      <c r="AA215" t="str">
        <f>CONCAT(Table1[[#This Row],[Final Obj Type]],"|",Table1[[#This Row],[Final Obj Name]])</f>
        <v>0|0</v>
      </c>
      <c r="AB215" t="e">
        <f>VLOOKUP(Table1[[#This Row],[Final Obj Type]],Classification!B:E,3,FALSE)</f>
        <v>#N/A</v>
      </c>
      <c r="AC215" t="e">
        <f>VLOOKUP(Table1[[#This Row],[Final Obj Type]],Classification!B:E,4,FALSE)</f>
        <v>#N/A</v>
      </c>
      <c r="AD215" t="str">
        <f>IF(Table1[[#This Row],[Position 1]]=0,"/0SAP/",MID(Table1[[#This Row],[Final Obj Name]],Table1[[#This Row],[Position 1]],Table1[[#This Row],[Position 2]]-Table1[[#This Row],[Position 1]]+1))</f>
        <v>/0SAP/</v>
      </c>
      <c r="AE215" t="str">
        <f>VLOOKUP(Table1[[#This Row],[/* Object]],Namespace!A:J,10,FALSE)</f>
        <v>SAP AG</v>
      </c>
      <c r="AF215" t="str">
        <f>IF(VLOOKUP(Table1[[#This Row],[/* Object]],Namespace!A:J,4,FALSE)=0,"",VLOOKUP(Table1[[#This Row],[/* Object]],Namespace!A:J,4,FALSE))</f>
        <v>X</v>
      </c>
      <c r="AG215" t="str">
        <f>IF(VLOOKUP(Table1[[#This Row],[/* Object]],Namespace!A:J,5,FALSE)=0,"",VLOOKUP(Table1[[#This Row],[/* Object]],Namespace!A:J,5,FALSE))</f>
        <v>X</v>
      </c>
      <c r="AH215" t="str">
        <f>IF(VLOOKUP(Table1[[#This Row],[/* Object]],Namespace!A:J,6,FALSE)=0,"",VLOOKUP(Table1[[#This Row],[/* Object]],Namespace!A:J,6,FALSE))</f>
        <v/>
      </c>
      <c r="AI215">
        <f>IFERROR(FIND("/",Table1[[#This Row],[Final Obj Name]],1),0)</f>
        <v>0</v>
      </c>
      <c r="AJ215">
        <f>IF(Table1[[#This Row],[Position 1]]=0,0,FIND("/",Table1[[#This Row],[Final Obj Name]],Table1[[#This Row],[Position 1]]+1))</f>
        <v>0</v>
      </c>
      <c r="AK215" t="str">
        <f>IF(LEFT(Table1[[#This Row],[Final Obj Name]],1)="/",LEFT(Table1[[#This Row],[Final Obj Name]],FIND("/",Table1[[#This Row],[Final Obj Name]],2)),"/0SAP/")</f>
        <v>/0SAP/</v>
      </c>
    </row>
    <row r="216">
      <c r="A216" t="str">
        <v>DDLS</v>
      </c>
      <c r="B216" t="str">
        <v>ZC_IC_PO_SO_REP</v>
      </c>
      <c r="C216" t="str">
        <v>DDLS</v>
      </c>
      <c r="D216" t="str">
        <v>ZC_IC_PO_SO_REP</v>
      </c>
      <c r="G216" t="str">
        <v>ALL</v>
      </c>
      <c r="L216" t="str">
        <v>DDIC_SPDD</v>
      </c>
      <c r="M216">
        <v>45337</v>
      </c>
      <c r="N216">
        <v>0.36032407407407</v>
      </c>
      <c r="S216" t="str">
        <v>X</v>
      </c>
      <c r="W216" t="str">
        <v>P01K900067</v>
      </c>
      <c r="Y216">
        <f>IF(Table1[[#This Row],[OPERATION]]="NOTE","NOTE",Table1[[#This Row],[SUB_TYPE]])</f>
        <v>0</v>
      </c>
      <c r="Z216">
        <f>IF(Table1[[#This Row],[OPERATION]]="NOTE",NUMBERVALUE(LEFT(Table1[[#This Row],[MOD_NAME]],LEN(Table1[[#This Row],[MOD_NAME]])-4)),Table1[[#This Row],[SUB_NAME]])</f>
        <v>0</v>
      </c>
      <c r="AA216" t="str">
        <f>CONCAT(Table1[[#This Row],[Final Obj Type]],"|",Table1[[#This Row],[Final Obj Name]])</f>
        <v>0|0</v>
      </c>
      <c r="AB216" t="e">
        <f>VLOOKUP(Table1[[#This Row],[Final Obj Type]],Classification!B:E,3,FALSE)</f>
        <v>#N/A</v>
      </c>
      <c r="AC216" t="e">
        <f>VLOOKUP(Table1[[#This Row],[Final Obj Type]],Classification!B:E,4,FALSE)</f>
        <v>#N/A</v>
      </c>
      <c r="AD216" t="str">
        <f>IF(Table1[[#This Row],[Position 1]]=0,"/0SAP/",MID(Table1[[#This Row],[Final Obj Name]],Table1[[#This Row],[Position 1]],Table1[[#This Row],[Position 2]]-Table1[[#This Row],[Position 1]]+1))</f>
        <v>/0SAP/</v>
      </c>
      <c r="AE216" t="str">
        <f>VLOOKUP(Table1[[#This Row],[/* Object]],Namespace!A:J,10,FALSE)</f>
        <v>SAP AG</v>
      </c>
      <c r="AF216" t="str">
        <f>IF(VLOOKUP(Table1[[#This Row],[/* Object]],Namespace!A:J,4,FALSE)=0,"",VLOOKUP(Table1[[#This Row],[/* Object]],Namespace!A:J,4,FALSE))</f>
        <v>X</v>
      </c>
      <c r="AG216" t="str">
        <f>IF(VLOOKUP(Table1[[#This Row],[/* Object]],Namespace!A:J,5,FALSE)=0,"",VLOOKUP(Table1[[#This Row],[/* Object]],Namespace!A:J,5,FALSE))</f>
        <v>X</v>
      </c>
      <c r="AH216" t="str">
        <f>IF(VLOOKUP(Table1[[#This Row],[/* Object]],Namespace!A:J,6,FALSE)=0,"",VLOOKUP(Table1[[#This Row],[/* Object]],Namespace!A:J,6,FALSE))</f>
        <v/>
      </c>
      <c r="AI216">
        <f>IFERROR(FIND("/",Table1[[#This Row],[Final Obj Name]],1),0)</f>
        <v>0</v>
      </c>
      <c r="AJ216">
        <f>IF(Table1[[#This Row],[Position 1]]=0,0,FIND("/",Table1[[#This Row],[Final Obj Name]],Table1[[#This Row],[Position 1]]+1))</f>
        <v>0</v>
      </c>
      <c r="AK216" t="str">
        <f>IF(LEFT(Table1[[#This Row],[Final Obj Name]],1)="/",LEFT(Table1[[#This Row],[Final Obj Name]],FIND("/",Table1[[#This Row],[Final Obj Name]],2)),"/0SAP/")</f>
        <v>/0SAP/</v>
      </c>
    </row>
    <row r="217">
      <c r="A217" t="str">
        <v>DDLS</v>
      </c>
      <c r="B217" t="str">
        <v>ZC_MATERIAL_BI_REPORT</v>
      </c>
      <c r="C217" t="str">
        <v>DDLS</v>
      </c>
      <c r="D217" t="str">
        <v>ZC_MATERIAL_BI_REPORT</v>
      </c>
      <c r="G217" t="str">
        <v>ALL</v>
      </c>
      <c r="L217" t="str">
        <v>DDIC_SPDD</v>
      </c>
      <c r="M217">
        <v>45337</v>
      </c>
      <c r="N217">
        <v>0.36152777777778</v>
      </c>
      <c r="S217" t="str">
        <v>X</v>
      </c>
      <c r="W217" t="str">
        <v>P01K900067</v>
      </c>
      <c r="Y217">
        <f>IF(Table1[[#This Row],[OPERATION]]="NOTE","NOTE",Table1[[#This Row],[SUB_TYPE]])</f>
        <v>0</v>
      </c>
      <c r="Z217">
        <f>IF(Table1[[#This Row],[OPERATION]]="NOTE",NUMBERVALUE(LEFT(Table1[[#This Row],[MOD_NAME]],LEN(Table1[[#This Row],[MOD_NAME]])-4)),Table1[[#This Row],[SUB_NAME]])</f>
        <v>0</v>
      </c>
      <c r="AA217" t="str">
        <f>CONCAT(Table1[[#This Row],[Final Obj Type]],"|",Table1[[#This Row],[Final Obj Name]])</f>
        <v>0|0</v>
      </c>
      <c r="AB217" t="e">
        <f>VLOOKUP(Table1[[#This Row],[Final Obj Type]],Classification!B:E,3,FALSE)</f>
        <v>#N/A</v>
      </c>
      <c r="AC217" t="e">
        <f>VLOOKUP(Table1[[#This Row],[Final Obj Type]],Classification!B:E,4,FALSE)</f>
        <v>#N/A</v>
      </c>
      <c r="AD217" t="str">
        <f>IF(Table1[[#This Row],[Position 1]]=0,"/0SAP/",MID(Table1[[#This Row],[Final Obj Name]],Table1[[#This Row],[Position 1]],Table1[[#This Row],[Position 2]]-Table1[[#This Row],[Position 1]]+1))</f>
        <v>/0SAP/</v>
      </c>
      <c r="AE217" t="str">
        <f>VLOOKUP(Table1[[#This Row],[/* Object]],Namespace!A:J,10,FALSE)</f>
        <v>SAP AG</v>
      </c>
      <c r="AF217" t="str">
        <f>IF(VLOOKUP(Table1[[#This Row],[/* Object]],Namespace!A:J,4,FALSE)=0,"",VLOOKUP(Table1[[#This Row],[/* Object]],Namespace!A:J,4,FALSE))</f>
        <v>X</v>
      </c>
      <c r="AG217" t="str">
        <f>IF(VLOOKUP(Table1[[#This Row],[/* Object]],Namespace!A:J,5,FALSE)=0,"",VLOOKUP(Table1[[#This Row],[/* Object]],Namespace!A:J,5,FALSE))</f>
        <v>X</v>
      </c>
      <c r="AH217" t="str">
        <f>IF(VLOOKUP(Table1[[#This Row],[/* Object]],Namespace!A:J,6,FALSE)=0,"",VLOOKUP(Table1[[#This Row],[/* Object]],Namespace!A:J,6,FALSE))</f>
        <v/>
      </c>
      <c r="AI217">
        <f>IFERROR(FIND("/",Table1[[#This Row],[Final Obj Name]],1),0)</f>
        <v>0</v>
      </c>
      <c r="AJ217">
        <f>IF(Table1[[#This Row],[Position 1]]=0,0,FIND("/",Table1[[#This Row],[Final Obj Name]],Table1[[#This Row],[Position 1]]+1))</f>
        <v>0</v>
      </c>
      <c r="AK217" t="str">
        <f>IF(LEFT(Table1[[#This Row],[Final Obj Name]],1)="/",LEFT(Table1[[#This Row],[Final Obj Name]],FIND("/",Table1[[#This Row],[Final Obj Name]],2)),"/0SAP/")</f>
        <v>/0SAP/</v>
      </c>
    </row>
    <row r="218">
      <c r="A218" t="str">
        <v>DDLS</v>
      </c>
      <c r="B218" t="str">
        <v>ZC_OTC_R001_DEL_1</v>
      </c>
      <c r="C218" t="str">
        <v>DDLS</v>
      </c>
      <c r="D218" t="str">
        <v>ZC_OTC_R001_DEL_1</v>
      </c>
      <c r="G218" t="str">
        <v>ALL</v>
      </c>
      <c r="L218" t="str">
        <v>SSUDARSHAN</v>
      </c>
      <c r="M218">
        <v>45204</v>
      </c>
      <c r="N218">
        <v>0.24138888888889</v>
      </c>
      <c r="S218" t="str">
        <v>X</v>
      </c>
      <c r="W218" t="str">
        <v>S01K918723</v>
      </c>
      <c r="Y218">
        <f>IF(Table1[[#This Row],[OPERATION]]="NOTE","NOTE",Table1[[#This Row],[SUB_TYPE]])</f>
        <v>0</v>
      </c>
      <c r="Z218">
        <f>IF(Table1[[#This Row],[OPERATION]]="NOTE",NUMBERVALUE(LEFT(Table1[[#This Row],[MOD_NAME]],LEN(Table1[[#This Row],[MOD_NAME]])-4)),Table1[[#This Row],[SUB_NAME]])</f>
        <v>0</v>
      </c>
      <c r="AA218" t="str">
        <f>CONCAT(Table1[[#This Row],[Final Obj Type]],"|",Table1[[#This Row],[Final Obj Name]])</f>
        <v>0|0</v>
      </c>
      <c r="AB218" t="e">
        <f>VLOOKUP(Table1[[#This Row],[Final Obj Type]],Classification!B:E,3,FALSE)</f>
        <v>#N/A</v>
      </c>
      <c r="AC218" t="e">
        <f>VLOOKUP(Table1[[#This Row],[Final Obj Type]],Classification!B:E,4,FALSE)</f>
        <v>#N/A</v>
      </c>
      <c r="AD218" t="str">
        <f>IF(Table1[[#This Row],[Position 1]]=0,"/0SAP/",MID(Table1[[#This Row],[Final Obj Name]],Table1[[#This Row],[Position 1]],Table1[[#This Row],[Position 2]]-Table1[[#This Row],[Position 1]]+1))</f>
        <v>/0SAP/</v>
      </c>
      <c r="AE218" t="str">
        <f>VLOOKUP(Table1[[#This Row],[/* Object]],Namespace!A:J,10,FALSE)</f>
        <v>SAP AG</v>
      </c>
      <c r="AF218" t="str">
        <f>IF(VLOOKUP(Table1[[#This Row],[/* Object]],Namespace!A:J,4,FALSE)=0,"",VLOOKUP(Table1[[#This Row],[/* Object]],Namespace!A:J,4,FALSE))</f>
        <v>X</v>
      </c>
      <c r="AG218" t="str">
        <f>IF(VLOOKUP(Table1[[#This Row],[/* Object]],Namespace!A:J,5,FALSE)=0,"",VLOOKUP(Table1[[#This Row],[/* Object]],Namespace!A:J,5,FALSE))</f>
        <v>X</v>
      </c>
      <c r="AH218" t="str">
        <f>IF(VLOOKUP(Table1[[#This Row],[/* Object]],Namespace!A:J,6,FALSE)=0,"",VLOOKUP(Table1[[#This Row],[/* Object]],Namespace!A:J,6,FALSE))</f>
        <v/>
      </c>
      <c r="AI218">
        <f>IFERROR(FIND("/",Table1[[#This Row],[Final Obj Name]],1),0)</f>
        <v>0</v>
      </c>
      <c r="AJ218">
        <f>IF(Table1[[#This Row],[Position 1]]=0,0,FIND("/",Table1[[#This Row],[Final Obj Name]],Table1[[#This Row],[Position 1]]+1))</f>
        <v>0</v>
      </c>
      <c r="AK218" t="str">
        <f>IF(LEFT(Table1[[#This Row],[Final Obj Name]],1)="/",LEFT(Table1[[#This Row],[Final Obj Name]],FIND("/",Table1[[#This Row],[Final Obj Name]],2)),"/0SAP/")</f>
        <v>/0SAP/</v>
      </c>
    </row>
    <row r="219">
      <c r="A219" t="str">
        <v>DDLS</v>
      </c>
      <c r="B219" t="str">
        <v>ZC_OTC_ROO1_DEL</v>
      </c>
      <c r="C219" t="str">
        <v>DDLS</v>
      </c>
      <c r="D219" t="str">
        <v>ZC_OTC_ROO1_DEL</v>
      </c>
      <c r="G219" t="str">
        <v>ALL</v>
      </c>
      <c r="L219" t="str">
        <v>SSUDARSHAN</v>
      </c>
      <c r="M219">
        <v>45205</v>
      </c>
      <c r="N219">
        <v>0.31224537037037</v>
      </c>
      <c r="S219" t="str">
        <v>X</v>
      </c>
      <c r="W219" t="str">
        <v>S01K918723</v>
      </c>
      <c r="Y219">
        <f>IF(Table1[[#This Row],[OPERATION]]="NOTE","NOTE",Table1[[#This Row],[SUB_TYPE]])</f>
        <v>0</v>
      </c>
      <c r="Z219">
        <f>IF(Table1[[#This Row],[OPERATION]]="NOTE",NUMBERVALUE(LEFT(Table1[[#This Row],[MOD_NAME]],LEN(Table1[[#This Row],[MOD_NAME]])-4)),Table1[[#This Row],[SUB_NAME]])</f>
        <v>0</v>
      </c>
      <c r="AA219" t="str">
        <f>CONCAT(Table1[[#This Row],[Final Obj Type]],"|",Table1[[#This Row],[Final Obj Name]])</f>
        <v>0|0</v>
      </c>
      <c r="AB219" t="e">
        <f>VLOOKUP(Table1[[#This Row],[Final Obj Type]],Classification!B:E,3,FALSE)</f>
        <v>#N/A</v>
      </c>
      <c r="AC219" t="e">
        <f>VLOOKUP(Table1[[#This Row],[Final Obj Type]],Classification!B:E,4,FALSE)</f>
        <v>#N/A</v>
      </c>
      <c r="AD219" t="str">
        <f>IF(Table1[[#This Row],[Position 1]]=0,"/0SAP/",MID(Table1[[#This Row],[Final Obj Name]],Table1[[#This Row],[Position 1]],Table1[[#This Row],[Position 2]]-Table1[[#This Row],[Position 1]]+1))</f>
        <v>/0SAP/</v>
      </c>
      <c r="AE219" t="str">
        <f>VLOOKUP(Table1[[#This Row],[/* Object]],Namespace!A:J,10,FALSE)</f>
        <v>SAP AG</v>
      </c>
      <c r="AF219" t="str">
        <f>IF(VLOOKUP(Table1[[#This Row],[/* Object]],Namespace!A:J,4,FALSE)=0,"",VLOOKUP(Table1[[#This Row],[/* Object]],Namespace!A:J,4,FALSE))</f>
        <v>X</v>
      </c>
      <c r="AG219" t="str">
        <f>IF(VLOOKUP(Table1[[#This Row],[/* Object]],Namespace!A:J,5,FALSE)=0,"",VLOOKUP(Table1[[#This Row],[/* Object]],Namespace!A:J,5,FALSE))</f>
        <v>X</v>
      </c>
      <c r="AH219" t="str">
        <f>IF(VLOOKUP(Table1[[#This Row],[/* Object]],Namespace!A:J,6,FALSE)=0,"",VLOOKUP(Table1[[#This Row],[/* Object]],Namespace!A:J,6,FALSE))</f>
        <v/>
      </c>
      <c r="AI219">
        <f>IFERROR(FIND("/",Table1[[#This Row],[Final Obj Name]],1),0)</f>
        <v>0</v>
      </c>
      <c r="AJ219">
        <f>IF(Table1[[#This Row],[Position 1]]=0,0,FIND("/",Table1[[#This Row],[Final Obj Name]],Table1[[#This Row],[Position 1]]+1))</f>
        <v>0</v>
      </c>
      <c r="AK219" t="str">
        <f>IF(LEFT(Table1[[#This Row],[Final Obj Name]],1)="/",LEFT(Table1[[#This Row],[Final Obj Name]],FIND("/",Table1[[#This Row],[Final Obj Name]],2)),"/0SAP/")</f>
        <v>/0SAP/</v>
      </c>
    </row>
    <row r="220">
      <c r="A220" t="str">
        <v>DDLS</v>
      </c>
      <c r="B220" t="str">
        <v>ZC_PO_DATA</v>
      </c>
      <c r="C220" t="str">
        <v>DDLS</v>
      </c>
      <c r="D220" t="str">
        <v>ZC_PO_DATA</v>
      </c>
      <c r="G220" t="str">
        <v>ALL</v>
      </c>
      <c r="L220" t="str">
        <v>DDIC_SPDD</v>
      </c>
      <c r="M220">
        <v>45337</v>
      </c>
      <c r="N220">
        <v>0.36269675925926</v>
      </c>
      <c r="S220" t="str">
        <v>X</v>
      </c>
      <c r="W220" t="str">
        <v>P01K900067</v>
      </c>
      <c r="Y220">
        <f>IF(Table1[[#This Row],[OPERATION]]="NOTE","NOTE",Table1[[#This Row],[SUB_TYPE]])</f>
        <v>0</v>
      </c>
      <c r="Z220">
        <f>IF(Table1[[#This Row],[OPERATION]]="NOTE",NUMBERVALUE(LEFT(Table1[[#This Row],[MOD_NAME]],LEN(Table1[[#This Row],[MOD_NAME]])-4)),Table1[[#This Row],[SUB_NAME]])</f>
        <v>0</v>
      </c>
      <c r="AA220" t="str">
        <f>CONCAT(Table1[[#This Row],[Final Obj Type]],"|",Table1[[#This Row],[Final Obj Name]])</f>
        <v>0|0</v>
      </c>
      <c r="AB220" t="e">
        <f>VLOOKUP(Table1[[#This Row],[Final Obj Type]],Classification!B:E,3,FALSE)</f>
        <v>#N/A</v>
      </c>
      <c r="AC220" t="e">
        <f>VLOOKUP(Table1[[#This Row],[Final Obj Type]],Classification!B:E,4,FALSE)</f>
        <v>#N/A</v>
      </c>
      <c r="AD220" t="str">
        <f>IF(Table1[[#This Row],[Position 1]]=0,"/0SAP/",MID(Table1[[#This Row],[Final Obj Name]],Table1[[#This Row],[Position 1]],Table1[[#This Row],[Position 2]]-Table1[[#This Row],[Position 1]]+1))</f>
        <v>/0SAP/</v>
      </c>
      <c r="AE220" t="str">
        <f>VLOOKUP(Table1[[#This Row],[/* Object]],Namespace!A:J,10,FALSE)</f>
        <v>SAP AG</v>
      </c>
      <c r="AF220" t="str">
        <f>IF(VLOOKUP(Table1[[#This Row],[/* Object]],Namespace!A:J,4,FALSE)=0,"",VLOOKUP(Table1[[#This Row],[/* Object]],Namespace!A:J,4,FALSE))</f>
        <v>X</v>
      </c>
      <c r="AG220" t="str">
        <f>IF(VLOOKUP(Table1[[#This Row],[/* Object]],Namespace!A:J,5,FALSE)=0,"",VLOOKUP(Table1[[#This Row],[/* Object]],Namespace!A:J,5,FALSE))</f>
        <v>X</v>
      </c>
      <c r="AH220" t="str">
        <f>IF(VLOOKUP(Table1[[#This Row],[/* Object]],Namespace!A:J,6,FALSE)=0,"",VLOOKUP(Table1[[#This Row],[/* Object]],Namespace!A:J,6,FALSE))</f>
        <v/>
      </c>
      <c r="AI220">
        <f>IFERROR(FIND("/",Table1[[#This Row],[Final Obj Name]],1),0)</f>
        <v>0</v>
      </c>
      <c r="AJ220">
        <f>IF(Table1[[#This Row],[Position 1]]=0,0,FIND("/",Table1[[#This Row],[Final Obj Name]],Table1[[#This Row],[Position 1]]+1))</f>
        <v>0</v>
      </c>
      <c r="AK220" t="str">
        <f>IF(LEFT(Table1[[#This Row],[Final Obj Name]],1)="/",LEFT(Table1[[#This Row],[Final Obj Name]],FIND("/",Table1[[#This Row],[Final Obj Name]],2)),"/0SAP/")</f>
        <v>/0SAP/</v>
      </c>
    </row>
    <row r="221">
      <c r="A221" t="str">
        <v>DDLS</v>
      </c>
      <c r="B221" t="str">
        <v>ZC_PS_R005_D</v>
      </c>
      <c r="C221" t="str">
        <v>DDLS</v>
      </c>
      <c r="D221" t="str">
        <v>ZC_PS_R005_D</v>
      </c>
      <c r="G221" t="str">
        <v>ALL</v>
      </c>
      <c r="L221" t="str">
        <v>DDIC_SPDD</v>
      </c>
      <c r="M221">
        <v>45337</v>
      </c>
      <c r="N221">
        <v>0.36416666666667</v>
      </c>
      <c r="S221" t="str">
        <v>X</v>
      </c>
      <c r="W221" t="str">
        <v>P01K900067</v>
      </c>
      <c r="Y221">
        <f>IF(Table1[[#This Row],[OPERATION]]="NOTE","NOTE",Table1[[#This Row],[SUB_TYPE]])</f>
        <v>0</v>
      </c>
      <c r="Z221">
        <f>IF(Table1[[#This Row],[OPERATION]]="NOTE",NUMBERVALUE(LEFT(Table1[[#This Row],[MOD_NAME]],LEN(Table1[[#This Row],[MOD_NAME]])-4)),Table1[[#This Row],[SUB_NAME]])</f>
        <v>0</v>
      </c>
      <c r="AA221" t="str">
        <f>CONCAT(Table1[[#This Row],[Final Obj Type]],"|",Table1[[#This Row],[Final Obj Name]])</f>
        <v>0|0</v>
      </c>
      <c r="AB221" t="e">
        <f>VLOOKUP(Table1[[#This Row],[Final Obj Type]],Classification!B:E,3,FALSE)</f>
        <v>#N/A</v>
      </c>
      <c r="AC221" t="e">
        <f>VLOOKUP(Table1[[#This Row],[Final Obj Type]],Classification!B:E,4,FALSE)</f>
        <v>#N/A</v>
      </c>
      <c r="AD221" t="str">
        <f>IF(Table1[[#This Row],[Position 1]]=0,"/0SAP/",MID(Table1[[#This Row],[Final Obj Name]],Table1[[#This Row],[Position 1]],Table1[[#This Row],[Position 2]]-Table1[[#This Row],[Position 1]]+1))</f>
        <v>/0SAP/</v>
      </c>
      <c r="AE221" t="str">
        <f>VLOOKUP(Table1[[#This Row],[/* Object]],Namespace!A:J,10,FALSE)</f>
        <v>SAP AG</v>
      </c>
      <c r="AF221" t="str">
        <f>IF(VLOOKUP(Table1[[#This Row],[/* Object]],Namespace!A:J,4,FALSE)=0,"",VLOOKUP(Table1[[#This Row],[/* Object]],Namespace!A:J,4,FALSE))</f>
        <v>X</v>
      </c>
      <c r="AG221" t="str">
        <f>IF(VLOOKUP(Table1[[#This Row],[/* Object]],Namespace!A:J,5,FALSE)=0,"",VLOOKUP(Table1[[#This Row],[/* Object]],Namespace!A:J,5,FALSE))</f>
        <v>X</v>
      </c>
      <c r="AH221" t="str">
        <f>IF(VLOOKUP(Table1[[#This Row],[/* Object]],Namespace!A:J,6,FALSE)=0,"",VLOOKUP(Table1[[#This Row],[/* Object]],Namespace!A:J,6,FALSE))</f>
        <v/>
      </c>
      <c r="AI221">
        <f>IFERROR(FIND("/",Table1[[#This Row],[Final Obj Name]],1),0)</f>
        <v>0</v>
      </c>
      <c r="AJ221">
        <f>IF(Table1[[#This Row],[Position 1]]=0,0,FIND("/",Table1[[#This Row],[Final Obj Name]],Table1[[#This Row],[Position 1]]+1))</f>
        <v>0</v>
      </c>
      <c r="AK221" t="str">
        <f>IF(LEFT(Table1[[#This Row],[Final Obj Name]],1)="/",LEFT(Table1[[#This Row],[Final Obj Name]],FIND("/",Table1[[#This Row],[Final Obj Name]],2)),"/0SAP/")</f>
        <v>/0SAP/</v>
      </c>
    </row>
    <row r="222">
      <c r="A222" t="str">
        <v>DDLS</v>
      </c>
      <c r="B222" t="str">
        <v>ZC_PS_R005_MS</v>
      </c>
      <c r="C222" t="str">
        <v>DDLS</v>
      </c>
      <c r="D222" t="str">
        <v>ZC_PS_R005_MS</v>
      </c>
      <c r="G222" t="str">
        <v>ALL</v>
      </c>
      <c r="L222" t="str">
        <v>DDIC_SPDD</v>
      </c>
      <c r="M222">
        <v>45337</v>
      </c>
      <c r="N222">
        <v>0.36524305555556</v>
      </c>
      <c r="S222" t="str">
        <v>X</v>
      </c>
      <c r="W222" t="str">
        <v>P01K900067</v>
      </c>
      <c r="Y222">
        <f>IF(Table1[[#This Row],[OPERATION]]="NOTE","NOTE",Table1[[#This Row],[SUB_TYPE]])</f>
        <v>0</v>
      </c>
      <c r="Z222">
        <f>IF(Table1[[#This Row],[OPERATION]]="NOTE",NUMBERVALUE(LEFT(Table1[[#This Row],[MOD_NAME]],LEN(Table1[[#This Row],[MOD_NAME]])-4)),Table1[[#This Row],[SUB_NAME]])</f>
        <v>0</v>
      </c>
      <c r="AA222" t="str">
        <f>CONCAT(Table1[[#This Row],[Final Obj Type]],"|",Table1[[#This Row],[Final Obj Name]])</f>
        <v>0|0</v>
      </c>
      <c r="AB222" t="e">
        <f>VLOOKUP(Table1[[#This Row],[Final Obj Type]],Classification!B:E,3,FALSE)</f>
        <v>#N/A</v>
      </c>
      <c r="AC222" t="e">
        <f>VLOOKUP(Table1[[#This Row],[Final Obj Type]],Classification!B:E,4,FALSE)</f>
        <v>#N/A</v>
      </c>
      <c r="AD222" t="str">
        <f>IF(Table1[[#This Row],[Position 1]]=0,"/0SAP/",MID(Table1[[#This Row],[Final Obj Name]],Table1[[#This Row],[Position 1]],Table1[[#This Row],[Position 2]]-Table1[[#This Row],[Position 1]]+1))</f>
        <v>/0SAP/</v>
      </c>
      <c r="AE222" t="str">
        <f>VLOOKUP(Table1[[#This Row],[/* Object]],Namespace!A:J,10,FALSE)</f>
        <v>SAP AG</v>
      </c>
      <c r="AF222" t="str">
        <f>IF(VLOOKUP(Table1[[#This Row],[/* Object]],Namespace!A:J,4,FALSE)=0,"",VLOOKUP(Table1[[#This Row],[/* Object]],Namespace!A:J,4,FALSE))</f>
        <v>X</v>
      </c>
      <c r="AG222" t="str">
        <f>IF(VLOOKUP(Table1[[#This Row],[/* Object]],Namespace!A:J,5,FALSE)=0,"",VLOOKUP(Table1[[#This Row],[/* Object]],Namespace!A:J,5,FALSE))</f>
        <v>X</v>
      </c>
      <c r="AH222" t="str">
        <f>IF(VLOOKUP(Table1[[#This Row],[/* Object]],Namespace!A:J,6,FALSE)=0,"",VLOOKUP(Table1[[#This Row],[/* Object]],Namespace!A:J,6,FALSE))</f>
        <v/>
      </c>
      <c r="AI222">
        <f>IFERROR(FIND("/",Table1[[#This Row],[Final Obj Name]],1),0)</f>
        <v>0</v>
      </c>
      <c r="AJ222">
        <f>IF(Table1[[#This Row],[Position 1]]=0,0,FIND("/",Table1[[#This Row],[Final Obj Name]],Table1[[#This Row],[Position 1]]+1))</f>
        <v>0</v>
      </c>
      <c r="AK222" t="str">
        <f>IF(LEFT(Table1[[#This Row],[Final Obj Name]],1)="/",LEFT(Table1[[#This Row],[Final Obj Name]],FIND("/",Table1[[#This Row],[Final Obj Name]],2)),"/0SAP/")</f>
        <v>/0SAP/</v>
      </c>
    </row>
    <row r="223">
      <c r="A223" t="str">
        <v>DDLS</v>
      </c>
      <c r="B223" t="str">
        <v>ZC_R001_SO_OPEN</v>
      </c>
      <c r="C223" t="str">
        <v>DDLS</v>
      </c>
      <c r="D223" t="str">
        <v>ZC_R001_SO_OPEN</v>
      </c>
      <c r="G223" t="str">
        <v>ALL</v>
      </c>
      <c r="L223" t="str">
        <v>CST_CHINMAY</v>
      </c>
      <c r="M223">
        <v>45861</v>
      </c>
      <c r="N223">
        <v>0.71446759259259</v>
      </c>
      <c r="S223" t="str">
        <v>X</v>
      </c>
      <c r="W223" t="str">
        <v>S01K925239</v>
      </c>
      <c r="Y223">
        <f>IF(Table1[[#This Row],[OPERATION]]="NOTE","NOTE",Table1[[#This Row],[SUB_TYPE]])</f>
        <v>0</v>
      </c>
      <c r="Z223">
        <f>IF(Table1[[#This Row],[OPERATION]]="NOTE",NUMBERVALUE(LEFT(Table1[[#This Row],[MOD_NAME]],LEN(Table1[[#This Row],[MOD_NAME]])-4)),Table1[[#This Row],[SUB_NAME]])</f>
        <v>0</v>
      </c>
      <c r="AA223" t="str">
        <f>CONCAT(Table1[[#This Row],[Final Obj Type]],"|",Table1[[#This Row],[Final Obj Name]])</f>
        <v>0|0</v>
      </c>
      <c r="AB223" t="e">
        <f>VLOOKUP(Table1[[#This Row],[Final Obj Type]],Classification!B:E,3,FALSE)</f>
        <v>#N/A</v>
      </c>
      <c r="AC223" t="e">
        <f>VLOOKUP(Table1[[#This Row],[Final Obj Type]],Classification!B:E,4,FALSE)</f>
        <v>#N/A</v>
      </c>
      <c r="AD223" t="str">
        <f>IF(Table1[[#This Row],[Position 1]]=0,"/0SAP/",MID(Table1[[#This Row],[Final Obj Name]],Table1[[#This Row],[Position 1]],Table1[[#This Row],[Position 2]]-Table1[[#This Row],[Position 1]]+1))</f>
        <v>/0SAP/</v>
      </c>
      <c r="AE223" t="str">
        <f>VLOOKUP(Table1[[#This Row],[/* Object]],Namespace!A:J,10,FALSE)</f>
        <v>SAP AG</v>
      </c>
      <c r="AF223" t="str">
        <f>IF(VLOOKUP(Table1[[#This Row],[/* Object]],Namespace!A:J,4,FALSE)=0,"",VLOOKUP(Table1[[#This Row],[/* Object]],Namespace!A:J,4,FALSE))</f>
        <v>X</v>
      </c>
      <c r="AG223" t="str">
        <f>IF(VLOOKUP(Table1[[#This Row],[/* Object]],Namespace!A:J,5,FALSE)=0,"",VLOOKUP(Table1[[#This Row],[/* Object]],Namespace!A:J,5,FALSE))</f>
        <v>X</v>
      </c>
      <c r="AH223" t="str">
        <f>IF(VLOOKUP(Table1[[#This Row],[/* Object]],Namespace!A:J,6,FALSE)=0,"",VLOOKUP(Table1[[#This Row],[/* Object]],Namespace!A:J,6,FALSE))</f>
        <v/>
      </c>
      <c r="AI223">
        <f>IFERROR(FIND("/",Table1[[#This Row],[Final Obj Name]],1),0)</f>
        <v>0</v>
      </c>
      <c r="AJ223">
        <f>IF(Table1[[#This Row],[Position 1]]=0,0,FIND("/",Table1[[#This Row],[Final Obj Name]],Table1[[#This Row],[Position 1]]+1))</f>
        <v>0</v>
      </c>
      <c r="AK223" t="str">
        <f>IF(LEFT(Table1[[#This Row],[Final Obj Name]],1)="/",LEFT(Table1[[#This Row],[Final Obj Name]],FIND("/",Table1[[#This Row],[Final Obj Name]],2)),"/0SAP/")</f>
        <v>/0SAP/</v>
      </c>
    </row>
    <row r="224">
      <c r="A224" t="str">
        <v>DDLS</v>
      </c>
      <c r="B224" t="str">
        <v>ZC_R001_SO_OPEN_01</v>
      </c>
      <c r="C224" t="str">
        <v>DDLS</v>
      </c>
      <c r="D224" t="str">
        <v>ZC_R001_SO_OPEN_01</v>
      </c>
      <c r="G224" t="str">
        <v>ALL</v>
      </c>
      <c r="L224" t="str">
        <v>CST_CHINMAY</v>
      </c>
      <c r="M224">
        <v>45993</v>
      </c>
      <c r="N224">
        <v>0.52645833333333</v>
      </c>
      <c r="S224" t="str">
        <v>X</v>
      </c>
      <c r="W224" t="str">
        <v>S01K927312</v>
      </c>
      <c r="Y224">
        <f>IF(Table1[[#This Row],[OPERATION]]="NOTE","NOTE",Table1[[#This Row],[SUB_TYPE]])</f>
        <v>0</v>
      </c>
      <c r="Z224">
        <f>IF(Table1[[#This Row],[OPERATION]]="NOTE",NUMBERVALUE(LEFT(Table1[[#This Row],[MOD_NAME]],LEN(Table1[[#This Row],[MOD_NAME]])-4)),Table1[[#This Row],[SUB_NAME]])</f>
        <v>0</v>
      </c>
      <c r="AA224" t="str">
        <f>CONCAT(Table1[[#This Row],[Final Obj Type]],"|",Table1[[#This Row],[Final Obj Name]])</f>
        <v>0|0</v>
      </c>
      <c r="AB224" t="e">
        <f>VLOOKUP(Table1[[#This Row],[Final Obj Type]],Classification!B:E,3,FALSE)</f>
        <v>#N/A</v>
      </c>
      <c r="AC224" t="e">
        <f>VLOOKUP(Table1[[#This Row],[Final Obj Type]],Classification!B:E,4,FALSE)</f>
        <v>#N/A</v>
      </c>
      <c r="AD224" t="str">
        <f>IF(Table1[[#This Row],[Position 1]]=0,"/0SAP/",MID(Table1[[#This Row],[Final Obj Name]],Table1[[#This Row],[Position 1]],Table1[[#This Row],[Position 2]]-Table1[[#This Row],[Position 1]]+1))</f>
        <v>/0SAP/</v>
      </c>
      <c r="AE224" t="str">
        <f>VLOOKUP(Table1[[#This Row],[/* Object]],Namespace!A:J,10,FALSE)</f>
        <v>SAP AG</v>
      </c>
      <c r="AF224" t="str">
        <f>IF(VLOOKUP(Table1[[#This Row],[/* Object]],Namespace!A:J,4,FALSE)=0,"",VLOOKUP(Table1[[#This Row],[/* Object]],Namespace!A:J,4,FALSE))</f>
        <v>X</v>
      </c>
      <c r="AG224" t="str">
        <f>IF(VLOOKUP(Table1[[#This Row],[/* Object]],Namespace!A:J,5,FALSE)=0,"",VLOOKUP(Table1[[#This Row],[/* Object]],Namespace!A:J,5,FALSE))</f>
        <v>X</v>
      </c>
      <c r="AH224" t="str">
        <f>IF(VLOOKUP(Table1[[#This Row],[/* Object]],Namespace!A:J,6,FALSE)=0,"",VLOOKUP(Table1[[#This Row],[/* Object]],Namespace!A:J,6,FALSE))</f>
        <v/>
      </c>
      <c r="AI224">
        <f>IFERROR(FIND("/",Table1[[#This Row],[Final Obj Name]],1),0)</f>
        <v>0</v>
      </c>
      <c r="AJ224">
        <f>IF(Table1[[#This Row],[Position 1]]=0,0,FIND("/",Table1[[#This Row],[Final Obj Name]],Table1[[#This Row],[Position 1]]+1))</f>
        <v>0</v>
      </c>
      <c r="AK224" t="str">
        <f>IF(LEFT(Table1[[#This Row],[Final Obj Name]],1)="/",LEFT(Table1[[#This Row],[Final Obj Name]],FIND("/",Table1[[#This Row],[Final Obj Name]],2)),"/0SAP/")</f>
        <v>/0SAP/</v>
      </c>
    </row>
    <row r="225">
      <c r="A225" t="str">
        <v>DDLS</v>
      </c>
      <c r="B225" t="str">
        <v>ZC_SO_OPEN_ALL</v>
      </c>
      <c r="C225" t="str">
        <v>DDLS</v>
      </c>
      <c r="D225" t="str">
        <v>ZC_SO_OPEN_ALL</v>
      </c>
      <c r="G225" t="str">
        <v>ALL</v>
      </c>
      <c r="L225" t="str">
        <v>CST_CHINMAY</v>
      </c>
      <c r="M225">
        <v>45853</v>
      </c>
      <c r="N225">
        <v>0.48020833333333</v>
      </c>
      <c r="S225" t="str">
        <v>X</v>
      </c>
      <c r="W225" t="str">
        <v>S01K925239</v>
      </c>
      <c r="Y225">
        <f>IF(Table1[[#This Row],[OPERATION]]="NOTE","NOTE",Table1[[#This Row],[SUB_TYPE]])</f>
        <v>0</v>
      </c>
      <c r="Z225">
        <f>IF(Table1[[#This Row],[OPERATION]]="NOTE",NUMBERVALUE(LEFT(Table1[[#This Row],[MOD_NAME]],LEN(Table1[[#This Row],[MOD_NAME]])-4)),Table1[[#This Row],[SUB_NAME]])</f>
        <v>0</v>
      </c>
      <c r="AA225" t="str">
        <f>CONCAT(Table1[[#This Row],[Final Obj Type]],"|",Table1[[#This Row],[Final Obj Name]])</f>
        <v>0|0</v>
      </c>
      <c r="AB225" t="e">
        <f>VLOOKUP(Table1[[#This Row],[Final Obj Type]],Classification!B:E,3,FALSE)</f>
        <v>#N/A</v>
      </c>
      <c r="AC225" t="e">
        <f>VLOOKUP(Table1[[#This Row],[Final Obj Type]],Classification!B:E,4,FALSE)</f>
        <v>#N/A</v>
      </c>
      <c r="AD225" t="str">
        <f>IF(Table1[[#This Row],[Position 1]]=0,"/0SAP/",MID(Table1[[#This Row],[Final Obj Name]],Table1[[#This Row],[Position 1]],Table1[[#This Row],[Position 2]]-Table1[[#This Row],[Position 1]]+1))</f>
        <v>/0SAP/</v>
      </c>
      <c r="AE225" t="str">
        <f>VLOOKUP(Table1[[#This Row],[/* Object]],Namespace!A:J,10,FALSE)</f>
        <v>SAP AG</v>
      </c>
      <c r="AF225" t="str">
        <f>IF(VLOOKUP(Table1[[#This Row],[/* Object]],Namespace!A:J,4,FALSE)=0,"",VLOOKUP(Table1[[#This Row],[/* Object]],Namespace!A:J,4,FALSE))</f>
        <v>X</v>
      </c>
      <c r="AG225" t="str">
        <f>IF(VLOOKUP(Table1[[#This Row],[/* Object]],Namespace!A:J,5,FALSE)=0,"",VLOOKUP(Table1[[#This Row],[/* Object]],Namespace!A:J,5,FALSE))</f>
        <v>X</v>
      </c>
      <c r="AH225" t="str">
        <f>IF(VLOOKUP(Table1[[#This Row],[/* Object]],Namespace!A:J,6,FALSE)=0,"",VLOOKUP(Table1[[#This Row],[/* Object]],Namespace!A:J,6,FALSE))</f>
        <v/>
      </c>
      <c r="AI225">
        <f>IFERROR(FIND("/",Table1[[#This Row],[Final Obj Name]],1),0)</f>
        <v>0</v>
      </c>
      <c r="AJ225">
        <f>IF(Table1[[#This Row],[Position 1]]=0,0,FIND("/",Table1[[#This Row],[Final Obj Name]],Table1[[#This Row],[Position 1]]+1))</f>
        <v>0</v>
      </c>
      <c r="AK225" t="str">
        <f>IF(LEFT(Table1[[#This Row],[Final Obj Name]],1)="/",LEFT(Table1[[#This Row],[Final Obj Name]],FIND("/",Table1[[#This Row],[Final Obj Name]],2)),"/0SAP/")</f>
        <v>/0SAP/</v>
      </c>
    </row>
    <row r="226">
      <c r="A226" t="str">
        <v>DDLS</v>
      </c>
      <c r="B226" t="str">
        <v>ZFLS_C_SALESORDER</v>
      </c>
      <c r="C226" t="str">
        <v>DDLS</v>
      </c>
      <c r="D226" t="str">
        <v>ZFLS_C_SALESORDER</v>
      </c>
      <c r="G226" t="str">
        <v>ALL</v>
      </c>
      <c r="L226" t="str">
        <v>CST_JTUGHLAQ</v>
      </c>
      <c r="M226">
        <v>45332</v>
      </c>
      <c r="N226">
        <v>0.25126157407407</v>
      </c>
      <c r="S226" t="str">
        <v>X</v>
      </c>
      <c r="W226" t="str">
        <v>P01K900060</v>
      </c>
      <c r="Y226">
        <f>IF(Table1[[#This Row],[OPERATION]]="NOTE","NOTE",Table1[[#This Row],[SUB_TYPE]])</f>
        <v>0</v>
      </c>
      <c r="Z226">
        <f>IF(Table1[[#This Row],[OPERATION]]="NOTE",NUMBERVALUE(LEFT(Table1[[#This Row],[MOD_NAME]],LEN(Table1[[#This Row],[MOD_NAME]])-4)),Table1[[#This Row],[SUB_NAME]])</f>
        <v>0</v>
      </c>
      <c r="AA226" t="str">
        <f>CONCAT(Table1[[#This Row],[Final Obj Type]],"|",Table1[[#This Row],[Final Obj Name]])</f>
        <v>0|0</v>
      </c>
      <c r="AB226" t="e">
        <f>VLOOKUP(Table1[[#This Row],[Final Obj Type]],Classification!B:E,3,FALSE)</f>
        <v>#N/A</v>
      </c>
      <c r="AC226" t="e">
        <f>VLOOKUP(Table1[[#This Row],[Final Obj Type]],Classification!B:E,4,FALSE)</f>
        <v>#N/A</v>
      </c>
      <c r="AD226" t="str">
        <f>IF(Table1[[#This Row],[Position 1]]=0,"/0SAP/",MID(Table1[[#This Row],[Final Obj Name]],Table1[[#This Row],[Position 1]],Table1[[#This Row],[Position 2]]-Table1[[#This Row],[Position 1]]+1))</f>
        <v>/0SAP/</v>
      </c>
      <c r="AE226" t="str">
        <f>VLOOKUP(Table1[[#This Row],[/* Object]],Namespace!A:J,10,FALSE)</f>
        <v>SAP AG</v>
      </c>
      <c r="AF226" t="str">
        <f>IF(VLOOKUP(Table1[[#This Row],[/* Object]],Namespace!A:J,4,FALSE)=0,"",VLOOKUP(Table1[[#This Row],[/* Object]],Namespace!A:J,4,FALSE))</f>
        <v>X</v>
      </c>
      <c r="AG226" t="str">
        <f>IF(VLOOKUP(Table1[[#This Row],[/* Object]],Namespace!A:J,5,FALSE)=0,"",VLOOKUP(Table1[[#This Row],[/* Object]],Namespace!A:J,5,FALSE))</f>
        <v>X</v>
      </c>
      <c r="AH226" t="str">
        <f>IF(VLOOKUP(Table1[[#This Row],[/* Object]],Namespace!A:J,6,FALSE)=0,"",VLOOKUP(Table1[[#This Row],[/* Object]],Namespace!A:J,6,FALSE))</f>
        <v/>
      </c>
      <c r="AI226">
        <f>IFERROR(FIND("/",Table1[[#This Row],[Final Obj Name]],1),0)</f>
        <v>0</v>
      </c>
      <c r="AJ226">
        <f>IF(Table1[[#This Row],[Position 1]]=0,0,FIND("/",Table1[[#This Row],[Final Obj Name]],Table1[[#This Row],[Position 1]]+1))</f>
        <v>0</v>
      </c>
      <c r="AK226" t="str">
        <f>IF(LEFT(Table1[[#This Row],[Final Obj Name]],1)="/",LEFT(Table1[[#This Row],[Final Obj Name]],FIND("/",Table1[[#This Row],[Final Obj Name]],2)),"/0SAP/")</f>
        <v>/0SAP/</v>
      </c>
    </row>
    <row r="227">
      <c r="A227" t="str">
        <v>DDLS</v>
      </c>
      <c r="B227" t="str">
        <v>ZFLS_I_SALESORDER</v>
      </c>
      <c r="C227" t="str">
        <v>DDLS</v>
      </c>
      <c r="D227" t="str">
        <v>ZFLS_I_SALESORDER</v>
      </c>
      <c r="G227" t="str">
        <v>ALL</v>
      </c>
      <c r="L227" t="str">
        <v>CST_JTUGHLAQ</v>
      </c>
      <c r="M227">
        <v>45332</v>
      </c>
      <c r="N227">
        <v>0.2634837962963</v>
      </c>
      <c r="S227" t="str">
        <v>X</v>
      </c>
      <c r="W227" t="str">
        <v>P01K900060</v>
      </c>
      <c r="Y227">
        <f>IF(Table1[[#This Row],[OPERATION]]="NOTE","NOTE",Table1[[#This Row],[SUB_TYPE]])</f>
        <v>0</v>
      </c>
      <c r="Z227">
        <f>IF(Table1[[#This Row],[OPERATION]]="NOTE",NUMBERVALUE(LEFT(Table1[[#This Row],[MOD_NAME]],LEN(Table1[[#This Row],[MOD_NAME]])-4)),Table1[[#This Row],[SUB_NAME]])</f>
        <v>0</v>
      </c>
      <c r="AA227" t="str">
        <f>CONCAT(Table1[[#This Row],[Final Obj Type]],"|",Table1[[#This Row],[Final Obj Name]])</f>
        <v>0|0</v>
      </c>
      <c r="AB227" t="e">
        <f>VLOOKUP(Table1[[#This Row],[Final Obj Type]],Classification!B:E,3,FALSE)</f>
        <v>#N/A</v>
      </c>
      <c r="AC227" t="e">
        <f>VLOOKUP(Table1[[#This Row],[Final Obj Type]],Classification!B:E,4,FALSE)</f>
        <v>#N/A</v>
      </c>
      <c r="AD227" t="str">
        <f>IF(Table1[[#This Row],[Position 1]]=0,"/0SAP/",MID(Table1[[#This Row],[Final Obj Name]],Table1[[#This Row],[Position 1]],Table1[[#This Row],[Position 2]]-Table1[[#This Row],[Position 1]]+1))</f>
        <v>/0SAP/</v>
      </c>
      <c r="AE227" t="str">
        <f>VLOOKUP(Table1[[#This Row],[/* Object]],Namespace!A:J,10,FALSE)</f>
        <v>SAP AG</v>
      </c>
      <c r="AF227" t="str">
        <f>IF(VLOOKUP(Table1[[#This Row],[/* Object]],Namespace!A:J,4,FALSE)=0,"",VLOOKUP(Table1[[#This Row],[/* Object]],Namespace!A:J,4,FALSE))</f>
        <v>X</v>
      </c>
      <c r="AG227" t="str">
        <f>IF(VLOOKUP(Table1[[#This Row],[/* Object]],Namespace!A:J,5,FALSE)=0,"",VLOOKUP(Table1[[#This Row],[/* Object]],Namespace!A:J,5,FALSE))</f>
        <v>X</v>
      </c>
      <c r="AH227" t="str">
        <f>IF(VLOOKUP(Table1[[#This Row],[/* Object]],Namespace!A:J,6,FALSE)=0,"",VLOOKUP(Table1[[#This Row],[/* Object]],Namespace!A:J,6,FALSE))</f>
        <v/>
      </c>
      <c r="AI227">
        <f>IFERROR(FIND("/",Table1[[#This Row],[Final Obj Name]],1),0)</f>
        <v>0</v>
      </c>
      <c r="AJ227">
        <f>IF(Table1[[#This Row],[Position 1]]=0,0,FIND("/",Table1[[#This Row],[Final Obj Name]],Table1[[#This Row],[Position 1]]+1))</f>
        <v>0</v>
      </c>
      <c r="AK227" t="str">
        <f>IF(LEFT(Table1[[#This Row],[Final Obj Name]],1)="/",LEFT(Table1[[#This Row],[Final Obj Name]],FIND("/",Table1[[#This Row],[Final Obj Name]],2)),"/0SAP/")</f>
        <v>/0SAP/</v>
      </c>
    </row>
    <row r="228">
      <c r="A228" t="str">
        <v>DDLS</v>
      </c>
      <c r="B228" t="str">
        <v>ZIC_PTP_IC_PO_SO</v>
      </c>
      <c r="C228" t="str">
        <v>DDLS</v>
      </c>
      <c r="D228" t="str">
        <v>ZIC_PTP_IC_PO_SO</v>
      </c>
      <c r="G228" t="str">
        <v>ALL</v>
      </c>
      <c r="L228" t="str">
        <v>DDIC_SPDD</v>
      </c>
      <c r="M228">
        <v>45337</v>
      </c>
      <c r="N228">
        <v>0.36678240740741</v>
      </c>
      <c r="S228" t="str">
        <v>X</v>
      </c>
      <c r="W228" t="str">
        <v>P01K900067</v>
      </c>
      <c r="Y228">
        <f>IF(Table1[[#This Row],[OPERATION]]="NOTE","NOTE",Table1[[#This Row],[SUB_TYPE]])</f>
        <v>0</v>
      </c>
      <c r="Z228">
        <f>IF(Table1[[#This Row],[OPERATION]]="NOTE",NUMBERVALUE(LEFT(Table1[[#This Row],[MOD_NAME]],LEN(Table1[[#This Row],[MOD_NAME]])-4)),Table1[[#This Row],[SUB_NAME]])</f>
        <v>0</v>
      </c>
      <c r="AA228" t="str">
        <f>CONCAT(Table1[[#This Row],[Final Obj Type]],"|",Table1[[#This Row],[Final Obj Name]])</f>
        <v>0|0</v>
      </c>
      <c r="AB228" t="e">
        <f>VLOOKUP(Table1[[#This Row],[Final Obj Type]],Classification!B:E,3,FALSE)</f>
        <v>#N/A</v>
      </c>
      <c r="AC228" t="e">
        <f>VLOOKUP(Table1[[#This Row],[Final Obj Type]],Classification!B:E,4,FALSE)</f>
        <v>#N/A</v>
      </c>
      <c r="AD228" t="str">
        <f>IF(Table1[[#This Row],[Position 1]]=0,"/0SAP/",MID(Table1[[#This Row],[Final Obj Name]],Table1[[#This Row],[Position 1]],Table1[[#This Row],[Position 2]]-Table1[[#This Row],[Position 1]]+1))</f>
        <v>/0SAP/</v>
      </c>
      <c r="AE228" t="str">
        <f>VLOOKUP(Table1[[#This Row],[/* Object]],Namespace!A:J,10,FALSE)</f>
        <v>SAP AG</v>
      </c>
      <c r="AF228" t="str">
        <f>IF(VLOOKUP(Table1[[#This Row],[/* Object]],Namespace!A:J,4,FALSE)=0,"",VLOOKUP(Table1[[#This Row],[/* Object]],Namespace!A:J,4,FALSE))</f>
        <v>X</v>
      </c>
      <c r="AG228" t="str">
        <f>IF(VLOOKUP(Table1[[#This Row],[/* Object]],Namespace!A:J,5,FALSE)=0,"",VLOOKUP(Table1[[#This Row],[/* Object]],Namespace!A:J,5,FALSE))</f>
        <v>X</v>
      </c>
      <c r="AH228" t="str">
        <f>IF(VLOOKUP(Table1[[#This Row],[/* Object]],Namespace!A:J,6,FALSE)=0,"",VLOOKUP(Table1[[#This Row],[/* Object]],Namespace!A:J,6,FALSE))</f>
        <v/>
      </c>
      <c r="AI228">
        <f>IFERROR(FIND("/",Table1[[#This Row],[Final Obj Name]],1),0)</f>
        <v>0</v>
      </c>
      <c r="AJ228">
        <f>IF(Table1[[#This Row],[Position 1]]=0,0,FIND("/",Table1[[#This Row],[Final Obj Name]],Table1[[#This Row],[Position 1]]+1))</f>
        <v>0</v>
      </c>
      <c r="AK228" t="str">
        <f>IF(LEFT(Table1[[#This Row],[Final Obj Name]],1)="/",LEFT(Table1[[#This Row],[Final Obj Name]],FIND("/",Table1[[#This Row],[Final Obj Name]],2)),"/0SAP/")</f>
        <v>/0SAP/</v>
      </c>
    </row>
    <row r="229">
      <c r="A229" t="str">
        <v>DDLS</v>
      </c>
      <c r="B229" t="str">
        <v>ZIC_PTP_IC_SO</v>
      </c>
      <c r="C229" t="str">
        <v>DDLS</v>
      </c>
      <c r="D229" t="str">
        <v>ZIC_PTP_IC_SO</v>
      </c>
      <c r="G229" t="str">
        <v>ALL</v>
      </c>
      <c r="L229" t="str">
        <v>DDIC_SPDD</v>
      </c>
      <c r="M229">
        <v>45337</v>
      </c>
      <c r="N229">
        <v>0.36792824074074</v>
      </c>
      <c r="S229" t="str">
        <v>X</v>
      </c>
      <c r="W229" t="str">
        <v>P01K900067</v>
      </c>
      <c r="Y229">
        <f>IF(Table1[[#This Row],[OPERATION]]="NOTE","NOTE",Table1[[#This Row],[SUB_TYPE]])</f>
        <v>0</v>
      </c>
      <c r="Z229">
        <f>IF(Table1[[#This Row],[OPERATION]]="NOTE",NUMBERVALUE(LEFT(Table1[[#This Row],[MOD_NAME]],LEN(Table1[[#This Row],[MOD_NAME]])-4)),Table1[[#This Row],[SUB_NAME]])</f>
        <v>0</v>
      </c>
      <c r="AA229" t="str">
        <f>CONCAT(Table1[[#This Row],[Final Obj Type]],"|",Table1[[#This Row],[Final Obj Name]])</f>
        <v>0|0</v>
      </c>
      <c r="AB229" t="e">
        <f>VLOOKUP(Table1[[#This Row],[Final Obj Type]],Classification!B:E,3,FALSE)</f>
        <v>#N/A</v>
      </c>
      <c r="AC229" t="e">
        <f>VLOOKUP(Table1[[#This Row],[Final Obj Type]],Classification!B:E,4,FALSE)</f>
        <v>#N/A</v>
      </c>
      <c r="AD229" t="str">
        <f>IF(Table1[[#This Row],[Position 1]]=0,"/0SAP/",MID(Table1[[#This Row],[Final Obj Name]],Table1[[#This Row],[Position 1]],Table1[[#This Row],[Position 2]]-Table1[[#This Row],[Position 1]]+1))</f>
        <v>/0SAP/</v>
      </c>
      <c r="AE229" t="str">
        <f>VLOOKUP(Table1[[#This Row],[/* Object]],Namespace!A:J,10,FALSE)</f>
        <v>SAP AG</v>
      </c>
      <c r="AF229" t="str">
        <f>IF(VLOOKUP(Table1[[#This Row],[/* Object]],Namespace!A:J,4,FALSE)=0,"",VLOOKUP(Table1[[#This Row],[/* Object]],Namespace!A:J,4,FALSE))</f>
        <v>X</v>
      </c>
      <c r="AG229" t="str">
        <f>IF(VLOOKUP(Table1[[#This Row],[/* Object]],Namespace!A:J,5,FALSE)=0,"",VLOOKUP(Table1[[#This Row],[/* Object]],Namespace!A:J,5,FALSE))</f>
        <v>X</v>
      </c>
      <c r="AH229" t="str">
        <f>IF(VLOOKUP(Table1[[#This Row],[/* Object]],Namespace!A:J,6,FALSE)=0,"",VLOOKUP(Table1[[#This Row],[/* Object]],Namespace!A:J,6,FALSE))</f>
        <v/>
      </c>
      <c r="AI229">
        <f>IFERROR(FIND("/",Table1[[#This Row],[Final Obj Name]],1),0)</f>
        <v>0</v>
      </c>
      <c r="AJ229">
        <f>IF(Table1[[#This Row],[Position 1]]=0,0,FIND("/",Table1[[#This Row],[Final Obj Name]],Table1[[#This Row],[Position 1]]+1))</f>
        <v>0</v>
      </c>
      <c r="AK229" t="str">
        <f>IF(LEFT(Table1[[#This Row],[Final Obj Name]],1)="/",LEFT(Table1[[#This Row],[Final Obj Name]],FIND("/",Table1[[#This Row],[Final Obj Name]],2)),"/0SAP/")</f>
        <v>/0SAP/</v>
      </c>
    </row>
    <row r="230">
      <c r="A230" t="str">
        <v>DDLS</v>
      </c>
      <c r="B230" t="str">
        <v>ZI_CCR_123</v>
      </c>
      <c r="C230" t="str">
        <v>DDLS</v>
      </c>
      <c r="D230" t="str">
        <v>ZI_CCR_123</v>
      </c>
      <c r="G230" t="str">
        <v>ALL</v>
      </c>
      <c r="L230">
        <v>50118299</v>
      </c>
      <c r="M230">
        <v>45712</v>
      </c>
      <c r="N230">
        <v>0.68290509259259</v>
      </c>
      <c r="S230" t="str">
        <v>X</v>
      </c>
      <c r="W230" t="str">
        <v>S01K923736</v>
      </c>
      <c r="Y230">
        <f>IF(Table1[[#This Row],[OPERATION]]="NOTE","NOTE",Table1[[#This Row],[SUB_TYPE]])</f>
        <v>0</v>
      </c>
      <c r="Z230">
        <f>IF(Table1[[#This Row],[OPERATION]]="NOTE",NUMBERVALUE(LEFT(Table1[[#This Row],[MOD_NAME]],LEN(Table1[[#This Row],[MOD_NAME]])-4)),Table1[[#This Row],[SUB_NAME]])</f>
        <v>0</v>
      </c>
      <c r="AA230" t="str">
        <f>CONCAT(Table1[[#This Row],[Final Obj Type]],"|",Table1[[#This Row],[Final Obj Name]])</f>
        <v>0|0</v>
      </c>
      <c r="AB230" t="e">
        <f>VLOOKUP(Table1[[#This Row],[Final Obj Type]],Classification!B:E,3,FALSE)</f>
        <v>#N/A</v>
      </c>
      <c r="AC230" t="e">
        <f>VLOOKUP(Table1[[#This Row],[Final Obj Type]],Classification!B:E,4,FALSE)</f>
        <v>#N/A</v>
      </c>
      <c r="AD230" t="str">
        <f>IF(Table1[[#This Row],[Position 1]]=0,"/0SAP/",MID(Table1[[#This Row],[Final Obj Name]],Table1[[#This Row],[Position 1]],Table1[[#This Row],[Position 2]]-Table1[[#This Row],[Position 1]]+1))</f>
        <v>/0SAP/</v>
      </c>
      <c r="AE230" t="str">
        <f>VLOOKUP(Table1[[#This Row],[/* Object]],Namespace!A:J,10,FALSE)</f>
        <v>SAP AG</v>
      </c>
      <c r="AF230" t="str">
        <f>IF(VLOOKUP(Table1[[#This Row],[/* Object]],Namespace!A:J,4,FALSE)=0,"",VLOOKUP(Table1[[#This Row],[/* Object]],Namespace!A:J,4,FALSE))</f>
        <v>X</v>
      </c>
      <c r="AG230" t="str">
        <f>IF(VLOOKUP(Table1[[#This Row],[/* Object]],Namespace!A:J,5,FALSE)=0,"",VLOOKUP(Table1[[#This Row],[/* Object]],Namespace!A:J,5,FALSE))</f>
        <v>X</v>
      </c>
      <c r="AH230" t="str">
        <f>IF(VLOOKUP(Table1[[#This Row],[/* Object]],Namespace!A:J,6,FALSE)=0,"",VLOOKUP(Table1[[#This Row],[/* Object]],Namespace!A:J,6,FALSE))</f>
        <v/>
      </c>
      <c r="AI230">
        <f>IFERROR(FIND("/",Table1[[#This Row],[Final Obj Name]],1),0)</f>
        <v>0</v>
      </c>
      <c r="AJ230">
        <f>IF(Table1[[#This Row],[Position 1]]=0,0,FIND("/",Table1[[#This Row],[Final Obj Name]],Table1[[#This Row],[Position 1]]+1))</f>
        <v>0</v>
      </c>
      <c r="AK230" t="str">
        <f>IF(LEFT(Table1[[#This Row],[Final Obj Name]],1)="/",LEFT(Table1[[#This Row],[Final Obj Name]],FIND("/",Table1[[#This Row],[Final Obj Name]],2)),"/0SAP/")</f>
        <v>/0SAP/</v>
      </c>
    </row>
    <row r="231">
      <c r="A231" t="str">
        <v>DDLS</v>
      </c>
      <c r="B231" t="str">
        <v>ZI_OTC_OPEN_ITEM1</v>
      </c>
      <c r="C231" t="str">
        <v>DDLS</v>
      </c>
      <c r="D231" t="str">
        <v>ZI_OTC_OPEN_ITEM1</v>
      </c>
      <c r="G231" t="str">
        <v>ALL</v>
      </c>
      <c r="L231">
        <v>50095444</v>
      </c>
      <c r="M231">
        <v>44334</v>
      </c>
      <c r="N231">
        <v>0.37872685185185</v>
      </c>
      <c r="S231" t="str">
        <v>X</v>
      </c>
      <c r="W231" t="str">
        <v>S01K911904</v>
      </c>
      <c r="Y231">
        <f>IF(Table1[[#This Row],[OPERATION]]="NOTE","NOTE",Table1[[#This Row],[SUB_TYPE]])</f>
        <v>0</v>
      </c>
      <c r="Z231">
        <f>IF(Table1[[#This Row],[OPERATION]]="NOTE",NUMBERVALUE(LEFT(Table1[[#This Row],[MOD_NAME]],LEN(Table1[[#This Row],[MOD_NAME]])-4)),Table1[[#This Row],[SUB_NAME]])</f>
        <v>0</v>
      </c>
      <c r="AA231" t="str">
        <f>CONCAT(Table1[[#This Row],[Final Obj Type]],"|",Table1[[#This Row],[Final Obj Name]])</f>
        <v>0|0</v>
      </c>
      <c r="AB231" t="e">
        <f>VLOOKUP(Table1[[#This Row],[Final Obj Type]],Classification!B:E,3,FALSE)</f>
        <v>#N/A</v>
      </c>
      <c r="AC231" t="e">
        <f>VLOOKUP(Table1[[#This Row],[Final Obj Type]],Classification!B:E,4,FALSE)</f>
        <v>#N/A</v>
      </c>
      <c r="AD231" t="str">
        <f>IF(Table1[[#This Row],[Position 1]]=0,"/0SAP/",MID(Table1[[#This Row],[Final Obj Name]],Table1[[#This Row],[Position 1]],Table1[[#This Row],[Position 2]]-Table1[[#This Row],[Position 1]]+1))</f>
        <v>/0SAP/</v>
      </c>
      <c r="AE231" t="str">
        <f>VLOOKUP(Table1[[#This Row],[/* Object]],Namespace!A:J,10,FALSE)</f>
        <v>SAP AG</v>
      </c>
      <c r="AF231" t="str">
        <f>IF(VLOOKUP(Table1[[#This Row],[/* Object]],Namespace!A:J,4,FALSE)=0,"",VLOOKUP(Table1[[#This Row],[/* Object]],Namespace!A:J,4,FALSE))</f>
        <v>X</v>
      </c>
      <c r="AG231" t="str">
        <f>IF(VLOOKUP(Table1[[#This Row],[/* Object]],Namespace!A:J,5,FALSE)=0,"",VLOOKUP(Table1[[#This Row],[/* Object]],Namespace!A:J,5,FALSE))</f>
        <v>X</v>
      </c>
      <c r="AH231" t="str">
        <f>IF(VLOOKUP(Table1[[#This Row],[/* Object]],Namespace!A:J,6,FALSE)=0,"",VLOOKUP(Table1[[#This Row],[/* Object]],Namespace!A:J,6,FALSE))</f>
        <v/>
      </c>
      <c r="AI231">
        <f>IFERROR(FIND("/",Table1[[#This Row],[Final Obj Name]],1),0)</f>
        <v>0</v>
      </c>
      <c r="AJ231">
        <f>IF(Table1[[#This Row],[Position 1]]=0,0,FIND("/",Table1[[#This Row],[Final Obj Name]],Table1[[#This Row],[Position 1]]+1))</f>
        <v>0</v>
      </c>
      <c r="AK231" t="str">
        <f>IF(LEFT(Table1[[#This Row],[Final Obj Name]],1)="/",LEFT(Table1[[#This Row],[Final Obj Name]],FIND("/",Table1[[#This Row],[Final Obj Name]],2)),"/0SAP/")</f>
        <v>/0SAP/</v>
      </c>
    </row>
    <row r="232">
      <c r="A232" t="str">
        <v>DDLS</v>
      </c>
      <c r="B232" t="str">
        <v>ZI_OTC_OPEN_ITEM2</v>
      </c>
      <c r="C232" t="str">
        <v>DDLS</v>
      </c>
      <c r="D232" t="str">
        <v>ZI_OTC_OPEN_ITEM2</v>
      </c>
      <c r="G232" t="str">
        <v>ALL</v>
      </c>
      <c r="L232">
        <v>50095444</v>
      </c>
      <c r="M232">
        <v>44340</v>
      </c>
      <c r="N232">
        <v>0.42826388888889</v>
      </c>
      <c r="S232" t="str">
        <v>X</v>
      </c>
      <c r="W232" t="str">
        <v>S01K912056</v>
      </c>
      <c r="Y232">
        <f>IF(Table1[[#This Row],[OPERATION]]="NOTE","NOTE",Table1[[#This Row],[SUB_TYPE]])</f>
        <v>0</v>
      </c>
      <c r="Z232">
        <f>IF(Table1[[#This Row],[OPERATION]]="NOTE",NUMBERVALUE(LEFT(Table1[[#This Row],[MOD_NAME]],LEN(Table1[[#This Row],[MOD_NAME]])-4)),Table1[[#This Row],[SUB_NAME]])</f>
        <v>0</v>
      </c>
      <c r="AA232" t="str">
        <f>CONCAT(Table1[[#This Row],[Final Obj Type]],"|",Table1[[#This Row],[Final Obj Name]])</f>
        <v>0|0</v>
      </c>
      <c r="AB232" t="e">
        <f>VLOOKUP(Table1[[#This Row],[Final Obj Type]],Classification!B:E,3,FALSE)</f>
        <v>#N/A</v>
      </c>
      <c r="AC232" t="e">
        <f>VLOOKUP(Table1[[#This Row],[Final Obj Type]],Classification!B:E,4,FALSE)</f>
        <v>#N/A</v>
      </c>
      <c r="AD232" t="str">
        <f>IF(Table1[[#This Row],[Position 1]]=0,"/0SAP/",MID(Table1[[#This Row],[Final Obj Name]],Table1[[#This Row],[Position 1]],Table1[[#This Row],[Position 2]]-Table1[[#This Row],[Position 1]]+1))</f>
        <v>/0SAP/</v>
      </c>
      <c r="AE232" t="str">
        <f>VLOOKUP(Table1[[#This Row],[/* Object]],Namespace!A:J,10,FALSE)</f>
        <v>SAP AG</v>
      </c>
      <c r="AF232" t="str">
        <f>IF(VLOOKUP(Table1[[#This Row],[/* Object]],Namespace!A:J,4,FALSE)=0,"",VLOOKUP(Table1[[#This Row],[/* Object]],Namespace!A:J,4,FALSE))</f>
        <v>X</v>
      </c>
      <c r="AG232" t="str">
        <f>IF(VLOOKUP(Table1[[#This Row],[/* Object]],Namespace!A:J,5,FALSE)=0,"",VLOOKUP(Table1[[#This Row],[/* Object]],Namespace!A:J,5,FALSE))</f>
        <v>X</v>
      </c>
      <c r="AH232" t="str">
        <f>IF(VLOOKUP(Table1[[#This Row],[/* Object]],Namespace!A:J,6,FALSE)=0,"",VLOOKUP(Table1[[#This Row],[/* Object]],Namespace!A:J,6,FALSE))</f>
        <v/>
      </c>
      <c r="AI232">
        <f>IFERROR(FIND("/",Table1[[#This Row],[Final Obj Name]],1),0)</f>
        <v>0</v>
      </c>
      <c r="AJ232">
        <f>IF(Table1[[#This Row],[Position 1]]=0,0,FIND("/",Table1[[#This Row],[Final Obj Name]],Table1[[#This Row],[Position 1]]+1))</f>
        <v>0</v>
      </c>
      <c r="AK232" t="str">
        <f>IF(LEFT(Table1[[#This Row],[Final Obj Name]],1)="/",LEFT(Table1[[#This Row],[Final Obj Name]],FIND("/",Table1[[#This Row],[Final Obj Name]],2)),"/0SAP/")</f>
        <v>/0SAP/</v>
      </c>
    </row>
    <row r="233">
      <c r="A233" t="str">
        <v>DDLS</v>
      </c>
      <c r="B233" t="str">
        <v>ZOTC_CDS_A924</v>
      </c>
      <c r="C233" t="str">
        <v>DDLS</v>
      </c>
      <c r="D233" t="str">
        <v>ZOTC_CDS_A924</v>
      </c>
      <c r="G233" t="str">
        <v>ALL</v>
      </c>
      <c r="L233" t="str">
        <v>CST_BSOLAIMA</v>
      </c>
      <c r="M233">
        <v>45203</v>
      </c>
      <c r="N233">
        <v>0.43519675925926</v>
      </c>
      <c r="S233" t="str">
        <v>X</v>
      </c>
      <c r="W233" t="str">
        <v>S01K918454</v>
      </c>
      <c r="Y233">
        <f>IF(Table1[[#This Row],[OPERATION]]="NOTE","NOTE",Table1[[#This Row],[SUB_TYPE]])</f>
        <v>0</v>
      </c>
      <c r="Z233">
        <f>IF(Table1[[#This Row],[OPERATION]]="NOTE",NUMBERVALUE(LEFT(Table1[[#This Row],[MOD_NAME]],LEN(Table1[[#This Row],[MOD_NAME]])-4)),Table1[[#This Row],[SUB_NAME]])</f>
        <v>0</v>
      </c>
      <c r="AA233" t="str">
        <f>CONCAT(Table1[[#This Row],[Final Obj Type]],"|",Table1[[#This Row],[Final Obj Name]])</f>
        <v>0|0</v>
      </c>
      <c r="AB233" t="e">
        <f>VLOOKUP(Table1[[#This Row],[Final Obj Type]],Classification!B:E,3,FALSE)</f>
        <v>#N/A</v>
      </c>
      <c r="AC233" t="e">
        <f>VLOOKUP(Table1[[#This Row],[Final Obj Type]],Classification!B:E,4,FALSE)</f>
        <v>#N/A</v>
      </c>
      <c r="AD233" t="str">
        <f>IF(Table1[[#This Row],[Position 1]]=0,"/0SAP/",MID(Table1[[#This Row],[Final Obj Name]],Table1[[#This Row],[Position 1]],Table1[[#This Row],[Position 2]]-Table1[[#This Row],[Position 1]]+1))</f>
        <v>/0SAP/</v>
      </c>
      <c r="AE233" t="str">
        <f>VLOOKUP(Table1[[#This Row],[/* Object]],Namespace!A:J,10,FALSE)</f>
        <v>SAP AG</v>
      </c>
      <c r="AF233" t="str">
        <f>IF(VLOOKUP(Table1[[#This Row],[/* Object]],Namespace!A:J,4,FALSE)=0,"",VLOOKUP(Table1[[#This Row],[/* Object]],Namespace!A:J,4,FALSE))</f>
        <v>X</v>
      </c>
      <c r="AG233" t="str">
        <f>IF(VLOOKUP(Table1[[#This Row],[/* Object]],Namespace!A:J,5,FALSE)=0,"",VLOOKUP(Table1[[#This Row],[/* Object]],Namespace!A:J,5,FALSE))</f>
        <v>X</v>
      </c>
      <c r="AH233" t="str">
        <f>IF(VLOOKUP(Table1[[#This Row],[/* Object]],Namespace!A:J,6,FALSE)=0,"",VLOOKUP(Table1[[#This Row],[/* Object]],Namespace!A:J,6,FALSE))</f>
        <v/>
      </c>
      <c r="AI233">
        <f>IFERROR(FIND("/",Table1[[#This Row],[Final Obj Name]],1),0)</f>
        <v>0</v>
      </c>
      <c r="AJ233">
        <f>IF(Table1[[#This Row],[Position 1]]=0,0,FIND("/",Table1[[#This Row],[Final Obj Name]],Table1[[#This Row],[Position 1]]+1))</f>
        <v>0</v>
      </c>
      <c r="AK233" t="str">
        <f>IF(LEFT(Table1[[#This Row],[Final Obj Name]],1)="/",LEFT(Table1[[#This Row],[Final Obj Name]],FIND("/",Table1[[#This Row],[Final Obj Name]],2)),"/0SAP/")</f>
        <v>/0SAP/</v>
      </c>
    </row>
    <row r="234">
      <c r="A234" t="str">
        <v>DDLS</v>
      </c>
      <c r="B234" t="str">
        <v>ZOTC_CDS_MAT_DETAIL</v>
      </c>
      <c r="C234" t="str">
        <v>DDLS</v>
      </c>
      <c r="D234" t="str">
        <v>ZOTC_CDS_MAT_DETAIL</v>
      </c>
      <c r="G234" t="str">
        <v>ALL</v>
      </c>
      <c r="L234" t="str">
        <v>SSUDARSHAN</v>
      </c>
      <c r="M234">
        <v>45748</v>
      </c>
      <c r="N234">
        <v>0.3684375</v>
      </c>
      <c r="S234" t="str">
        <v>X</v>
      </c>
      <c r="W234" t="str">
        <v>S01K924335</v>
      </c>
      <c r="Y234">
        <f>IF(Table1[[#This Row],[OPERATION]]="NOTE","NOTE",Table1[[#This Row],[SUB_TYPE]])</f>
        <v>0</v>
      </c>
      <c r="Z234">
        <f>IF(Table1[[#This Row],[OPERATION]]="NOTE",NUMBERVALUE(LEFT(Table1[[#This Row],[MOD_NAME]],LEN(Table1[[#This Row],[MOD_NAME]])-4)),Table1[[#This Row],[SUB_NAME]])</f>
        <v>0</v>
      </c>
      <c r="AA234" t="str">
        <f>CONCAT(Table1[[#This Row],[Final Obj Type]],"|",Table1[[#This Row],[Final Obj Name]])</f>
        <v>0|0</v>
      </c>
      <c r="AB234" t="e">
        <f>VLOOKUP(Table1[[#This Row],[Final Obj Type]],Classification!B:E,3,FALSE)</f>
        <v>#N/A</v>
      </c>
      <c r="AC234" t="e">
        <f>VLOOKUP(Table1[[#This Row],[Final Obj Type]],Classification!B:E,4,FALSE)</f>
        <v>#N/A</v>
      </c>
      <c r="AD234" t="str">
        <f>IF(Table1[[#This Row],[Position 1]]=0,"/0SAP/",MID(Table1[[#This Row],[Final Obj Name]],Table1[[#This Row],[Position 1]],Table1[[#This Row],[Position 2]]-Table1[[#This Row],[Position 1]]+1))</f>
        <v>/0SAP/</v>
      </c>
      <c r="AE234" t="str">
        <f>VLOOKUP(Table1[[#This Row],[/* Object]],Namespace!A:J,10,FALSE)</f>
        <v>SAP AG</v>
      </c>
      <c r="AF234" t="str">
        <f>IF(VLOOKUP(Table1[[#This Row],[/* Object]],Namespace!A:J,4,FALSE)=0,"",VLOOKUP(Table1[[#This Row],[/* Object]],Namespace!A:J,4,FALSE))</f>
        <v>X</v>
      </c>
      <c r="AG234" t="str">
        <f>IF(VLOOKUP(Table1[[#This Row],[/* Object]],Namespace!A:J,5,FALSE)=0,"",VLOOKUP(Table1[[#This Row],[/* Object]],Namespace!A:J,5,FALSE))</f>
        <v>X</v>
      </c>
      <c r="AH234" t="str">
        <f>IF(VLOOKUP(Table1[[#This Row],[/* Object]],Namespace!A:J,6,FALSE)=0,"",VLOOKUP(Table1[[#This Row],[/* Object]],Namespace!A:J,6,FALSE))</f>
        <v/>
      </c>
      <c r="AI234">
        <f>IFERROR(FIND("/",Table1[[#This Row],[Final Obj Name]],1),0)</f>
        <v>0</v>
      </c>
      <c r="AJ234">
        <f>IF(Table1[[#This Row],[Position 1]]=0,0,FIND("/",Table1[[#This Row],[Final Obj Name]],Table1[[#This Row],[Position 1]]+1))</f>
        <v>0</v>
      </c>
      <c r="AK234" t="str">
        <f>IF(LEFT(Table1[[#This Row],[Final Obj Name]],1)="/",LEFT(Table1[[#This Row],[Final Obj Name]],FIND("/",Table1[[#This Row],[Final Obj Name]],2)),"/0SAP/")</f>
        <v>/0SAP/</v>
      </c>
    </row>
    <row r="235">
      <c r="A235" t="str">
        <v>DDLS</v>
      </c>
      <c r="B235" t="str">
        <v>ZOTC_OPEN_SO_DELIVERY</v>
      </c>
      <c r="C235" t="str">
        <v>DDLS</v>
      </c>
      <c r="D235" t="str">
        <v>ZOTC_OPEN_SO_DELIVERY</v>
      </c>
      <c r="G235" t="str">
        <v>ALL</v>
      </c>
      <c r="L235" t="str">
        <v>CST_CHINMAY</v>
      </c>
      <c r="M235">
        <v>46002</v>
      </c>
      <c r="N235">
        <v>0.75444444444444</v>
      </c>
      <c r="S235" t="str">
        <v>X</v>
      </c>
      <c r="W235" t="str">
        <v>S01K927283</v>
      </c>
      <c r="Y235">
        <f>IF(Table1[[#This Row],[OPERATION]]="NOTE","NOTE",Table1[[#This Row],[SUB_TYPE]])</f>
        <v>0</v>
      </c>
      <c r="Z235">
        <f>IF(Table1[[#This Row],[OPERATION]]="NOTE",NUMBERVALUE(LEFT(Table1[[#This Row],[MOD_NAME]],LEN(Table1[[#This Row],[MOD_NAME]])-4)),Table1[[#This Row],[SUB_NAME]])</f>
        <v>0</v>
      </c>
      <c r="AA235" t="str">
        <f>CONCAT(Table1[[#This Row],[Final Obj Type]],"|",Table1[[#This Row],[Final Obj Name]])</f>
        <v>0|0</v>
      </c>
      <c r="AB235" t="e">
        <f>VLOOKUP(Table1[[#This Row],[Final Obj Type]],Classification!B:E,3,FALSE)</f>
        <v>#N/A</v>
      </c>
      <c r="AC235" t="e">
        <f>VLOOKUP(Table1[[#This Row],[Final Obj Type]],Classification!B:E,4,FALSE)</f>
        <v>#N/A</v>
      </c>
      <c r="AD235" t="str">
        <f>IF(Table1[[#This Row],[Position 1]]=0,"/0SAP/",MID(Table1[[#This Row],[Final Obj Name]],Table1[[#This Row],[Position 1]],Table1[[#This Row],[Position 2]]-Table1[[#This Row],[Position 1]]+1))</f>
        <v>/0SAP/</v>
      </c>
      <c r="AE235" t="str">
        <f>VLOOKUP(Table1[[#This Row],[/* Object]],Namespace!A:J,10,FALSE)</f>
        <v>SAP AG</v>
      </c>
      <c r="AF235" t="str">
        <f>IF(VLOOKUP(Table1[[#This Row],[/* Object]],Namespace!A:J,4,FALSE)=0,"",VLOOKUP(Table1[[#This Row],[/* Object]],Namespace!A:J,4,FALSE))</f>
        <v>X</v>
      </c>
      <c r="AG235" t="str">
        <f>IF(VLOOKUP(Table1[[#This Row],[/* Object]],Namespace!A:J,5,FALSE)=0,"",VLOOKUP(Table1[[#This Row],[/* Object]],Namespace!A:J,5,FALSE))</f>
        <v>X</v>
      </c>
      <c r="AH235" t="str">
        <f>IF(VLOOKUP(Table1[[#This Row],[/* Object]],Namespace!A:J,6,FALSE)=0,"",VLOOKUP(Table1[[#This Row],[/* Object]],Namespace!A:J,6,FALSE))</f>
        <v/>
      </c>
      <c r="AI235">
        <f>IFERROR(FIND("/",Table1[[#This Row],[Final Obj Name]],1),0)</f>
        <v>0</v>
      </c>
      <c r="AJ235">
        <f>IF(Table1[[#This Row],[Position 1]]=0,0,FIND("/",Table1[[#This Row],[Final Obj Name]],Table1[[#This Row],[Position 1]]+1))</f>
        <v>0</v>
      </c>
      <c r="AK235" t="str">
        <f>IF(LEFT(Table1[[#This Row],[Final Obj Name]],1)="/",LEFT(Table1[[#This Row],[Final Obj Name]],FIND("/",Table1[[#This Row],[Final Obj Name]],2)),"/0SAP/")</f>
        <v>/0SAP/</v>
      </c>
    </row>
    <row r="236">
      <c r="A236" t="str">
        <v>DDLS</v>
      </c>
      <c r="B236" t="str">
        <v>ZOTC_SALES_DATA_DC_IC</v>
      </c>
      <c r="C236" t="str">
        <v>DDLS</v>
      </c>
      <c r="D236" t="str">
        <v>ZOTC_SALES_DATA_DC_IC</v>
      </c>
      <c r="G236" t="str">
        <v>ALL</v>
      </c>
      <c r="L236" t="str">
        <v>CST_CHINMAY</v>
      </c>
      <c r="M236">
        <v>45861</v>
      </c>
      <c r="N236">
        <v>0.70145833333333</v>
      </c>
      <c r="S236" t="str">
        <v>X</v>
      </c>
      <c r="W236" t="str">
        <v>S01K925239</v>
      </c>
      <c r="Y236">
        <f>IF(Table1[[#This Row],[OPERATION]]="NOTE","NOTE",Table1[[#This Row],[SUB_TYPE]])</f>
        <v>0</v>
      </c>
      <c r="Z236">
        <f>IF(Table1[[#This Row],[OPERATION]]="NOTE",NUMBERVALUE(LEFT(Table1[[#This Row],[MOD_NAME]],LEN(Table1[[#This Row],[MOD_NAME]])-4)),Table1[[#This Row],[SUB_NAME]])</f>
        <v>0</v>
      </c>
      <c r="AA236" t="str">
        <f>CONCAT(Table1[[#This Row],[Final Obj Type]],"|",Table1[[#This Row],[Final Obj Name]])</f>
        <v>0|0</v>
      </c>
      <c r="AB236" t="e">
        <f>VLOOKUP(Table1[[#This Row],[Final Obj Type]],Classification!B:E,3,FALSE)</f>
        <v>#N/A</v>
      </c>
      <c r="AC236" t="e">
        <f>VLOOKUP(Table1[[#This Row],[Final Obj Type]],Classification!B:E,4,FALSE)</f>
        <v>#N/A</v>
      </c>
      <c r="AD236" t="str">
        <f>IF(Table1[[#This Row],[Position 1]]=0,"/0SAP/",MID(Table1[[#This Row],[Final Obj Name]],Table1[[#This Row],[Position 1]],Table1[[#This Row],[Position 2]]-Table1[[#This Row],[Position 1]]+1))</f>
        <v>/0SAP/</v>
      </c>
      <c r="AE236" t="str">
        <f>VLOOKUP(Table1[[#This Row],[/* Object]],Namespace!A:J,10,FALSE)</f>
        <v>SAP AG</v>
      </c>
      <c r="AF236" t="str">
        <f>IF(VLOOKUP(Table1[[#This Row],[/* Object]],Namespace!A:J,4,FALSE)=0,"",VLOOKUP(Table1[[#This Row],[/* Object]],Namespace!A:J,4,FALSE))</f>
        <v>X</v>
      </c>
      <c r="AG236" t="str">
        <f>IF(VLOOKUP(Table1[[#This Row],[/* Object]],Namespace!A:J,5,FALSE)=0,"",VLOOKUP(Table1[[#This Row],[/* Object]],Namespace!A:J,5,FALSE))</f>
        <v>X</v>
      </c>
      <c r="AH236" t="str">
        <f>IF(VLOOKUP(Table1[[#This Row],[/* Object]],Namespace!A:J,6,FALSE)=0,"",VLOOKUP(Table1[[#This Row],[/* Object]],Namespace!A:J,6,FALSE))</f>
        <v/>
      </c>
      <c r="AI236">
        <f>IFERROR(FIND("/",Table1[[#This Row],[Final Obj Name]],1),0)</f>
        <v>0</v>
      </c>
      <c r="AJ236">
        <f>IF(Table1[[#This Row],[Position 1]]=0,0,FIND("/",Table1[[#This Row],[Final Obj Name]],Table1[[#This Row],[Position 1]]+1))</f>
        <v>0</v>
      </c>
      <c r="AK236" t="str">
        <f>IF(LEFT(Table1[[#This Row],[Final Obj Name]],1)="/",LEFT(Table1[[#This Row],[Final Obj Name]],FIND("/",Table1[[#This Row],[Final Obj Name]],2)),"/0SAP/")</f>
        <v>/0SAP/</v>
      </c>
    </row>
    <row r="237">
      <c r="A237" t="str">
        <v>DDLS</v>
      </c>
      <c r="B237" t="str">
        <v>ZOTC_SALES_DATA_IC</v>
      </c>
      <c r="C237" t="str">
        <v>DDLS</v>
      </c>
      <c r="D237" t="str">
        <v>ZOTC_SALES_DATA_IC</v>
      </c>
      <c r="G237" t="str">
        <v>ALL</v>
      </c>
      <c r="L237" t="str">
        <v>CST_CHINMAY</v>
      </c>
      <c r="M237">
        <v>45861</v>
      </c>
      <c r="N237">
        <v>0.70521990740741</v>
      </c>
      <c r="S237" t="str">
        <v>X</v>
      </c>
      <c r="W237" t="str">
        <v>S01K925239</v>
      </c>
      <c r="Y237">
        <f>IF(Table1[[#This Row],[OPERATION]]="NOTE","NOTE",Table1[[#This Row],[SUB_TYPE]])</f>
        <v>0</v>
      </c>
      <c r="Z237">
        <f>IF(Table1[[#This Row],[OPERATION]]="NOTE",NUMBERVALUE(LEFT(Table1[[#This Row],[MOD_NAME]],LEN(Table1[[#This Row],[MOD_NAME]])-4)),Table1[[#This Row],[SUB_NAME]])</f>
        <v>0</v>
      </c>
      <c r="AA237" t="str">
        <f>CONCAT(Table1[[#This Row],[Final Obj Type]],"|",Table1[[#This Row],[Final Obj Name]])</f>
        <v>0|0</v>
      </c>
      <c r="AB237" t="e">
        <f>VLOOKUP(Table1[[#This Row],[Final Obj Type]],Classification!B:E,3,FALSE)</f>
        <v>#N/A</v>
      </c>
      <c r="AC237" t="e">
        <f>VLOOKUP(Table1[[#This Row],[Final Obj Type]],Classification!B:E,4,FALSE)</f>
        <v>#N/A</v>
      </c>
      <c r="AD237" t="str">
        <f>IF(Table1[[#This Row],[Position 1]]=0,"/0SAP/",MID(Table1[[#This Row],[Final Obj Name]],Table1[[#This Row],[Position 1]],Table1[[#This Row],[Position 2]]-Table1[[#This Row],[Position 1]]+1))</f>
        <v>/0SAP/</v>
      </c>
      <c r="AE237" t="str">
        <f>VLOOKUP(Table1[[#This Row],[/* Object]],Namespace!A:J,10,FALSE)</f>
        <v>SAP AG</v>
      </c>
      <c r="AF237" t="str">
        <f>IF(VLOOKUP(Table1[[#This Row],[/* Object]],Namespace!A:J,4,FALSE)=0,"",VLOOKUP(Table1[[#This Row],[/* Object]],Namespace!A:J,4,FALSE))</f>
        <v>X</v>
      </c>
      <c r="AG237" t="str">
        <f>IF(VLOOKUP(Table1[[#This Row],[/* Object]],Namespace!A:J,5,FALSE)=0,"",VLOOKUP(Table1[[#This Row],[/* Object]],Namespace!A:J,5,FALSE))</f>
        <v>X</v>
      </c>
      <c r="AH237" t="str">
        <f>IF(VLOOKUP(Table1[[#This Row],[/* Object]],Namespace!A:J,6,FALSE)=0,"",VLOOKUP(Table1[[#This Row],[/* Object]],Namespace!A:J,6,FALSE))</f>
        <v/>
      </c>
      <c r="AI237">
        <f>IFERROR(FIND("/",Table1[[#This Row],[Final Obj Name]],1),0)</f>
        <v>0</v>
      </c>
      <c r="AJ237">
        <f>IF(Table1[[#This Row],[Position 1]]=0,0,FIND("/",Table1[[#This Row],[Final Obj Name]],Table1[[#This Row],[Position 1]]+1))</f>
        <v>0</v>
      </c>
      <c r="AK237" t="str">
        <f>IF(LEFT(Table1[[#This Row],[Final Obj Name]],1)="/",LEFT(Table1[[#This Row],[Final Obj Name]],FIND("/",Table1[[#This Row],[Final Obj Name]],2)),"/0SAP/")</f>
        <v>/0SAP/</v>
      </c>
    </row>
    <row r="238">
      <c r="A238" t="str">
        <v>DDLS</v>
      </c>
      <c r="B238" t="str">
        <v>ZOTC_SALES_DC_IC_CALC</v>
      </c>
      <c r="C238" t="str">
        <v>DDLS</v>
      </c>
      <c r="D238" t="str">
        <v>ZOTC_SALES_DC_IC_CALC</v>
      </c>
      <c r="G238" t="str">
        <v>ALL</v>
      </c>
      <c r="L238" t="str">
        <v>CST_CHINMAY</v>
      </c>
      <c r="M238">
        <v>45849</v>
      </c>
      <c r="N238">
        <v>0.47898148148148</v>
      </c>
      <c r="S238" t="str">
        <v>X</v>
      </c>
      <c r="W238" t="str">
        <v>S01K925239</v>
      </c>
      <c r="Y238">
        <f>IF(Table1[[#This Row],[OPERATION]]="NOTE","NOTE",Table1[[#This Row],[SUB_TYPE]])</f>
        <v>0</v>
      </c>
      <c r="Z238">
        <f>IF(Table1[[#This Row],[OPERATION]]="NOTE",NUMBERVALUE(LEFT(Table1[[#This Row],[MOD_NAME]],LEN(Table1[[#This Row],[MOD_NAME]])-4)),Table1[[#This Row],[SUB_NAME]])</f>
        <v>0</v>
      </c>
      <c r="AA238" t="str">
        <f>CONCAT(Table1[[#This Row],[Final Obj Type]],"|",Table1[[#This Row],[Final Obj Name]])</f>
        <v>0|0</v>
      </c>
      <c r="AB238" t="e">
        <f>VLOOKUP(Table1[[#This Row],[Final Obj Type]],Classification!B:E,3,FALSE)</f>
        <v>#N/A</v>
      </c>
      <c r="AC238" t="e">
        <f>VLOOKUP(Table1[[#This Row],[Final Obj Type]],Classification!B:E,4,FALSE)</f>
        <v>#N/A</v>
      </c>
      <c r="AD238" t="str">
        <f>IF(Table1[[#This Row],[Position 1]]=0,"/0SAP/",MID(Table1[[#This Row],[Final Obj Name]],Table1[[#This Row],[Position 1]],Table1[[#This Row],[Position 2]]-Table1[[#This Row],[Position 1]]+1))</f>
        <v>/0SAP/</v>
      </c>
      <c r="AE238" t="str">
        <f>VLOOKUP(Table1[[#This Row],[/* Object]],Namespace!A:J,10,FALSE)</f>
        <v>SAP AG</v>
      </c>
      <c r="AF238" t="str">
        <f>IF(VLOOKUP(Table1[[#This Row],[/* Object]],Namespace!A:J,4,FALSE)=0,"",VLOOKUP(Table1[[#This Row],[/* Object]],Namespace!A:J,4,FALSE))</f>
        <v>X</v>
      </c>
      <c r="AG238" t="str">
        <f>IF(VLOOKUP(Table1[[#This Row],[/* Object]],Namespace!A:J,5,FALSE)=0,"",VLOOKUP(Table1[[#This Row],[/* Object]],Namespace!A:J,5,FALSE))</f>
        <v>X</v>
      </c>
      <c r="AH238" t="str">
        <f>IF(VLOOKUP(Table1[[#This Row],[/* Object]],Namespace!A:J,6,FALSE)=0,"",VLOOKUP(Table1[[#This Row],[/* Object]],Namespace!A:J,6,FALSE))</f>
        <v/>
      </c>
      <c r="AI238">
        <f>IFERROR(FIND("/",Table1[[#This Row],[Final Obj Name]],1),0)</f>
        <v>0</v>
      </c>
      <c r="AJ238">
        <f>IF(Table1[[#This Row],[Position 1]]=0,0,FIND("/",Table1[[#This Row],[Final Obj Name]],Table1[[#This Row],[Position 1]]+1))</f>
        <v>0</v>
      </c>
      <c r="AK238" t="str">
        <f>IF(LEFT(Table1[[#This Row],[Final Obj Name]],1)="/",LEFT(Table1[[#This Row],[Final Obj Name]],FIND("/",Table1[[#This Row],[Final Obj Name]],2)),"/0SAP/")</f>
        <v>/0SAP/</v>
      </c>
    </row>
    <row r="239">
      <c r="A239" t="str">
        <v>DDLS</v>
      </c>
      <c r="B239" t="str">
        <v>ZOTC_SALES_IC_CALC</v>
      </c>
      <c r="C239" t="str">
        <v>DDLS</v>
      </c>
      <c r="D239" t="str">
        <v>ZOTC_SALES_IC_CALC</v>
      </c>
      <c r="G239" t="str">
        <v>ALL</v>
      </c>
      <c r="L239" t="str">
        <v>CST_CHINMAY</v>
      </c>
      <c r="M239">
        <v>45849</v>
      </c>
      <c r="N239">
        <v>0.43542824074074</v>
      </c>
      <c r="S239" t="str">
        <v>X</v>
      </c>
      <c r="W239" t="str">
        <v>S01K925239</v>
      </c>
      <c r="Y239">
        <f>IF(Table1[[#This Row],[OPERATION]]="NOTE","NOTE",Table1[[#This Row],[SUB_TYPE]])</f>
        <v>0</v>
      </c>
      <c r="Z239">
        <f>IF(Table1[[#This Row],[OPERATION]]="NOTE",NUMBERVALUE(LEFT(Table1[[#This Row],[MOD_NAME]],LEN(Table1[[#This Row],[MOD_NAME]])-4)),Table1[[#This Row],[SUB_NAME]])</f>
        <v>0</v>
      </c>
      <c r="AA239" t="str">
        <f>CONCAT(Table1[[#This Row],[Final Obj Type]],"|",Table1[[#This Row],[Final Obj Name]])</f>
        <v>0|0</v>
      </c>
      <c r="AB239" t="e">
        <f>VLOOKUP(Table1[[#This Row],[Final Obj Type]],Classification!B:E,3,FALSE)</f>
        <v>#N/A</v>
      </c>
      <c r="AC239" t="e">
        <f>VLOOKUP(Table1[[#This Row],[Final Obj Type]],Classification!B:E,4,FALSE)</f>
        <v>#N/A</v>
      </c>
      <c r="AD239" t="str">
        <f>IF(Table1[[#This Row],[Position 1]]=0,"/0SAP/",MID(Table1[[#This Row],[Final Obj Name]],Table1[[#This Row],[Position 1]],Table1[[#This Row],[Position 2]]-Table1[[#This Row],[Position 1]]+1))</f>
        <v>/0SAP/</v>
      </c>
      <c r="AE239" t="str">
        <f>VLOOKUP(Table1[[#This Row],[/* Object]],Namespace!A:J,10,FALSE)</f>
        <v>SAP AG</v>
      </c>
      <c r="AF239" t="str">
        <f>IF(VLOOKUP(Table1[[#This Row],[/* Object]],Namespace!A:J,4,FALSE)=0,"",VLOOKUP(Table1[[#This Row],[/* Object]],Namespace!A:J,4,FALSE))</f>
        <v>X</v>
      </c>
      <c r="AG239" t="str">
        <f>IF(VLOOKUP(Table1[[#This Row],[/* Object]],Namespace!A:J,5,FALSE)=0,"",VLOOKUP(Table1[[#This Row],[/* Object]],Namespace!A:J,5,FALSE))</f>
        <v>X</v>
      </c>
      <c r="AH239" t="str">
        <f>IF(VLOOKUP(Table1[[#This Row],[/* Object]],Namespace!A:J,6,FALSE)=0,"",VLOOKUP(Table1[[#This Row],[/* Object]],Namespace!A:J,6,FALSE))</f>
        <v/>
      </c>
      <c r="AI239">
        <f>IFERROR(FIND("/",Table1[[#This Row],[Final Obj Name]],1),0)</f>
        <v>0</v>
      </c>
      <c r="AJ239">
        <f>IF(Table1[[#This Row],[Position 1]]=0,0,FIND("/",Table1[[#This Row],[Final Obj Name]],Table1[[#This Row],[Position 1]]+1))</f>
        <v>0</v>
      </c>
      <c r="AK239" t="str">
        <f>IF(LEFT(Table1[[#This Row],[Final Obj Name]],1)="/",LEFT(Table1[[#This Row],[Final Obj Name]],FIND("/",Table1[[#This Row],[Final Obj Name]],2)),"/0SAP/")</f>
        <v>/0SAP/</v>
      </c>
    </row>
    <row r="240">
      <c r="A240" t="str">
        <v>DDLS</v>
      </c>
      <c r="B240" t="str">
        <v>ZOTC_SALES_ORDER_DELIVERY</v>
      </c>
      <c r="C240" t="str">
        <v>DDLS</v>
      </c>
      <c r="D240" t="str">
        <v>ZOTC_SALES_ORDER_DELIVERY</v>
      </c>
      <c r="G240" t="str">
        <v>ALL</v>
      </c>
      <c r="L240" t="str">
        <v>CST_CHINMAY</v>
      </c>
      <c r="M240">
        <v>45993</v>
      </c>
      <c r="N240">
        <v>0.52255787037037</v>
      </c>
      <c r="S240" t="str">
        <v>X</v>
      </c>
      <c r="W240" t="str">
        <v>S01K927312</v>
      </c>
      <c r="Y240">
        <f>IF(Table1[[#This Row],[OPERATION]]="NOTE","NOTE",Table1[[#This Row],[SUB_TYPE]])</f>
        <v>0</v>
      </c>
      <c r="Z240">
        <f>IF(Table1[[#This Row],[OPERATION]]="NOTE",NUMBERVALUE(LEFT(Table1[[#This Row],[MOD_NAME]],LEN(Table1[[#This Row],[MOD_NAME]])-4)),Table1[[#This Row],[SUB_NAME]])</f>
        <v>0</v>
      </c>
      <c r="AA240" t="str">
        <f>CONCAT(Table1[[#This Row],[Final Obj Type]],"|",Table1[[#This Row],[Final Obj Name]])</f>
        <v>0|0</v>
      </c>
      <c r="AB240" t="e">
        <f>VLOOKUP(Table1[[#This Row],[Final Obj Type]],Classification!B:E,3,FALSE)</f>
        <v>#N/A</v>
      </c>
      <c r="AC240" t="e">
        <f>VLOOKUP(Table1[[#This Row],[Final Obj Type]],Classification!B:E,4,FALSE)</f>
        <v>#N/A</v>
      </c>
      <c r="AD240" t="str">
        <f>IF(Table1[[#This Row],[Position 1]]=0,"/0SAP/",MID(Table1[[#This Row],[Final Obj Name]],Table1[[#This Row],[Position 1]],Table1[[#This Row],[Position 2]]-Table1[[#This Row],[Position 1]]+1))</f>
        <v>/0SAP/</v>
      </c>
      <c r="AE240" t="str">
        <f>VLOOKUP(Table1[[#This Row],[/* Object]],Namespace!A:J,10,FALSE)</f>
        <v>SAP AG</v>
      </c>
      <c r="AF240" t="str">
        <f>IF(VLOOKUP(Table1[[#This Row],[/* Object]],Namespace!A:J,4,FALSE)=0,"",VLOOKUP(Table1[[#This Row],[/* Object]],Namespace!A:J,4,FALSE))</f>
        <v>X</v>
      </c>
      <c r="AG240" t="str">
        <f>IF(VLOOKUP(Table1[[#This Row],[/* Object]],Namespace!A:J,5,FALSE)=0,"",VLOOKUP(Table1[[#This Row],[/* Object]],Namespace!A:J,5,FALSE))</f>
        <v>X</v>
      </c>
      <c r="AH240" t="str">
        <f>IF(VLOOKUP(Table1[[#This Row],[/* Object]],Namespace!A:J,6,FALSE)=0,"",VLOOKUP(Table1[[#This Row],[/* Object]],Namespace!A:J,6,FALSE))</f>
        <v/>
      </c>
      <c r="AI240">
        <f>IFERROR(FIND("/",Table1[[#This Row],[Final Obj Name]],1),0)</f>
        <v>0</v>
      </c>
      <c r="AJ240">
        <f>IF(Table1[[#This Row],[Position 1]]=0,0,FIND("/",Table1[[#This Row],[Final Obj Name]],Table1[[#This Row],[Position 1]]+1))</f>
        <v>0</v>
      </c>
      <c r="AK240" t="str">
        <f>IF(LEFT(Table1[[#This Row],[Final Obj Name]],1)="/",LEFT(Table1[[#This Row],[Final Obj Name]],FIND("/",Table1[[#This Row],[Final Obj Name]],2)),"/0SAP/")</f>
        <v>/0SAP/</v>
      </c>
    </row>
    <row r="241">
      <c r="A241" t="str">
        <v>DDLS</v>
      </c>
      <c r="B241" t="str">
        <v>ZOTC_SALES_ORDER_DELIVERY_01</v>
      </c>
      <c r="C241" t="str">
        <v>DDLS</v>
      </c>
      <c r="D241" t="str">
        <v>ZOTC_SALES_ORDER_DELIVERY_01</v>
      </c>
      <c r="G241" t="str">
        <v>ALL</v>
      </c>
      <c r="L241" t="str">
        <v>CST_CHINMAY</v>
      </c>
      <c r="M241">
        <v>45995</v>
      </c>
      <c r="N241">
        <v>0.64439814814815</v>
      </c>
      <c r="S241" t="str">
        <v>X</v>
      </c>
      <c r="W241" t="str">
        <v>S01K927283</v>
      </c>
      <c r="Y241">
        <f>IF(Table1[[#This Row],[OPERATION]]="NOTE","NOTE",Table1[[#This Row],[SUB_TYPE]])</f>
        <v>0</v>
      </c>
      <c r="Z241">
        <f>IF(Table1[[#This Row],[OPERATION]]="NOTE",NUMBERVALUE(LEFT(Table1[[#This Row],[MOD_NAME]],LEN(Table1[[#This Row],[MOD_NAME]])-4)),Table1[[#This Row],[SUB_NAME]])</f>
        <v>0</v>
      </c>
      <c r="AA241" t="str">
        <f>CONCAT(Table1[[#This Row],[Final Obj Type]],"|",Table1[[#This Row],[Final Obj Name]])</f>
        <v>0|0</v>
      </c>
      <c r="AB241" t="e">
        <f>VLOOKUP(Table1[[#This Row],[Final Obj Type]],Classification!B:E,3,FALSE)</f>
        <v>#N/A</v>
      </c>
      <c r="AC241" t="e">
        <f>VLOOKUP(Table1[[#This Row],[Final Obj Type]],Classification!B:E,4,FALSE)</f>
        <v>#N/A</v>
      </c>
      <c r="AD241" t="str">
        <f>IF(Table1[[#This Row],[Position 1]]=0,"/0SAP/",MID(Table1[[#This Row],[Final Obj Name]],Table1[[#This Row],[Position 1]],Table1[[#This Row],[Position 2]]-Table1[[#This Row],[Position 1]]+1))</f>
        <v>/0SAP/</v>
      </c>
      <c r="AE241" t="str">
        <f>VLOOKUP(Table1[[#This Row],[/* Object]],Namespace!A:J,10,FALSE)</f>
        <v>SAP AG</v>
      </c>
      <c r="AF241" t="str">
        <f>IF(VLOOKUP(Table1[[#This Row],[/* Object]],Namespace!A:J,4,FALSE)=0,"",VLOOKUP(Table1[[#This Row],[/* Object]],Namespace!A:J,4,FALSE))</f>
        <v>X</v>
      </c>
      <c r="AG241" t="str">
        <f>IF(VLOOKUP(Table1[[#This Row],[/* Object]],Namespace!A:J,5,FALSE)=0,"",VLOOKUP(Table1[[#This Row],[/* Object]],Namespace!A:J,5,FALSE))</f>
        <v>X</v>
      </c>
      <c r="AH241" t="str">
        <f>IF(VLOOKUP(Table1[[#This Row],[/* Object]],Namespace!A:J,6,FALSE)=0,"",VLOOKUP(Table1[[#This Row],[/* Object]],Namespace!A:J,6,FALSE))</f>
        <v/>
      </c>
      <c r="AI241">
        <f>IFERROR(FIND("/",Table1[[#This Row],[Final Obj Name]],1),0)</f>
        <v>0</v>
      </c>
      <c r="AJ241">
        <f>IF(Table1[[#This Row],[Position 1]]=0,0,FIND("/",Table1[[#This Row],[Final Obj Name]],Table1[[#This Row],[Position 1]]+1))</f>
        <v>0</v>
      </c>
      <c r="AK241" t="str">
        <f>IF(LEFT(Table1[[#This Row],[Final Obj Name]],1)="/",LEFT(Table1[[#This Row],[Final Obj Name]],FIND("/",Table1[[#This Row],[Final Obj Name]],2)),"/0SAP/")</f>
        <v>/0SAP/</v>
      </c>
    </row>
    <row r="242">
      <c r="A242" t="str">
        <v>DDLS</v>
      </c>
      <c r="B242" t="str">
        <v>ZOTC_SALES_ORDER_DELIV_DC_03</v>
      </c>
      <c r="C242" t="str">
        <v>DDLS</v>
      </c>
      <c r="D242" t="str">
        <v>ZOTC_SALES_ORDER_DELIV_DC_03</v>
      </c>
      <c r="G242" t="str">
        <v>ALL</v>
      </c>
      <c r="L242" t="str">
        <v>CST_CHINMAY</v>
      </c>
      <c r="M242">
        <v>45995</v>
      </c>
      <c r="N242">
        <v>0.64920138888889</v>
      </c>
      <c r="S242" t="str">
        <v>X</v>
      </c>
      <c r="W242" t="str">
        <v>S01K927283</v>
      </c>
      <c r="Y242">
        <f>IF(Table1[[#This Row],[OPERATION]]="NOTE","NOTE",Table1[[#This Row],[SUB_TYPE]])</f>
        <v>0</v>
      </c>
      <c r="Z242">
        <f>IF(Table1[[#This Row],[OPERATION]]="NOTE",NUMBERVALUE(LEFT(Table1[[#This Row],[MOD_NAME]],LEN(Table1[[#This Row],[MOD_NAME]])-4)),Table1[[#This Row],[SUB_NAME]])</f>
        <v>0</v>
      </c>
      <c r="AA242" t="str">
        <f>CONCAT(Table1[[#This Row],[Final Obj Type]],"|",Table1[[#This Row],[Final Obj Name]])</f>
        <v>0|0</v>
      </c>
      <c r="AB242" t="e">
        <f>VLOOKUP(Table1[[#This Row],[Final Obj Type]],Classification!B:E,3,FALSE)</f>
        <v>#N/A</v>
      </c>
      <c r="AC242" t="e">
        <f>VLOOKUP(Table1[[#This Row],[Final Obj Type]],Classification!B:E,4,FALSE)</f>
        <v>#N/A</v>
      </c>
      <c r="AD242" t="str">
        <f>IF(Table1[[#This Row],[Position 1]]=0,"/0SAP/",MID(Table1[[#This Row],[Final Obj Name]],Table1[[#This Row],[Position 1]],Table1[[#This Row],[Position 2]]-Table1[[#This Row],[Position 1]]+1))</f>
        <v>/0SAP/</v>
      </c>
      <c r="AE242" t="str">
        <f>VLOOKUP(Table1[[#This Row],[/* Object]],Namespace!A:J,10,FALSE)</f>
        <v>SAP AG</v>
      </c>
      <c r="AF242" t="str">
        <f>IF(VLOOKUP(Table1[[#This Row],[/* Object]],Namespace!A:J,4,FALSE)=0,"",VLOOKUP(Table1[[#This Row],[/* Object]],Namespace!A:J,4,FALSE))</f>
        <v>X</v>
      </c>
      <c r="AG242" t="str">
        <f>IF(VLOOKUP(Table1[[#This Row],[/* Object]],Namespace!A:J,5,FALSE)=0,"",VLOOKUP(Table1[[#This Row],[/* Object]],Namespace!A:J,5,FALSE))</f>
        <v>X</v>
      </c>
      <c r="AH242" t="str">
        <f>IF(VLOOKUP(Table1[[#This Row],[/* Object]],Namespace!A:J,6,FALSE)=0,"",VLOOKUP(Table1[[#This Row],[/* Object]],Namespace!A:J,6,FALSE))</f>
        <v/>
      </c>
      <c r="AI242">
        <f>IFERROR(FIND("/",Table1[[#This Row],[Final Obj Name]],1),0)</f>
        <v>0</v>
      </c>
      <c r="AJ242">
        <f>IF(Table1[[#This Row],[Position 1]]=0,0,FIND("/",Table1[[#This Row],[Final Obj Name]],Table1[[#This Row],[Position 1]]+1))</f>
        <v>0</v>
      </c>
      <c r="AK242" t="str">
        <f>IF(LEFT(Table1[[#This Row],[Final Obj Name]],1)="/",LEFT(Table1[[#This Row],[Final Obj Name]],FIND("/",Table1[[#This Row],[Final Obj Name]],2)),"/0SAP/")</f>
        <v>/0SAP/</v>
      </c>
    </row>
    <row r="243">
      <c r="A243" t="str">
        <v>DDLS</v>
      </c>
      <c r="B243" t="str">
        <v>ZOTC_SALES_ORDER_DELIV_IC_02</v>
      </c>
      <c r="C243" t="str">
        <v>DDLS</v>
      </c>
      <c r="D243" t="str">
        <v>ZOTC_SALES_ORDER_DELIV_IC_02</v>
      </c>
      <c r="G243" t="str">
        <v>ALL</v>
      </c>
      <c r="L243" t="str">
        <v>CST_CHINMAY</v>
      </c>
      <c r="M243">
        <v>45995</v>
      </c>
      <c r="N243">
        <v>0.646875</v>
      </c>
      <c r="S243" t="str">
        <v>X</v>
      </c>
      <c r="W243" t="str">
        <v>S01K927283</v>
      </c>
      <c r="Y243">
        <f>IF(Table1[[#This Row],[OPERATION]]="NOTE","NOTE",Table1[[#This Row],[SUB_TYPE]])</f>
        <v>0</v>
      </c>
      <c r="Z243">
        <f>IF(Table1[[#This Row],[OPERATION]]="NOTE",NUMBERVALUE(LEFT(Table1[[#This Row],[MOD_NAME]],LEN(Table1[[#This Row],[MOD_NAME]])-4)),Table1[[#This Row],[SUB_NAME]])</f>
        <v>0</v>
      </c>
      <c r="AA243" t="str">
        <f>CONCAT(Table1[[#This Row],[Final Obj Type]],"|",Table1[[#This Row],[Final Obj Name]])</f>
        <v>0|0</v>
      </c>
      <c r="AB243" t="e">
        <f>VLOOKUP(Table1[[#This Row],[Final Obj Type]],Classification!B:E,3,FALSE)</f>
        <v>#N/A</v>
      </c>
      <c r="AC243" t="e">
        <f>VLOOKUP(Table1[[#This Row],[Final Obj Type]],Classification!B:E,4,FALSE)</f>
        <v>#N/A</v>
      </c>
      <c r="AD243" t="str">
        <f>IF(Table1[[#This Row],[Position 1]]=0,"/0SAP/",MID(Table1[[#This Row],[Final Obj Name]],Table1[[#This Row],[Position 1]],Table1[[#This Row],[Position 2]]-Table1[[#This Row],[Position 1]]+1))</f>
        <v>/0SAP/</v>
      </c>
      <c r="AE243" t="str">
        <f>VLOOKUP(Table1[[#This Row],[/* Object]],Namespace!A:J,10,FALSE)</f>
        <v>SAP AG</v>
      </c>
      <c r="AF243" t="str">
        <f>IF(VLOOKUP(Table1[[#This Row],[/* Object]],Namespace!A:J,4,FALSE)=0,"",VLOOKUP(Table1[[#This Row],[/* Object]],Namespace!A:J,4,FALSE))</f>
        <v>X</v>
      </c>
      <c r="AG243" t="str">
        <f>IF(VLOOKUP(Table1[[#This Row],[/* Object]],Namespace!A:J,5,FALSE)=0,"",VLOOKUP(Table1[[#This Row],[/* Object]],Namespace!A:J,5,FALSE))</f>
        <v>X</v>
      </c>
      <c r="AH243" t="str">
        <f>IF(VLOOKUP(Table1[[#This Row],[/* Object]],Namespace!A:J,6,FALSE)=0,"",VLOOKUP(Table1[[#This Row],[/* Object]],Namespace!A:J,6,FALSE))</f>
        <v/>
      </c>
      <c r="AI243">
        <f>IFERROR(FIND("/",Table1[[#This Row],[Final Obj Name]],1),0)</f>
        <v>0</v>
      </c>
      <c r="AJ243">
        <f>IF(Table1[[#This Row],[Position 1]]=0,0,FIND("/",Table1[[#This Row],[Final Obj Name]],Table1[[#This Row],[Position 1]]+1))</f>
        <v>0</v>
      </c>
      <c r="AK243" t="str">
        <f>IF(LEFT(Table1[[#This Row],[Final Obj Name]],1)="/",LEFT(Table1[[#This Row],[Final Obj Name]],FIND("/",Table1[[#This Row],[Final Obj Name]],2)),"/0SAP/")</f>
        <v>/0SAP/</v>
      </c>
    </row>
    <row r="244">
      <c r="A244" t="str">
        <v>DDLS</v>
      </c>
      <c r="B244" t="str">
        <v>ZOTC_SALES_ORDER_DELIV_UNION</v>
      </c>
      <c r="C244" t="str">
        <v>DDLS</v>
      </c>
      <c r="D244" t="str">
        <v>ZOTC_SALES_ORDER_DELIV_UNION</v>
      </c>
      <c r="G244" t="str">
        <v>ALL</v>
      </c>
      <c r="L244" t="str">
        <v>CST_CHINMAY</v>
      </c>
      <c r="M244">
        <v>45849</v>
      </c>
      <c r="N244">
        <v>0.48284722222222</v>
      </c>
      <c r="S244" t="str">
        <v>X</v>
      </c>
      <c r="W244" t="str">
        <v>S01K925239</v>
      </c>
      <c r="Y244">
        <f>IF(Table1[[#This Row],[OPERATION]]="NOTE","NOTE",Table1[[#This Row],[SUB_TYPE]])</f>
        <v>0</v>
      </c>
      <c r="Z244">
        <f>IF(Table1[[#This Row],[OPERATION]]="NOTE",NUMBERVALUE(LEFT(Table1[[#This Row],[MOD_NAME]],LEN(Table1[[#This Row],[MOD_NAME]])-4)),Table1[[#This Row],[SUB_NAME]])</f>
        <v>0</v>
      </c>
      <c r="AA244" t="str">
        <f>CONCAT(Table1[[#This Row],[Final Obj Type]],"|",Table1[[#This Row],[Final Obj Name]])</f>
        <v>0|0</v>
      </c>
      <c r="AB244" t="e">
        <f>VLOOKUP(Table1[[#This Row],[Final Obj Type]],Classification!B:E,3,FALSE)</f>
        <v>#N/A</v>
      </c>
      <c r="AC244" t="e">
        <f>VLOOKUP(Table1[[#This Row],[Final Obj Type]],Classification!B:E,4,FALSE)</f>
        <v>#N/A</v>
      </c>
      <c r="AD244" t="str">
        <f>IF(Table1[[#This Row],[Position 1]]=0,"/0SAP/",MID(Table1[[#This Row],[Final Obj Name]],Table1[[#This Row],[Position 1]],Table1[[#This Row],[Position 2]]-Table1[[#This Row],[Position 1]]+1))</f>
        <v>/0SAP/</v>
      </c>
      <c r="AE244" t="str">
        <f>VLOOKUP(Table1[[#This Row],[/* Object]],Namespace!A:J,10,FALSE)</f>
        <v>SAP AG</v>
      </c>
      <c r="AF244" t="str">
        <f>IF(VLOOKUP(Table1[[#This Row],[/* Object]],Namespace!A:J,4,FALSE)=0,"",VLOOKUP(Table1[[#This Row],[/* Object]],Namespace!A:J,4,FALSE))</f>
        <v>X</v>
      </c>
      <c r="AG244" t="str">
        <f>IF(VLOOKUP(Table1[[#This Row],[/* Object]],Namespace!A:J,5,FALSE)=0,"",VLOOKUP(Table1[[#This Row],[/* Object]],Namespace!A:J,5,FALSE))</f>
        <v>X</v>
      </c>
      <c r="AH244" t="str">
        <f>IF(VLOOKUP(Table1[[#This Row],[/* Object]],Namespace!A:J,6,FALSE)=0,"",VLOOKUP(Table1[[#This Row],[/* Object]],Namespace!A:J,6,FALSE))</f>
        <v/>
      </c>
      <c r="AI244">
        <f>IFERROR(FIND("/",Table1[[#This Row],[Final Obj Name]],1),0)</f>
        <v>0</v>
      </c>
      <c r="AJ244">
        <f>IF(Table1[[#This Row],[Position 1]]=0,0,FIND("/",Table1[[#This Row],[Final Obj Name]],Table1[[#This Row],[Position 1]]+1))</f>
        <v>0</v>
      </c>
      <c r="AK244" t="str">
        <f>IF(LEFT(Table1[[#This Row],[Final Obj Name]],1)="/",LEFT(Table1[[#This Row],[Final Obj Name]],FIND("/",Table1[[#This Row],[Final Obj Name]],2)),"/0SAP/")</f>
        <v>/0SAP/</v>
      </c>
    </row>
    <row r="245">
      <c r="A245" t="str">
        <v>DDLS</v>
      </c>
      <c r="B245" t="str">
        <v>ZOTC_SALES_ORDER_DELI_DC_IC_04</v>
      </c>
      <c r="C245" t="str">
        <v>DDLS</v>
      </c>
      <c r="D245" t="str">
        <v>ZOTC_SALES_ORDER_DELI_DC_IC_04</v>
      </c>
      <c r="G245" t="str">
        <v>ALL</v>
      </c>
      <c r="L245" t="str">
        <v>CST_CHINMAY</v>
      </c>
      <c r="M245">
        <v>45995</v>
      </c>
      <c r="N245">
        <v>0.65125</v>
      </c>
      <c r="S245" t="str">
        <v>X</v>
      </c>
      <c r="W245" t="str">
        <v>S01K927283</v>
      </c>
      <c r="Y245">
        <f>IF(Table1[[#This Row],[OPERATION]]="NOTE","NOTE",Table1[[#This Row],[SUB_TYPE]])</f>
        <v>0</v>
      </c>
      <c r="Z245">
        <f>IF(Table1[[#This Row],[OPERATION]]="NOTE",NUMBERVALUE(LEFT(Table1[[#This Row],[MOD_NAME]],LEN(Table1[[#This Row],[MOD_NAME]])-4)),Table1[[#This Row],[SUB_NAME]])</f>
        <v>0</v>
      </c>
      <c r="AA245" t="str">
        <f>CONCAT(Table1[[#This Row],[Final Obj Type]],"|",Table1[[#This Row],[Final Obj Name]])</f>
        <v>0|0</v>
      </c>
      <c r="AB245" t="e">
        <f>VLOOKUP(Table1[[#This Row],[Final Obj Type]],Classification!B:E,3,FALSE)</f>
        <v>#N/A</v>
      </c>
      <c r="AC245" t="e">
        <f>VLOOKUP(Table1[[#This Row],[Final Obj Type]],Classification!B:E,4,FALSE)</f>
        <v>#N/A</v>
      </c>
      <c r="AD245" t="str">
        <f>IF(Table1[[#This Row],[Position 1]]=0,"/0SAP/",MID(Table1[[#This Row],[Final Obj Name]],Table1[[#This Row],[Position 1]],Table1[[#This Row],[Position 2]]-Table1[[#This Row],[Position 1]]+1))</f>
        <v>/0SAP/</v>
      </c>
      <c r="AE245" t="str">
        <f>VLOOKUP(Table1[[#This Row],[/* Object]],Namespace!A:J,10,FALSE)</f>
        <v>SAP AG</v>
      </c>
      <c r="AF245" t="str">
        <f>IF(VLOOKUP(Table1[[#This Row],[/* Object]],Namespace!A:J,4,FALSE)=0,"",VLOOKUP(Table1[[#This Row],[/* Object]],Namespace!A:J,4,FALSE))</f>
        <v>X</v>
      </c>
      <c r="AG245" t="str">
        <f>IF(VLOOKUP(Table1[[#This Row],[/* Object]],Namespace!A:J,5,FALSE)=0,"",VLOOKUP(Table1[[#This Row],[/* Object]],Namespace!A:J,5,FALSE))</f>
        <v>X</v>
      </c>
      <c r="AH245" t="str">
        <f>IF(VLOOKUP(Table1[[#This Row],[/* Object]],Namespace!A:J,6,FALSE)=0,"",VLOOKUP(Table1[[#This Row],[/* Object]],Namespace!A:J,6,FALSE))</f>
        <v/>
      </c>
      <c r="AI245">
        <f>IFERROR(FIND("/",Table1[[#This Row],[Final Obj Name]],1),0)</f>
        <v>0</v>
      </c>
      <c r="AJ245">
        <f>IF(Table1[[#This Row],[Position 1]]=0,0,FIND("/",Table1[[#This Row],[Final Obj Name]],Table1[[#This Row],[Position 1]]+1))</f>
        <v>0</v>
      </c>
      <c r="AK245" t="str">
        <f>IF(LEFT(Table1[[#This Row],[Final Obj Name]],1)="/",LEFT(Table1[[#This Row],[Final Obj Name]],FIND("/",Table1[[#This Row],[Final Obj Name]],2)),"/0SAP/")</f>
        <v>/0SAP/</v>
      </c>
    </row>
    <row r="246">
      <c r="A246" t="str">
        <v>DDLS</v>
      </c>
      <c r="B246" t="str">
        <v>ZOTC_SALES_ORDER_IC_BILL</v>
      </c>
      <c r="C246" t="str">
        <v>DDLS</v>
      </c>
      <c r="D246" t="str">
        <v>ZOTC_SALES_ORDER_IC_BILL</v>
      </c>
      <c r="G246" t="str">
        <v>ALL</v>
      </c>
      <c r="L246" t="str">
        <v>CST_CHINMAY</v>
      </c>
      <c r="M246">
        <v>45849</v>
      </c>
      <c r="N246">
        <v>0.44318287037037</v>
      </c>
      <c r="S246" t="str">
        <v>X</v>
      </c>
      <c r="W246" t="str">
        <v>S01K925239</v>
      </c>
      <c r="Y246">
        <f>IF(Table1[[#This Row],[OPERATION]]="NOTE","NOTE",Table1[[#This Row],[SUB_TYPE]])</f>
        <v>0</v>
      </c>
      <c r="Z246">
        <f>IF(Table1[[#This Row],[OPERATION]]="NOTE",NUMBERVALUE(LEFT(Table1[[#This Row],[MOD_NAME]],LEN(Table1[[#This Row],[MOD_NAME]])-4)),Table1[[#This Row],[SUB_NAME]])</f>
        <v>0</v>
      </c>
      <c r="AA246" t="str">
        <f>CONCAT(Table1[[#This Row],[Final Obj Type]],"|",Table1[[#This Row],[Final Obj Name]])</f>
        <v>0|0</v>
      </c>
      <c r="AB246" t="e">
        <f>VLOOKUP(Table1[[#This Row],[Final Obj Type]],Classification!B:E,3,FALSE)</f>
        <v>#N/A</v>
      </c>
      <c r="AC246" t="e">
        <f>VLOOKUP(Table1[[#This Row],[Final Obj Type]],Classification!B:E,4,FALSE)</f>
        <v>#N/A</v>
      </c>
      <c r="AD246" t="str">
        <f>IF(Table1[[#This Row],[Position 1]]=0,"/0SAP/",MID(Table1[[#This Row],[Final Obj Name]],Table1[[#This Row],[Position 1]],Table1[[#This Row],[Position 2]]-Table1[[#This Row],[Position 1]]+1))</f>
        <v>/0SAP/</v>
      </c>
      <c r="AE246" t="str">
        <f>VLOOKUP(Table1[[#This Row],[/* Object]],Namespace!A:J,10,FALSE)</f>
        <v>SAP AG</v>
      </c>
      <c r="AF246" t="str">
        <f>IF(VLOOKUP(Table1[[#This Row],[/* Object]],Namespace!A:J,4,FALSE)=0,"",VLOOKUP(Table1[[#This Row],[/* Object]],Namespace!A:J,4,FALSE))</f>
        <v>X</v>
      </c>
      <c r="AG246" t="str">
        <f>IF(VLOOKUP(Table1[[#This Row],[/* Object]],Namespace!A:J,5,FALSE)=0,"",VLOOKUP(Table1[[#This Row],[/* Object]],Namespace!A:J,5,FALSE))</f>
        <v>X</v>
      </c>
      <c r="AH246" t="str">
        <f>IF(VLOOKUP(Table1[[#This Row],[/* Object]],Namespace!A:J,6,FALSE)=0,"",VLOOKUP(Table1[[#This Row],[/* Object]],Namespace!A:J,6,FALSE))</f>
        <v/>
      </c>
      <c r="AI246">
        <f>IFERROR(FIND("/",Table1[[#This Row],[Final Obj Name]],1),0)</f>
        <v>0</v>
      </c>
      <c r="AJ246">
        <f>IF(Table1[[#This Row],[Position 1]]=0,0,FIND("/",Table1[[#This Row],[Final Obj Name]],Table1[[#This Row],[Position 1]]+1))</f>
        <v>0</v>
      </c>
      <c r="AK246" t="str">
        <f>IF(LEFT(Table1[[#This Row],[Final Obj Name]],1)="/",LEFT(Table1[[#This Row],[Final Obj Name]],FIND("/",Table1[[#This Row],[Final Obj Name]],2)),"/0SAP/")</f>
        <v>/0SAP/</v>
      </c>
    </row>
    <row r="247">
      <c r="A247" t="str">
        <v>DDLS</v>
      </c>
      <c r="B247" t="str">
        <v>ZOTC_SALES_ORDER_IC_BILL_INFO</v>
      </c>
      <c r="C247" t="str">
        <v>DDLS</v>
      </c>
      <c r="D247" t="str">
        <v>ZOTC_SALES_ORDER_IC_BILL_INFO</v>
      </c>
      <c r="G247" t="str">
        <v>ALL</v>
      </c>
      <c r="L247" t="str">
        <v>CST_CHINMAY</v>
      </c>
      <c r="M247">
        <v>45849</v>
      </c>
      <c r="N247">
        <v>0.4455787037037</v>
      </c>
      <c r="S247" t="str">
        <v>X</v>
      </c>
      <c r="W247" t="str">
        <v>S01K925239</v>
      </c>
      <c r="Y247">
        <f>IF(Table1[[#This Row],[OPERATION]]="NOTE","NOTE",Table1[[#This Row],[SUB_TYPE]])</f>
        <v>0</v>
      </c>
      <c r="Z247">
        <f>IF(Table1[[#This Row],[OPERATION]]="NOTE",NUMBERVALUE(LEFT(Table1[[#This Row],[MOD_NAME]],LEN(Table1[[#This Row],[MOD_NAME]])-4)),Table1[[#This Row],[SUB_NAME]])</f>
        <v>0</v>
      </c>
      <c r="AA247" t="str">
        <f>CONCAT(Table1[[#This Row],[Final Obj Type]],"|",Table1[[#This Row],[Final Obj Name]])</f>
        <v>0|0</v>
      </c>
      <c r="AB247" t="e">
        <f>VLOOKUP(Table1[[#This Row],[Final Obj Type]],Classification!B:E,3,FALSE)</f>
        <v>#N/A</v>
      </c>
      <c r="AC247" t="e">
        <f>VLOOKUP(Table1[[#This Row],[Final Obj Type]],Classification!B:E,4,FALSE)</f>
        <v>#N/A</v>
      </c>
      <c r="AD247" t="str">
        <f>IF(Table1[[#This Row],[Position 1]]=0,"/0SAP/",MID(Table1[[#This Row],[Final Obj Name]],Table1[[#This Row],[Position 1]],Table1[[#This Row],[Position 2]]-Table1[[#This Row],[Position 1]]+1))</f>
        <v>/0SAP/</v>
      </c>
      <c r="AE247" t="str">
        <f>VLOOKUP(Table1[[#This Row],[/* Object]],Namespace!A:J,10,FALSE)</f>
        <v>SAP AG</v>
      </c>
      <c r="AF247" t="str">
        <f>IF(VLOOKUP(Table1[[#This Row],[/* Object]],Namespace!A:J,4,FALSE)=0,"",VLOOKUP(Table1[[#This Row],[/* Object]],Namespace!A:J,4,FALSE))</f>
        <v>X</v>
      </c>
      <c r="AG247" t="str">
        <f>IF(VLOOKUP(Table1[[#This Row],[/* Object]],Namespace!A:J,5,FALSE)=0,"",VLOOKUP(Table1[[#This Row],[/* Object]],Namespace!A:J,5,FALSE))</f>
        <v>X</v>
      </c>
      <c r="AH247" t="str">
        <f>IF(VLOOKUP(Table1[[#This Row],[/* Object]],Namespace!A:J,6,FALSE)=0,"",VLOOKUP(Table1[[#This Row],[/* Object]],Namespace!A:J,6,FALSE))</f>
        <v/>
      </c>
      <c r="AI247">
        <f>IFERROR(FIND("/",Table1[[#This Row],[Final Obj Name]],1),0)</f>
        <v>0</v>
      </c>
      <c r="AJ247">
        <f>IF(Table1[[#This Row],[Position 1]]=0,0,FIND("/",Table1[[#This Row],[Final Obj Name]],Table1[[#This Row],[Position 1]]+1))</f>
        <v>0</v>
      </c>
      <c r="AK247" t="str">
        <f>IF(LEFT(Table1[[#This Row],[Final Obj Name]],1)="/",LEFT(Table1[[#This Row],[Final Obj Name]],FIND("/",Table1[[#This Row],[Final Obj Name]],2)),"/0SAP/")</f>
        <v>/0SAP/</v>
      </c>
    </row>
    <row r="248">
      <c r="A248" t="str">
        <v>DDLS</v>
      </c>
      <c r="B248" t="str">
        <v>ZOTC_SALES_ORDER_SUB_BILLIN_IC</v>
      </c>
      <c r="C248" t="str">
        <v>DDLS</v>
      </c>
      <c r="D248" t="str">
        <v>ZOTC_SALES_ORDER_SUB_BILLIN_IC</v>
      </c>
      <c r="G248" t="str">
        <v>ALL</v>
      </c>
      <c r="L248" t="str">
        <v>CST_CHINMAY</v>
      </c>
      <c r="M248">
        <v>45849</v>
      </c>
      <c r="N248">
        <v>0.44138888888889</v>
      </c>
      <c r="S248" t="str">
        <v>X</v>
      </c>
      <c r="W248" t="str">
        <v>S01K925239</v>
      </c>
      <c r="Y248">
        <f>IF(Table1[[#This Row],[OPERATION]]="NOTE","NOTE",Table1[[#This Row],[SUB_TYPE]])</f>
        <v>0</v>
      </c>
      <c r="Z248">
        <f>IF(Table1[[#This Row],[OPERATION]]="NOTE",NUMBERVALUE(LEFT(Table1[[#This Row],[MOD_NAME]],LEN(Table1[[#This Row],[MOD_NAME]])-4)),Table1[[#This Row],[SUB_NAME]])</f>
        <v>0</v>
      </c>
      <c r="AA248" t="str">
        <f>CONCAT(Table1[[#This Row],[Final Obj Type]],"|",Table1[[#This Row],[Final Obj Name]])</f>
        <v>0|0</v>
      </c>
      <c r="AB248" t="e">
        <f>VLOOKUP(Table1[[#This Row],[Final Obj Type]],Classification!B:E,3,FALSE)</f>
        <v>#N/A</v>
      </c>
      <c r="AC248" t="e">
        <f>VLOOKUP(Table1[[#This Row],[Final Obj Type]],Classification!B:E,4,FALSE)</f>
        <v>#N/A</v>
      </c>
      <c r="AD248" t="str">
        <f>IF(Table1[[#This Row],[Position 1]]=0,"/0SAP/",MID(Table1[[#This Row],[Final Obj Name]],Table1[[#This Row],[Position 1]],Table1[[#This Row],[Position 2]]-Table1[[#This Row],[Position 1]]+1))</f>
        <v>/0SAP/</v>
      </c>
      <c r="AE248" t="str">
        <f>VLOOKUP(Table1[[#This Row],[/* Object]],Namespace!A:J,10,FALSE)</f>
        <v>SAP AG</v>
      </c>
      <c r="AF248" t="str">
        <f>IF(VLOOKUP(Table1[[#This Row],[/* Object]],Namespace!A:J,4,FALSE)=0,"",VLOOKUP(Table1[[#This Row],[/* Object]],Namespace!A:J,4,FALSE))</f>
        <v>X</v>
      </c>
      <c r="AG248" t="str">
        <f>IF(VLOOKUP(Table1[[#This Row],[/* Object]],Namespace!A:J,5,FALSE)=0,"",VLOOKUP(Table1[[#This Row],[/* Object]],Namespace!A:J,5,FALSE))</f>
        <v>X</v>
      </c>
      <c r="AH248" t="str">
        <f>IF(VLOOKUP(Table1[[#This Row],[/* Object]],Namespace!A:J,6,FALSE)=0,"",VLOOKUP(Table1[[#This Row],[/* Object]],Namespace!A:J,6,FALSE))</f>
        <v/>
      </c>
      <c r="AI248">
        <f>IFERROR(FIND("/",Table1[[#This Row],[Final Obj Name]],1),0)</f>
        <v>0</v>
      </c>
      <c r="AJ248">
        <f>IF(Table1[[#This Row],[Position 1]]=0,0,FIND("/",Table1[[#This Row],[Final Obj Name]],Table1[[#This Row],[Position 1]]+1))</f>
        <v>0</v>
      </c>
      <c r="AK248" t="str">
        <f>IF(LEFT(Table1[[#This Row],[Final Obj Name]],1)="/",LEFT(Table1[[#This Row],[Final Obj Name]],FIND("/",Table1[[#This Row],[Final Obj Name]],2)),"/0SAP/")</f>
        <v>/0SAP/</v>
      </c>
    </row>
    <row r="249">
      <c r="A249" t="str">
        <v>DDLS</v>
      </c>
      <c r="B249" t="str">
        <v>ZOTC_SO_IC_OPEN</v>
      </c>
      <c r="C249" t="str">
        <v>DDLS</v>
      </c>
      <c r="D249" t="str">
        <v>ZOTC_SO_IC_OPEN</v>
      </c>
      <c r="G249" t="str">
        <v>ALL</v>
      </c>
      <c r="L249" t="str">
        <v>CST_CHINMAY</v>
      </c>
      <c r="M249">
        <v>45861</v>
      </c>
      <c r="N249">
        <v>0.72111111111111</v>
      </c>
      <c r="S249" t="str">
        <v>X</v>
      </c>
      <c r="W249" t="str">
        <v>S01K925239</v>
      </c>
      <c r="Y249">
        <f>IF(Table1[[#This Row],[OPERATION]]="NOTE","NOTE",Table1[[#This Row],[SUB_TYPE]])</f>
        <v>0</v>
      </c>
      <c r="Z249">
        <f>IF(Table1[[#This Row],[OPERATION]]="NOTE",NUMBERVALUE(LEFT(Table1[[#This Row],[MOD_NAME]],LEN(Table1[[#This Row],[MOD_NAME]])-4)),Table1[[#This Row],[SUB_NAME]])</f>
        <v>0</v>
      </c>
      <c r="AA249" t="str">
        <f>CONCAT(Table1[[#This Row],[Final Obj Type]],"|",Table1[[#This Row],[Final Obj Name]])</f>
        <v>0|0</v>
      </c>
      <c r="AB249" t="e">
        <f>VLOOKUP(Table1[[#This Row],[Final Obj Type]],Classification!B:E,3,FALSE)</f>
        <v>#N/A</v>
      </c>
      <c r="AC249" t="e">
        <f>VLOOKUP(Table1[[#This Row],[Final Obj Type]],Classification!B:E,4,FALSE)</f>
        <v>#N/A</v>
      </c>
      <c r="AD249" t="str">
        <f>IF(Table1[[#This Row],[Position 1]]=0,"/0SAP/",MID(Table1[[#This Row],[Final Obj Name]],Table1[[#This Row],[Position 1]],Table1[[#This Row],[Position 2]]-Table1[[#This Row],[Position 1]]+1))</f>
        <v>/0SAP/</v>
      </c>
      <c r="AE249" t="str">
        <f>VLOOKUP(Table1[[#This Row],[/* Object]],Namespace!A:J,10,FALSE)</f>
        <v>SAP AG</v>
      </c>
      <c r="AF249" t="str">
        <f>IF(VLOOKUP(Table1[[#This Row],[/* Object]],Namespace!A:J,4,FALSE)=0,"",VLOOKUP(Table1[[#This Row],[/* Object]],Namespace!A:J,4,FALSE))</f>
        <v>X</v>
      </c>
      <c r="AG249" t="str">
        <f>IF(VLOOKUP(Table1[[#This Row],[/* Object]],Namespace!A:J,5,FALSE)=0,"",VLOOKUP(Table1[[#This Row],[/* Object]],Namespace!A:J,5,FALSE))</f>
        <v>X</v>
      </c>
      <c r="AH249" t="str">
        <f>IF(VLOOKUP(Table1[[#This Row],[/* Object]],Namespace!A:J,6,FALSE)=0,"",VLOOKUP(Table1[[#This Row],[/* Object]],Namespace!A:J,6,FALSE))</f>
        <v/>
      </c>
      <c r="AI249">
        <f>IFERROR(FIND("/",Table1[[#This Row],[Final Obj Name]],1),0)</f>
        <v>0</v>
      </c>
      <c r="AJ249">
        <f>IF(Table1[[#This Row],[Position 1]]=0,0,FIND("/",Table1[[#This Row],[Final Obj Name]],Table1[[#This Row],[Position 1]]+1))</f>
        <v>0</v>
      </c>
      <c r="AK249" t="str">
        <f>IF(LEFT(Table1[[#This Row],[Final Obj Name]],1)="/",LEFT(Table1[[#This Row],[Final Obj Name]],FIND("/",Table1[[#This Row],[Final Obj Name]],2)),"/0SAP/")</f>
        <v>/0SAP/</v>
      </c>
    </row>
    <row r="250">
      <c r="A250" t="str">
        <v>DDLS</v>
      </c>
      <c r="B250" t="str">
        <v>ZPO_OPERATIONS</v>
      </c>
      <c r="C250" t="str">
        <v>DDLS</v>
      </c>
      <c r="D250" t="str">
        <v>ZPO_OPERATIONS</v>
      </c>
      <c r="G250" t="str">
        <v>ALL</v>
      </c>
      <c r="L250" t="str">
        <v>DDIC_SPDD</v>
      </c>
      <c r="M250">
        <v>45337</v>
      </c>
      <c r="N250">
        <v>0.36891203703704</v>
      </c>
      <c r="S250" t="str">
        <v>X</v>
      </c>
      <c r="W250" t="str">
        <v>P01K900067</v>
      </c>
      <c r="Y250">
        <f>IF(Table1[[#This Row],[OPERATION]]="NOTE","NOTE",Table1[[#This Row],[SUB_TYPE]])</f>
        <v>0</v>
      </c>
      <c r="Z250">
        <f>IF(Table1[[#This Row],[OPERATION]]="NOTE",NUMBERVALUE(LEFT(Table1[[#This Row],[MOD_NAME]],LEN(Table1[[#This Row],[MOD_NAME]])-4)),Table1[[#This Row],[SUB_NAME]])</f>
        <v>0</v>
      </c>
      <c r="AA250" t="str">
        <f>CONCAT(Table1[[#This Row],[Final Obj Type]],"|",Table1[[#This Row],[Final Obj Name]])</f>
        <v>0|0</v>
      </c>
      <c r="AB250" t="e">
        <f>VLOOKUP(Table1[[#This Row],[Final Obj Type]],Classification!B:E,3,FALSE)</f>
        <v>#N/A</v>
      </c>
      <c r="AC250" t="e">
        <f>VLOOKUP(Table1[[#This Row],[Final Obj Type]],Classification!B:E,4,FALSE)</f>
        <v>#N/A</v>
      </c>
      <c r="AD250" t="str">
        <f>IF(Table1[[#This Row],[Position 1]]=0,"/0SAP/",MID(Table1[[#This Row],[Final Obj Name]],Table1[[#This Row],[Position 1]],Table1[[#This Row],[Position 2]]-Table1[[#This Row],[Position 1]]+1))</f>
        <v>/0SAP/</v>
      </c>
      <c r="AE250" t="str">
        <f>VLOOKUP(Table1[[#This Row],[/* Object]],Namespace!A:J,10,FALSE)</f>
        <v>SAP AG</v>
      </c>
      <c r="AF250" t="str">
        <f>IF(VLOOKUP(Table1[[#This Row],[/* Object]],Namespace!A:J,4,FALSE)=0,"",VLOOKUP(Table1[[#This Row],[/* Object]],Namespace!A:J,4,FALSE))</f>
        <v>X</v>
      </c>
      <c r="AG250" t="str">
        <f>IF(VLOOKUP(Table1[[#This Row],[/* Object]],Namespace!A:J,5,FALSE)=0,"",VLOOKUP(Table1[[#This Row],[/* Object]],Namespace!A:J,5,FALSE))</f>
        <v>X</v>
      </c>
      <c r="AH250" t="str">
        <f>IF(VLOOKUP(Table1[[#This Row],[/* Object]],Namespace!A:J,6,FALSE)=0,"",VLOOKUP(Table1[[#This Row],[/* Object]],Namespace!A:J,6,FALSE))</f>
        <v/>
      </c>
      <c r="AI250">
        <f>IFERROR(FIND("/",Table1[[#This Row],[Final Obj Name]],1),0)</f>
        <v>0</v>
      </c>
      <c r="AJ250">
        <f>IF(Table1[[#This Row],[Position 1]]=0,0,FIND("/",Table1[[#This Row],[Final Obj Name]],Table1[[#This Row],[Position 1]]+1))</f>
        <v>0</v>
      </c>
      <c r="AK250" t="str">
        <f>IF(LEFT(Table1[[#This Row],[Final Obj Name]],1)="/",LEFT(Table1[[#This Row],[Final Obj Name]],FIND("/",Table1[[#This Row],[Final Obj Name]],2)),"/0SAP/")</f>
        <v>/0SAP/</v>
      </c>
    </row>
    <row r="251">
      <c r="A251" t="str">
        <v>DDLS</v>
      </c>
      <c r="B251" t="str">
        <v>ZPO_OPERATIONS_1</v>
      </c>
      <c r="C251" t="str">
        <v>DDLS</v>
      </c>
      <c r="D251" t="str">
        <v>ZPO_OPERATIONS_1</v>
      </c>
      <c r="G251" t="str">
        <v>ALL</v>
      </c>
      <c r="L251" t="str">
        <v>DDIC_SPDD</v>
      </c>
      <c r="M251">
        <v>45337</v>
      </c>
      <c r="N251">
        <v>0.36979166666667</v>
      </c>
      <c r="S251" t="str">
        <v>X</v>
      </c>
      <c r="W251" t="str">
        <v>P01K900067</v>
      </c>
      <c r="Y251">
        <f>IF(Table1[[#This Row],[OPERATION]]="NOTE","NOTE",Table1[[#This Row],[SUB_TYPE]])</f>
        <v>0</v>
      </c>
      <c r="Z251">
        <f>IF(Table1[[#This Row],[OPERATION]]="NOTE",NUMBERVALUE(LEFT(Table1[[#This Row],[MOD_NAME]],LEN(Table1[[#This Row],[MOD_NAME]])-4)),Table1[[#This Row],[SUB_NAME]])</f>
        <v>0</v>
      </c>
      <c r="AA251" t="str">
        <f>CONCAT(Table1[[#This Row],[Final Obj Type]],"|",Table1[[#This Row],[Final Obj Name]])</f>
        <v>0|0</v>
      </c>
      <c r="AB251" t="e">
        <f>VLOOKUP(Table1[[#This Row],[Final Obj Type]],Classification!B:E,3,FALSE)</f>
        <v>#N/A</v>
      </c>
      <c r="AC251" t="e">
        <f>VLOOKUP(Table1[[#This Row],[Final Obj Type]],Classification!B:E,4,FALSE)</f>
        <v>#N/A</v>
      </c>
      <c r="AD251" t="str">
        <f>IF(Table1[[#This Row],[Position 1]]=0,"/0SAP/",MID(Table1[[#This Row],[Final Obj Name]],Table1[[#This Row],[Position 1]],Table1[[#This Row],[Position 2]]-Table1[[#This Row],[Position 1]]+1))</f>
        <v>/0SAP/</v>
      </c>
      <c r="AE251" t="str">
        <f>VLOOKUP(Table1[[#This Row],[/* Object]],Namespace!A:J,10,FALSE)</f>
        <v>SAP AG</v>
      </c>
      <c r="AF251" t="str">
        <f>IF(VLOOKUP(Table1[[#This Row],[/* Object]],Namespace!A:J,4,FALSE)=0,"",VLOOKUP(Table1[[#This Row],[/* Object]],Namespace!A:J,4,FALSE))</f>
        <v>X</v>
      </c>
      <c r="AG251" t="str">
        <f>IF(VLOOKUP(Table1[[#This Row],[/* Object]],Namespace!A:J,5,FALSE)=0,"",VLOOKUP(Table1[[#This Row],[/* Object]],Namespace!A:J,5,FALSE))</f>
        <v>X</v>
      </c>
      <c r="AH251" t="str">
        <f>IF(VLOOKUP(Table1[[#This Row],[/* Object]],Namespace!A:J,6,FALSE)=0,"",VLOOKUP(Table1[[#This Row],[/* Object]],Namespace!A:J,6,FALSE))</f>
        <v/>
      </c>
      <c r="AI251">
        <f>IFERROR(FIND("/",Table1[[#This Row],[Final Obj Name]],1),0)</f>
        <v>0</v>
      </c>
      <c r="AJ251">
        <f>IF(Table1[[#This Row],[Position 1]]=0,0,FIND("/",Table1[[#This Row],[Final Obj Name]],Table1[[#This Row],[Position 1]]+1))</f>
        <v>0</v>
      </c>
      <c r="AK251" t="str">
        <f>IF(LEFT(Table1[[#This Row],[Final Obj Name]],1)="/",LEFT(Table1[[#This Row],[Final Obj Name]],FIND("/",Table1[[#This Row],[Final Obj Name]],2)),"/0SAP/")</f>
        <v>/0SAP/</v>
      </c>
    </row>
    <row r="252">
      <c r="A252" t="str">
        <v>DDLS</v>
      </c>
      <c r="B252" t="str">
        <v>ZPO_OPERATIONS_2</v>
      </c>
      <c r="C252" t="str">
        <v>DDLS</v>
      </c>
      <c r="D252" t="str">
        <v>ZPO_OPERATIONS_2</v>
      </c>
      <c r="G252" t="str">
        <v>ALL</v>
      </c>
      <c r="L252" t="str">
        <v>DDIC_SPDD</v>
      </c>
      <c r="M252">
        <v>45337</v>
      </c>
      <c r="N252">
        <v>0.37119212962963</v>
      </c>
      <c r="S252" t="str">
        <v>X</v>
      </c>
      <c r="W252" t="str">
        <v>P01K900067</v>
      </c>
      <c r="Y252">
        <f>IF(Table1[[#This Row],[OPERATION]]="NOTE","NOTE",Table1[[#This Row],[SUB_TYPE]])</f>
        <v>0</v>
      </c>
      <c r="Z252">
        <f>IF(Table1[[#This Row],[OPERATION]]="NOTE",NUMBERVALUE(LEFT(Table1[[#This Row],[MOD_NAME]],LEN(Table1[[#This Row],[MOD_NAME]])-4)),Table1[[#This Row],[SUB_NAME]])</f>
        <v>0</v>
      </c>
      <c r="AA252" t="str">
        <f>CONCAT(Table1[[#This Row],[Final Obj Type]],"|",Table1[[#This Row],[Final Obj Name]])</f>
        <v>0|0</v>
      </c>
      <c r="AB252" t="e">
        <f>VLOOKUP(Table1[[#This Row],[Final Obj Type]],Classification!B:E,3,FALSE)</f>
        <v>#N/A</v>
      </c>
      <c r="AC252" t="e">
        <f>VLOOKUP(Table1[[#This Row],[Final Obj Type]],Classification!B:E,4,FALSE)</f>
        <v>#N/A</v>
      </c>
      <c r="AD252" t="str">
        <f>IF(Table1[[#This Row],[Position 1]]=0,"/0SAP/",MID(Table1[[#This Row],[Final Obj Name]],Table1[[#This Row],[Position 1]],Table1[[#This Row],[Position 2]]-Table1[[#This Row],[Position 1]]+1))</f>
        <v>/0SAP/</v>
      </c>
      <c r="AE252" t="str">
        <f>VLOOKUP(Table1[[#This Row],[/* Object]],Namespace!A:J,10,FALSE)</f>
        <v>SAP AG</v>
      </c>
      <c r="AF252" t="str">
        <f>IF(VLOOKUP(Table1[[#This Row],[/* Object]],Namespace!A:J,4,FALSE)=0,"",VLOOKUP(Table1[[#This Row],[/* Object]],Namespace!A:J,4,FALSE))</f>
        <v>X</v>
      </c>
      <c r="AG252" t="str">
        <f>IF(VLOOKUP(Table1[[#This Row],[/* Object]],Namespace!A:J,5,FALSE)=0,"",VLOOKUP(Table1[[#This Row],[/* Object]],Namespace!A:J,5,FALSE))</f>
        <v>X</v>
      </c>
      <c r="AH252" t="str">
        <f>IF(VLOOKUP(Table1[[#This Row],[/* Object]],Namespace!A:J,6,FALSE)=0,"",VLOOKUP(Table1[[#This Row],[/* Object]],Namespace!A:J,6,FALSE))</f>
        <v/>
      </c>
      <c r="AI252">
        <f>IFERROR(FIND("/",Table1[[#This Row],[Final Obj Name]],1),0)</f>
        <v>0</v>
      </c>
      <c r="AJ252">
        <f>IF(Table1[[#This Row],[Position 1]]=0,0,FIND("/",Table1[[#This Row],[Final Obj Name]],Table1[[#This Row],[Position 1]]+1))</f>
        <v>0</v>
      </c>
      <c r="AK252" t="str">
        <f>IF(LEFT(Table1[[#This Row],[Final Obj Name]],1)="/",LEFT(Table1[[#This Row],[Final Obj Name]],FIND("/",Table1[[#This Row],[Final Obj Name]],2)),"/0SAP/")</f>
        <v>/0SAP/</v>
      </c>
    </row>
    <row r="253">
      <c r="A253" t="str">
        <v>DDLS</v>
      </c>
      <c r="B253" t="str">
        <v>ZPO_OPERATIONS_6</v>
      </c>
      <c r="C253" t="str">
        <v>DDLS</v>
      </c>
      <c r="D253" t="str">
        <v>ZPO_OPERATIONS_6</v>
      </c>
      <c r="G253" t="str">
        <v>ALL</v>
      </c>
      <c r="L253" t="str">
        <v>DDIC_SPDD</v>
      </c>
      <c r="M253">
        <v>45337</v>
      </c>
      <c r="N253">
        <v>0.37392361111111</v>
      </c>
      <c r="S253" t="str">
        <v>X</v>
      </c>
      <c r="W253" t="str">
        <v>P01K900067</v>
      </c>
      <c r="Y253">
        <f>IF(Table1[[#This Row],[OPERATION]]="NOTE","NOTE",Table1[[#This Row],[SUB_TYPE]])</f>
        <v>0</v>
      </c>
      <c r="Z253">
        <f>IF(Table1[[#This Row],[OPERATION]]="NOTE",NUMBERVALUE(LEFT(Table1[[#This Row],[MOD_NAME]],LEN(Table1[[#This Row],[MOD_NAME]])-4)),Table1[[#This Row],[SUB_NAME]])</f>
        <v>0</v>
      </c>
      <c r="AA253" t="str">
        <f>CONCAT(Table1[[#This Row],[Final Obj Type]],"|",Table1[[#This Row],[Final Obj Name]])</f>
        <v>0|0</v>
      </c>
      <c r="AB253" t="e">
        <f>VLOOKUP(Table1[[#This Row],[Final Obj Type]],Classification!B:E,3,FALSE)</f>
        <v>#N/A</v>
      </c>
      <c r="AC253" t="e">
        <f>VLOOKUP(Table1[[#This Row],[Final Obj Type]],Classification!B:E,4,FALSE)</f>
        <v>#N/A</v>
      </c>
      <c r="AD253" t="str">
        <f>IF(Table1[[#This Row],[Position 1]]=0,"/0SAP/",MID(Table1[[#This Row],[Final Obj Name]],Table1[[#This Row],[Position 1]],Table1[[#This Row],[Position 2]]-Table1[[#This Row],[Position 1]]+1))</f>
        <v>/0SAP/</v>
      </c>
      <c r="AE253" t="str">
        <f>VLOOKUP(Table1[[#This Row],[/* Object]],Namespace!A:J,10,FALSE)</f>
        <v>SAP AG</v>
      </c>
      <c r="AF253" t="str">
        <f>IF(VLOOKUP(Table1[[#This Row],[/* Object]],Namespace!A:J,4,FALSE)=0,"",VLOOKUP(Table1[[#This Row],[/* Object]],Namespace!A:J,4,FALSE))</f>
        <v>X</v>
      </c>
      <c r="AG253" t="str">
        <f>IF(VLOOKUP(Table1[[#This Row],[/* Object]],Namespace!A:J,5,FALSE)=0,"",VLOOKUP(Table1[[#This Row],[/* Object]],Namespace!A:J,5,FALSE))</f>
        <v>X</v>
      </c>
      <c r="AH253" t="str">
        <f>IF(VLOOKUP(Table1[[#This Row],[/* Object]],Namespace!A:J,6,FALSE)=0,"",VLOOKUP(Table1[[#This Row],[/* Object]],Namespace!A:J,6,FALSE))</f>
        <v/>
      </c>
      <c r="AI253">
        <f>IFERROR(FIND("/",Table1[[#This Row],[Final Obj Name]],1),0)</f>
        <v>0</v>
      </c>
      <c r="AJ253">
        <f>IF(Table1[[#This Row],[Position 1]]=0,0,FIND("/",Table1[[#This Row],[Final Obj Name]],Table1[[#This Row],[Position 1]]+1))</f>
        <v>0</v>
      </c>
      <c r="AK253" t="str">
        <f>IF(LEFT(Table1[[#This Row],[Final Obj Name]],1)="/",LEFT(Table1[[#This Row],[Final Obj Name]],FIND("/",Table1[[#This Row],[Final Obj Name]],2)),"/0SAP/")</f>
        <v>/0SAP/</v>
      </c>
    </row>
    <row r="254">
      <c r="A254" t="str">
        <v>DDLS</v>
      </c>
      <c r="B254" t="str">
        <v>ZPO_OPERATIONS_7</v>
      </c>
      <c r="C254" t="str">
        <v>DDLS</v>
      </c>
      <c r="D254" t="str">
        <v>ZPO_OPERATIONS_7</v>
      </c>
      <c r="G254" t="str">
        <v>ALL</v>
      </c>
      <c r="L254" t="str">
        <v>DDIC_SPDD</v>
      </c>
      <c r="M254">
        <v>45337</v>
      </c>
      <c r="N254">
        <v>0.37486111111111</v>
      </c>
      <c r="S254" t="str">
        <v>X</v>
      </c>
      <c r="W254" t="str">
        <v>P01K900067</v>
      </c>
      <c r="Y254">
        <f>IF(Table1[[#This Row],[OPERATION]]="NOTE","NOTE",Table1[[#This Row],[SUB_TYPE]])</f>
        <v>0</v>
      </c>
      <c r="Z254">
        <f>IF(Table1[[#This Row],[OPERATION]]="NOTE",NUMBERVALUE(LEFT(Table1[[#This Row],[MOD_NAME]],LEN(Table1[[#This Row],[MOD_NAME]])-4)),Table1[[#This Row],[SUB_NAME]])</f>
        <v>0</v>
      </c>
      <c r="AA254" t="str">
        <f>CONCAT(Table1[[#This Row],[Final Obj Type]],"|",Table1[[#This Row],[Final Obj Name]])</f>
        <v>0|0</v>
      </c>
      <c r="AB254" t="e">
        <f>VLOOKUP(Table1[[#This Row],[Final Obj Type]],Classification!B:E,3,FALSE)</f>
        <v>#N/A</v>
      </c>
      <c r="AC254" t="e">
        <f>VLOOKUP(Table1[[#This Row],[Final Obj Type]],Classification!B:E,4,FALSE)</f>
        <v>#N/A</v>
      </c>
      <c r="AD254" t="str">
        <f>IF(Table1[[#This Row],[Position 1]]=0,"/0SAP/",MID(Table1[[#This Row],[Final Obj Name]],Table1[[#This Row],[Position 1]],Table1[[#This Row],[Position 2]]-Table1[[#This Row],[Position 1]]+1))</f>
        <v>/0SAP/</v>
      </c>
      <c r="AE254" t="str">
        <f>VLOOKUP(Table1[[#This Row],[/* Object]],Namespace!A:J,10,FALSE)</f>
        <v>SAP AG</v>
      </c>
      <c r="AF254" t="str">
        <f>IF(VLOOKUP(Table1[[#This Row],[/* Object]],Namespace!A:J,4,FALSE)=0,"",VLOOKUP(Table1[[#This Row],[/* Object]],Namespace!A:J,4,FALSE))</f>
        <v>X</v>
      </c>
      <c r="AG254" t="str">
        <f>IF(VLOOKUP(Table1[[#This Row],[/* Object]],Namespace!A:J,5,FALSE)=0,"",VLOOKUP(Table1[[#This Row],[/* Object]],Namespace!A:J,5,FALSE))</f>
        <v>X</v>
      </c>
      <c r="AH254" t="str">
        <f>IF(VLOOKUP(Table1[[#This Row],[/* Object]],Namespace!A:J,6,FALSE)=0,"",VLOOKUP(Table1[[#This Row],[/* Object]],Namespace!A:J,6,FALSE))</f>
        <v/>
      </c>
      <c r="AI254">
        <f>IFERROR(FIND("/",Table1[[#This Row],[Final Obj Name]],1),0)</f>
        <v>0</v>
      </c>
      <c r="AJ254">
        <f>IF(Table1[[#This Row],[Position 1]]=0,0,FIND("/",Table1[[#This Row],[Final Obj Name]],Table1[[#This Row],[Position 1]]+1))</f>
        <v>0</v>
      </c>
      <c r="AK254" t="str">
        <f>IF(LEFT(Table1[[#This Row],[Final Obj Name]],1)="/",LEFT(Table1[[#This Row],[Final Obj Name]],FIND("/",Table1[[#This Row],[Final Obj Name]],2)),"/0SAP/")</f>
        <v>/0SAP/</v>
      </c>
    </row>
    <row r="255">
      <c r="A255" t="str">
        <v>DDLS</v>
      </c>
      <c r="B255" t="str">
        <v>ZPO_OPERATIONS_8</v>
      </c>
      <c r="C255" t="str">
        <v>DDLS</v>
      </c>
      <c r="D255" t="str">
        <v>ZPO_OPERATIONS_8</v>
      </c>
      <c r="G255" t="str">
        <v>ALL</v>
      </c>
      <c r="L255" t="str">
        <v>DDIC_SPDD</v>
      </c>
      <c r="M255">
        <v>45337</v>
      </c>
      <c r="N255">
        <v>0.40641203703704</v>
      </c>
      <c r="S255" t="str">
        <v>X</v>
      </c>
      <c r="W255" t="str">
        <v>P01K900067</v>
      </c>
      <c r="Y255">
        <f>IF(Table1[[#This Row],[OPERATION]]="NOTE","NOTE",Table1[[#This Row],[SUB_TYPE]])</f>
        <v>0</v>
      </c>
      <c r="Z255">
        <f>IF(Table1[[#This Row],[OPERATION]]="NOTE",NUMBERVALUE(LEFT(Table1[[#This Row],[MOD_NAME]],LEN(Table1[[#This Row],[MOD_NAME]])-4)),Table1[[#This Row],[SUB_NAME]])</f>
        <v>0</v>
      </c>
      <c r="AA255" t="str">
        <f>CONCAT(Table1[[#This Row],[Final Obj Type]],"|",Table1[[#This Row],[Final Obj Name]])</f>
        <v>0|0</v>
      </c>
      <c r="AB255" t="e">
        <f>VLOOKUP(Table1[[#This Row],[Final Obj Type]],Classification!B:E,3,FALSE)</f>
        <v>#N/A</v>
      </c>
      <c r="AC255" t="e">
        <f>VLOOKUP(Table1[[#This Row],[Final Obj Type]],Classification!B:E,4,FALSE)</f>
        <v>#N/A</v>
      </c>
      <c r="AD255" t="str">
        <f>IF(Table1[[#This Row],[Position 1]]=0,"/0SAP/",MID(Table1[[#This Row],[Final Obj Name]],Table1[[#This Row],[Position 1]],Table1[[#This Row],[Position 2]]-Table1[[#This Row],[Position 1]]+1))</f>
        <v>/0SAP/</v>
      </c>
      <c r="AE255" t="str">
        <f>VLOOKUP(Table1[[#This Row],[/* Object]],Namespace!A:J,10,FALSE)</f>
        <v>SAP AG</v>
      </c>
      <c r="AF255" t="str">
        <f>IF(VLOOKUP(Table1[[#This Row],[/* Object]],Namespace!A:J,4,FALSE)=0,"",VLOOKUP(Table1[[#This Row],[/* Object]],Namespace!A:J,4,FALSE))</f>
        <v>X</v>
      </c>
      <c r="AG255" t="str">
        <f>IF(VLOOKUP(Table1[[#This Row],[/* Object]],Namespace!A:J,5,FALSE)=0,"",VLOOKUP(Table1[[#This Row],[/* Object]],Namespace!A:J,5,FALSE))</f>
        <v>X</v>
      </c>
      <c r="AH255" t="str">
        <f>IF(VLOOKUP(Table1[[#This Row],[/* Object]],Namespace!A:J,6,FALSE)=0,"",VLOOKUP(Table1[[#This Row],[/* Object]],Namespace!A:J,6,FALSE))</f>
        <v/>
      </c>
      <c r="AI255">
        <f>IFERROR(FIND("/",Table1[[#This Row],[Final Obj Name]],1),0)</f>
        <v>0</v>
      </c>
      <c r="AJ255">
        <f>IF(Table1[[#This Row],[Position 1]]=0,0,FIND("/",Table1[[#This Row],[Final Obj Name]],Table1[[#This Row],[Position 1]]+1))</f>
        <v>0</v>
      </c>
      <c r="AK255" t="str">
        <f>IF(LEFT(Table1[[#This Row],[Final Obj Name]],1)="/",LEFT(Table1[[#This Row],[Final Obj Name]],FIND("/",Table1[[#This Row],[Final Obj Name]],2)),"/0SAP/")</f>
        <v>/0SAP/</v>
      </c>
    </row>
    <row r="256">
      <c r="A256" t="str">
        <v>DDLS</v>
      </c>
      <c r="B256" t="str">
        <v>ZPO_OPERATIONS_9</v>
      </c>
      <c r="C256" t="str">
        <v>DDLS</v>
      </c>
      <c r="D256" t="str">
        <v>ZPO_OPERATIONS_9</v>
      </c>
      <c r="G256" t="str">
        <v>ALL</v>
      </c>
      <c r="L256" t="str">
        <v>DDIC_SPDD</v>
      </c>
      <c r="M256">
        <v>45337</v>
      </c>
      <c r="N256">
        <v>0.37701388888889</v>
      </c>
      <c r="S256" t="str">
        <v>X</v>
      </c>
      <c r="W256" t="str">
        <v>P01K900067</v>
      </c>
      <c r="Y256">
        <f>IF(Table1[[#This Row],[OPERATION]]="NOTE","NOTE",Table1[[#This Row],[SUB_TYPE]])</f>
        <v>0</v>
      </c>
      <c r="Z256">
        <f>IF(Table1[[#This Row],[OPERATION]]="NOTE",NUMBERVALUE(LEFT(Table1[[#This Row],[MOD_NAME]],LEN(Table1[[#This Row],[MOD_NAME]])-4)),Table1[[#This Row],[SUB_NAME]])</f>
        <v>0</v>
      </c>
      <c r="AA256" t="str">
        <f>CONCAT(Table1[[#This Row],[Final Obj Type]],"|",Table1[[#This Row],[Final Obj Name]])</f>
        <v>0|0</v>
      </c>
      <c r="AB256" t="e">
        <f>VLOOKUP(Table1[[#This Row],[Final Obj Type]],Classification!B:E,3,FALSE)</f>
        <v>#N/A</v>
      </c>
      <c r="AC256" t="e">
        <f>VLOOKUP(Table1[[#This Row],[Final Obj Type]],Classification!B:E,4,FALSE)</f>
        <v>#N/A</v>
      </c>
      <c r="AD256" t="str">
        <f>IF(Table1[[#This Row],[Position 1]]=0,"/0SAP/",MID(Table1[[#This Row],[Final Obj Name]],Table1[[#This Row],[Position 1]],Table1[[#This Row],[Position 2]]-Table1[[#This Row],[Position 1]]+1))</f>
        <v>/0SAP/</v>
      </c>
      <c r="AE256" t="str">
        <f>VLOOKUP(Table1[[#This Row],[/* Object]],Namespace!A:J,10,FALSE)</f>
        <v>SAP AG</v>
      </c>
      <c r="AF256" t="str">
        <f>IF(VLOOKUP(Table1[[#This Row],[/* Object]],Namespace!A:J,4,FALSE)=0,"",VLOOKUP(Table1[[#This Row],[/* Object]],Namespace!A:J,4,FALSE))</f>
        <v>X</v>
      </c>
      <c r="AG256" t="str">
        <f>IF(VLOOKUP(Table1[[#This Row],[/* Object]],Namespace!A:J,5,FALSE)=0,"",VLOOKUP(Table1[[#This Row],[/* Object]],Namespace!A:J,5,FALSE))</f>
        <v>X</v>
      </c>
      <c r="AH256" t="str">
        <f>IF(VLOOKUP(Table1[[#This Row],[/* Object]],Namespace!A:J,6,FALSE)=0,"",VLOOKUP(Table1[[#This Row],[/* Object]],Namespace!A:J,6,FALSE))</f>
        <v/>
      </c>
      <c r="AI256">
        <f>IFERROR(FIND("/",Table1[[#This Row],[Final Obj Name]],1),0)</f>
        <v>0</v>
      </c>
      <c r="AJ256">
        <f>IF(Table1[[#This Row],[Position 1]]=0,0,FIND("/",Table1[[#This Row],[Final Obj Name]],Table1[[#This Row],[Position 1]]+1))</f>
        <v>0</v>
      </c>
      <c r="AK256" t="str">
        <f>IF(LEFT(Table1[[#This Row],[Final Obj Name]],1)="/",LEFT(Table1[[#This Row],[Final Obj Name]],FIND("/",Table1[[#This Row],[Final Obj Name]],2)),"/0SAP/")</f>
        <v>/0SAP/</v>
      </c>
    </row>
    <row r="257">
      <c r="A257" t="str">
        <v>DDLS</v>
      </c>
      <c r="B257" t="str">
        <v>ZPO_OP_CUSTOMFLDS</v>
      </c>
      <c r="C257" t="str">
        <v>DDLS</v>
      </c>
      <c r="D257" t="str">
        <v>ZPO_OP_CUSTOMFLDS</v>
      </c>
      <c r="G257" t="str">
        <v>ALL</v>
      </c>
      <c r="L257" t="str">
        <v>DDIC_SPDD</v>
      </c>
      <c r="M257">
        <v>45337</v>
      </c>
      <c r="N257">
        <v>0.37784722222222</v>
      </c>
      <c r="S257" t="str">
        <v>X</v>
      </c>
      <c r="W257" t="str">
        <v>P01K900067</v>
      </c>
      <c r="Y257">
        <f>IF(Table1[[#This Row],[OPERATION]]="NOTE","NOTE",Table1[[#This Row],[SUB_TYPE]])</f>
        <v>0</v>
      </c>
      <c r="Z257">
        <f>IF(Table1[[#This Row],[OPERATION]]="NOTE",NUMBERVALUE(LEFT(Table1[[#This Row],[MOD_NAME]],LEN(Table1[[#This Row],[MOD_NAME]])-4)),Table1[[#This Row],[SUB_NAME]])</f>
        <v>0</v>
      </c>
      <c r="AA257" t="str">
        <f>CONCAT(Table1[[#This Row],[Final Obj Type]],"|",Table1[[#This Row],[Final Obj Name]])</f>
        <v>0|0</v>
      </c>
      <c r="AB257" t="e">
        <f>VLOOKUP(Table1[[#This Row],[Final Obj Type]],Classification!B:E,3,FALSE)</f>
        <v>#N/A</v>
      </c>
      <c r="AC257" t="e">
        <f>VLOOKUP(Table1[[#This Row],[Final Obj Type]],Classification!B:E,4,FALSE)</f>
        <v>#N/A</v>
      </c>
      <c r="AD257" t="str">
        <f>IF(Table1[[#This Row],[Position 1]]=0,"/0SAP/",MID(Table1[[#This Row],[Final Obj Name]],Table1[[#This Row],[Position 1]],Table1[[#This Row],[Position 2]]-Table1[[#This Row],[Position 1]]+1))</f>
        <v>/0SAP/</v>
      </c>
      <c r="AE257" t="str">
        <f>VLOOKUP(Table1[[#This Row],[/* Object]],Namespace!A:J,10,FALSE)</f>
        <v>SAP AG</v>
      </c>
      <c r="AF257" t="str">
        <f>IF(VLOOKUP(Table1[[#This Row],[/* Object]],Namespace!A:J,4,FALSE)=0,"",VLOOKUP(Table1[[#This Row],[/* Object]],Namespace!A:J,4,FALSE))</f>
        <v>X</v>
      </c>
      <c r="AG257" t="str">
        <f>IF(VLOOKUP(Table1[[#This Row],[/* Object]],Namespace!A:J,5,FALSE)=0,"",VLOOKUP(Table1[[#This Row],[/* Object]],Namespace!A:J,5,FALSE))</f>
        <v>X</v>
      </c>
      <c r="AH257" t="str">
        <f>IF(VLOOKUP(Table1[[#This Row],[/* Object]],Namespace!A:J,6,FALSE)=0,"",VLOOKUP(Table1[[#This Row],[/* Object]],Namespace!A:J,6,FALSE))</f>
        <v/>
      </c>
      <c r="AI257">
        <f>IFERROR(FIND("/",Table1[[#This Row],[Final Obj Name]],1),0)</f>
        <v>0</v>
      </c>
      <c r="AJ257">
        <f>IF(Table1[[#This Row],[Position 1]]=0,0,FIND("/",Table1[[#This Row],[Final Obj Name]],Table1[[#This Row],[Position 1]]+1))</f>
        <v>0</v>
      </c>
      <c r="AK257" t="str">
        <f>IF(LEFT(Table1[[#This Row],[Final Obj Name]],1)="/",LEFT(Table1[[#This Row],[Final Obj Name]],FIND("/",Table1[[#This Row],[Final Obj Name]],2)),"/0SAP/")</f>
        <v>/0SAP/</v>
      </c>
    </row>
    <row r="258">
      <c r="A258" t="str">
        <v>DDLS</v>
      </c>
      <c r="B258" t="str">
        <v>ZPO_OP_CUSTOMFLDS2</v>
      </c>
      <c r="C258" t="str">
        <v>DDLS</v>
      </c>
      <c r="D258" t="str">
        <v>ZPO_OP_CUSTOMFLDS2</v>
      </c>
      <c r="G258" t="str">
        <v>ALL</v>
      </c>
      <c r="L258" t="str">
        <v>DDIC_SPDD</v>
      </c>
      <c r="M258">
        <v>45337</v>
      </c>
      <c r="N258">
        <v>0.37878472222222</v>
      </c>
      <c r="S258" t="str">
        <v>X</v>
      </c>
      <c r="W258" t="str">
        <v>P01K900067</v>
      </c>
      <c r="Y258">
        <f>IF(Table1[[#This Row],[OPERATION]]="NOTE","NOTE",Table1[[#This Row],[SUB_TYPE]])</f>
        <v>0</v>
      </c>
      <c r="Z258">
        <f>IF(Table1[[#This Row],[OPERATION]]="NOTE",NUMBERVALUE(LEFT(Table1[[#This Row],[MOD_NAME]],LEN(Table1[[#This Row],[MOD_NAME]])-4)),Table1[[#This Row],[SUB_NAME]])</f>
        <v>0</v>
      </c>
      <c r="AA258" t="str">
        <f>CONCAT(Table1[[#This Row],[Final Obj Type]],"|",Table1[[#This Row],[Final Obj Name]])</f>
        <v>0|0</v>
      </c>
      <c r="AB258" t="e">
        <f>VLOOKUP(Table1[[#This Row],[Final Obj Type]],Classification!B:E,3,FALSE)</f>
        <v>#N/A</v>
      </c>
      <c r="AC258" t="e">
        <f>VLOOKUP(Table1[[#This Row],[Final Obj Type]],Classification!B:E,4,FALSE)</f>
        <v>#N/A</v>
      </c>
      <c r="AD258" t="str">
        <f>IF(Table1[[#This Row],[Position 1]]=0,"/0SAP/",MID(Table1[[#This Row],[Final Obj Name]],Table1[[#This Row],[Position 1]],Table1[[#This Row],[Position 2]]-Table1[[#This Row],[Position 1]]+1))</f>
        <v>/0SAP/</v>
      </c>
      <c r="AE258" t="str">
        <f>VLOOKUP(Table1[[#This Row],[/* Object]],Namespace!A:J,10,FALSE)</f>
        <v>SAP AG</v>
      </c>
      <c r="AF258" t="str">
        <f>IF(VLOOKUP(Table1[[#This Row],[/* Object]],Namespace!A:J,4,FALSE)=0,"",VLOOKUP(Table1[[#This Row],[/* Object]],Namespace!A:J,4,FALSE))</f>
        <v>X</v>
      </c>
      <c r="AG258" t="str">
        <f>IF(VLOOKUP(Table1[[#This Row],[/* Object]],Namespace!A:J,5,FALSE)=0,"",VLOOKUP(Table1[[#This Row],[/* Object]],Namespace!A:J,5,FALSE))</f>
        <v>X</v>
      </c>
      <c r="AH258" t="str">
        <f>IF(VLOOKUP(Table1[[#This Row],[/* Object]],Namespace!A:J,6,FALSE)=0,"",VLOOKUP(Table1[[#This Row],[/* Object]],Namespace!A:J,6,FALSE))</f>
        <v/>
      </c>
      <c r="AI258">
        <f>IFERROR(FIND("/",Table1[[#This Row],[Final Obj Name]],1),0)</f>
        <v>0</v>
      </c>
      <c r="AJ258">
        <f>IF(Table1[[#This Row],[Position 1]]=0,0,FIND("/",Table1[[#This Row],[Final Obj Name]],Table1[[#This Row],[Position 1]]+1))</f>
        <v>0</v>
      </c>
      <c r="AK258" t="str">
        <f>IF(LEFT(Table1[[#This Row],[Final Obj Name]],1)="/",LEFT(Table1[[#This Row],[Final Obj Name]],FIND("/",Table1[[#This Row],[Final Obj Name]],2)),"/0SAP/")</f>
        <v>/0SAP/</v>
      </c>
    </row>
    <row r="259">
      <c r="A259" t="str">
        <v>DDLS</v>
      </c>
      <c r="B259" t="str">
        <v>ZPPCDS_IV_COMP_ISSUE_01</v>
      </c>
      <c r="C259" t="str">
        <v>DDLS</v>
      </c>
      <c r="D259" t="str">
        <v>ZPPCDS_IV_COMP_ISSUE_01</v>
      </c>
      <c r="G259" t="str">
        <v>ALL</v>
      </c>
      <c r="L259">
        <v>50095444</v>
      </c>
      <c r="M259">
        <v>44161</v>
      </c>
      <c r="N259">
        <v>0.47744212962963</v>
      </c>
      <c r="S259" t="str">
        <v>X</v>
      </c>
      <c r="W259" t="str">
        <v>S01K910312</v>
      </c>
      <c r="Y259">
        <f>IF(Table1[[#This Row],[OPERATION]]="NOTE","NOTE",Table1[[#This Row],[SUB_TYPE]])</f>
        <v>0</v>
      </c>
      <c r="Z259">
        <f>IF(Table1[[#This Row],[OPERATION]]="NOTE",NUMBERVALUE(LEFT(Table1[[#This Row],[MOD_NAME]],LEN(Table1[[#This Row],[MOD_NAME]])-4)),Table1[[#This Row],[SUB_NAME]])</f>
        <v>0</v>
      </c>
      <c r="AA259" t="str">
        <f>CONCAT(Table1[[#This Row],[Final Obj Type]],"|",Table1[[#This Row],[Final Obj Name]])</f>
        <v>0|0</v>
      </c>
      <c r="AB259" t="e">
        <f>VLOOKUP(Table1[[#This Row],[Final Obj Type]],Classification!B:E,3,FALSE)</f>
        <v>#N/A</v>
      </c>
      <c r="AC259" t="e">
        <f>VLOOKUP(Table1[[#This Row],[Final Obj Type]],Classification!B:E,4,FALSE)</f>
        <v>#N/A</v>
      </c>
      <c r="AD259" t="str">
        <f>IF(Table1[[#This Row],[Position 1]]=0,"/0SAP/",MID(Table1[[#This Row],[Final Obj Name]],Table1[[#This Row],[Position 1]],Table1[[#This Row],[Position 2]]-Table1[[#This Row],[Position 1]]+1))</f>
        <v>/0SAP/</v>
      </c>
      <c r="AE259" t="str">
        <f>VLOOKUP(Table1[[#This Row],[/* Object]],Namespace!A:J,10,FALSE)</f>
        <v>SAP AG</v>
      </c>
      <c r="AF259" t="str">
        <f>IF(VLOOKUP(Table1[[#This Row],[/* Object]],Namespace!A:J,4,FALSE)=0,"",VLOOKUP(Table1[[#This Row],[/* Object]],Namespace!A:J,4,FALSE))</f>
        <v>X</v>
      </c>
      <c r="AG259" t="str">
        <f>IF(VLOOKUP(Table1[[#This Row],[/* Object]],Namespace!A:J,5,FALSE)=0,"",VLOOKUP(Table1[[#This Row],[/* Object]],Namespace!A:J,5,FALSE))</f>
        <v>X</v>
      </c>
      <c r="AH259" t="str">
        <f>IF(VLOOKUP(Table1[[#This Row],[/* Object]],Namespace!A:J,6,FALSE)=0,"",VLOOKUP(Table1[[#This Row],[/* Object]],Namespace!A:J,6,FALSE))</f>
        <v/>
      </c>
      <c r="AI259">
        <f>IFERROR(FIND("/",Table1[[#This Row],[Final Obj Name]],1),0)</f>
        <v>0</v>
      </c>
      <c r="AJ259">
        <f>IF(Table1[[#This Row],[Position 1]]=0,0,FIND("/",Table1[[#This Row],[Final Obj Name]],Table1[[#This Row],[Position 1]]+1))</f>
        <v>0</v>
      </c>
      <c r="AK259" t="str">
        <f>IF(LEFT(Table1[[#This Row],[Final Obj Name]],1)="/",LEFT(Table1[[#This Row],[Final Obj Name]],FIND("/",Table1[[#This Row],[Final Obj Name]],2)),"/0SAP/")</f>
        <v>/0SAP/</v>
      </c>
    </row>
    <row r="260">
      <c r="A260" t="str">
        <v>DDLS</v>
      </c>
      <c r="B260" t="str">
        <v>ZPRODORD_OPERTSH_AVAILDATE</v>
      </c>
      <c r="C260" t="str">
        <v>DDLS</v>
      </c>
      <c r="D260" t="str">
        <v>ZPRODORD_OPERTSH_AVAILDATE</v>
      </c>
      <c r="G260" t="str">
        <v>ALL</v>
      </c>
      <c r="L260" t="str">
        <v>DDIC_SPDD</v>
      </c>
      <c r="M260">
        <v>45337</v>
      </c>
      <c r="N260">
        <v>0.37972222222222</v>
      </c>
      <c r="S260" t="str">
        <v>X</v>
      </c>
      <c r="W260" t="str">
        <v>P01K900067</v>
      </c>
      <c r="Y260">
        <f>IF(Table1[[#This Row],[OPERATION]]="NOTE","NOTE",Table1[[#This Row],[SUB_TYPE]])</f>
        <v>0</v>
      </c>
      <c r="Z260">
        <f>IF(Table1[[#This Row],[OPERATION]]="NOTE",NUMBERVALUE(LEFT(Table1[[#This Row],[MOD_NAME]],LEN(Table1[[#This Row],[MOD_NAME]])-4)),Table1[[#This Row],[SUB_NAME]])</f>
        <v>0</v>
      </c>
      <c r="AA260" t="str">
        <f>CONCAT(Table1[[#This Row],[Final Obj Type]],"|",Table1[[#This Row],[Final Obj Name]])</f>
        <v>0|0</v>
      </c>
      <c r="AB260" t="e">
        <f>VLOOKUP(Table1[[#This Row],[Final Obj Type]],Classification!B:E,3,FALSE)</f>
        <v>#N/A</v>
      </c>
      <c r="AC260" t="e">
        <f>VLOOKUP(Table1[[#This Row],[Final Obj Type]],Classification!B:E,4,FALSE)</f>
        <v>#N/A</v>
      </c>
      <c r="AD260" t="str">
        <f>IF(Table1[[#This Row],[Position 1]]=0,"/0SAP/",MID(Table1[[#This Row],[Final Obj Name]],Table1[[#This Row],[Position 1]],Table1[[#This Row],[Position 2]]-Table1[[#This Row],[Position 1]]+1))</f>
        <v>/0SAP/</v>
      </c>
      <c r="AE260" t="str">
        <f>VLOOKUP(Table1[[#This Row],[/* Object]],Namespace!A:J,10,FALSE)</f>
        <v>SAP AG</v>
      </c>
      <c r="AF260" t="str">
        <f>IF(VLOOKUP(Table1[[#This Row],[/* Object]],Namespace!A:J,4,FALSE)=0,"",VLOOKUP(Table1[[#This Row],[/* Object]],Namespace!A:J,4,FALSE))</f>
        <v>X</v>
      </c>
      <c r="AG260" t="str">
        <f>IF(VLOOKUP(Table1[[#This Row],[/* Object]],Namespace!A:J,5,FALSE)=0,"",VLOOKUP(Table1[[#This Row],[/* Object]],Namespace!A:J,5,FALSE))</f>
        <v>X</v>
      </c>
      <c r="AH260" t="str">
        <f>IF(VLOOKUP(Table1[[#This Row],[/* Object]],Namespace!A:J,6,FALSE)=0,"",VLOOKUP(Table1[[#This Row],[/* Object]],Namespace!A:J,6,FALSE))</f>
        <v/>
      </c>
      <c r="AI260">
        <f>IFERROR(FIND("/",Table1[[#This Row],[Final Obj Name]],1),0)</f>
        <v>0</v>
      </c>
      <c r="AJ260">
        <f>IF(Table1[[#This Row],[Position 1]]=0,0,FIND("/",Table1[[#This Row],[Final Obj Name]],Table1[[#This Row],[Position 1]]+1))</f>
        <v>0</v>
      </c>
      <c r="AK260" t="str">
        <f>IF(LEFT(Table1[[#This Row],[Final Obj Name]],1)="/",LEFT(Table1[[#This Row],[Final Obj Name]],FIND("/",Table1[[#This Row],[Final Obj Name]],2)),"/0SAP/")</f>
        <v>/0SAP/</v>
      </c>
    </row>
    <row r="261">
      <c r="A261" t="str">
        <v>DDLS</v>
      </c>
      <c r="B261" t="str">
        <v>ZPRODORD_OPERTS_COMPONENTS</v>
      </c>
      <c r="C261" t="str">
        <v>DDLS</v>
      </c>
      <c r="D261" t="str">
        <v>ZPRODORD_OPERTS_COMPONENTS</v>
      </c>
      <c r="G261" t="str">
        <v>ALL</v>
      </c>
      <c r="L261" t="str">
        <v>DDIC_SPDD</v>
      </c>
      <c r="M261">
        <v>45337</v>
      </c>
      <c r="N261">
        <v>0.38043981481481</v>
      </c>
      <c r="S261" t="str">
        <v>X</v>
      </c>
      <c r="W261" t="str">
        <v>P01K900067</v>
      </c>
      <c r="Y261">
        <f>IF(Table1[[#This Row],[OPERATION]]="NOTE","NOTE",Table1[[#This Row],[SUB_TYPE]])</f>
        <v>0</v>
      </c>
      <c r="Z261">
        <f>IF(Table1[[#This Row],[OPERATION]]="NOTE",NUMBERVALUE(LEFT(Table1[[#This Row],[MOD_NAME]],LEN(Table1[[#This Row],[MOD_NAME]])-4)),Table1[[#This Row],[SUB_NAME]])</f>
        <v>0</v>
      </c>
      <c r="AA261" t="str">
        <f>CONCAT(Table1[[#This Row],[Final Obj Type]],"|",Table1[[#This Row],[Final Obj Name]])</f>
        <v>0|0</v>
      </c>
      <c r="AB261" t="e">
        <f>VLOOKUP(Table1[[#This Row],[Final Obj Type]],Classification!B:E,3,FALSE)</f>
        <v>#N/A</v>
      </c>
      <c r="AC261" t="e">
        <f>VLOOKUP(Table1[[#This Row],[Final Obj Type]],Classification!B:E,4,FALSE)</f>
        <v>#N/A</v>
      </c>
      <c r="AD261" t="str">
        <f>IF(Table1[[#This Row],[Position 1]]=0,"/0SAP/",MID(Table1[[#This Row],[Final Obj Name]],Table1[[#This Row],[Position 1]],Table1[[#This Row],[Position 2]]-Table1[[#This Row],[Position 1]]+1))</f>
        <v>/0SAP/</v>
      </c>
      <c r="AE261" t="str">
        <f>VLOOKUP(Table1[[#This Row],[/* Object]],Namespace!A:J,10,FALSE)</f>
        <v>SAP AG</v>
      </c>
      <c r="AF261" t="str">
        <f>IF(VLOOKUP(Table1[[#This Row],[/* Object]],Namespace!A:J,4,FALSE)=0,"",VLOOKUP(Table1[[#This Row],[/* Object]],Namespace!A:J,4,FALSE))</f>
        <v>X</v>
      </c>
      <c r="AG261" t="str">
        <f>IF(VLOOKUP(Table1[[#This Row],[/* Object]],Namespace!A:J,5,FALSE)=0,"",VLOOKUP(Table1[[#This Row],[/* Object]],Namespace!A:J,5,FALSE))</f>
        <v>X</v>
      </c>
      <c r="AH261" t="str">
        <f>IF(VLOOKUP(Table1[[#This Row],[/* Object]],Namespace!A:J,6,FALSE)=0,"",VLOOKUP(Table1[[#This Row],[/* Object]],Namespace!A:J,6,FALSE))</f>
        <v/>
      </c>
      <c r="AI261">
        <f>IFERROR(FIND("/",Table1[[#This Row],[Final Obj Name]],1),0)</f>
        <v>0</v>
      </c>
      <c r="AJ261">
        <f>IF(Table1[[#This Row],[Position 1]]=0,0,FIND("/",Table1[[#This Row],[Final Obj Name]],Table1[[#This Row],[Position 1]]+1))</f>
        <v>0</v>
      </c>
      <c r="AK261" t="str">
        <f>IF(LEFT(Table1[[#This Row],[Final Obj Name]],1)="/",LEFT(Table1[[#This Row],[Final Obj Name]],FIND("/",Table1[[#This Row],[Final Obj Name]],2)),"/0SAP/")</f>
        <v>/0SAP/</v>
      </c>
    </row>
    <row r="262">
      <c r="A262" t="str">
        <v>DDLS</v>
      </c>
      <c r="B262" t="str">
        <v>ZPRODORD_OPERTS_CONF</v>
      </c>
      <c r="C262" t="str">
        <v>DDLS</v>
      </c>
      <c r="D262" t="str">
        <v>ZPRODORD_OPERTS_CONF</v>
      </c>
      <c r="G262" t="str">
        <v>ALL</v>
      </c>
      <c r="L262" t="str">
        <v>DDIC_SPDD</v>
      </c>
      <c r="M262">
        <v>45337</v>
      </c>
      <c r="N262">
        <v>0.38159722222222</v>
      </c>
      <c r="S262" t="str">
        <v>X</v>
      </c>
      <c r="W262" t="str">
        <v>P01K900067</v>
      </c>
      <c r="Y262">
        <f>IF(Table1[[#This Row],[OPERATION]]="NOTE","NOTE",Table1[[#This Row],[SUB_TYPE]])</f>
        <v>0</v>
      </c>
      <c r="Z262">
        <f>IF(Table1[[#This Row],[OPERATION]]="NOTE",NUMBERVALUE(LEFT(Table1[[#This Row],[MOD_NAME]],LEN(Table1[[#This Row],[MOD_NAME]])-4)),Table1[[#This Row],[SUB_NAME]])</f>
        <v>0</v>
      </c>
      <c r="AA262" t="str">
        <f>CONCAT(Table1[[#This Row],[Final Obj Type]],"|",Table1[[#This Row],[Final Obj Name]])</f>
        <v>0|0</v>
      </c>
      <c r="AB262" t="e">
        <f>VLOOKUP(Table1[[#This Row],[Final Obj Type]],Classification!B:E,3,FALSE)</f>
        <v>#N/A</v>
      </c>
      <c r="AC262" t="e">
        <f>VLOOKUP(Table1[[#This Row],[Final Obj Type]],Classification!B:E,4,FALSE)</f>
        <v>#N/A</v>
      </c>
      <c r="AD262" t="str">
        <f>IF(Table1[[#This Row],[Position 1]]=0,"/0SAP/",MID(Table1[[#This Row],[Final Obj Name]],Table1[[#This Row],[Position 1]],Table1[[#This Row],[Position 2]]-Table1[[#This Row],[Position 1]]+1))</f>
        <v>/0SAP/</v>
      </c>
      <c r="AE262" t="str">
        <f>VLOOKUP(Table1[[#This Row],[/* Object]],Namespace!A:J,10,FALSE)</f>
        <v>SAP AG</v>
      </c>
      <c r="AF262" t="str">
        <f>IF(VLOOKUP(Table1[[#This Row],[/* Object]],Namespace!A:J,4,FALSE)=0,"",VLOOKUP(Table1[[#This Row],[/* Object]],Namespace!A:J,4,FALSE))</f>
        <v>X</v>
      </c>
      <c r="AG262" t="str">
        <f>IF(VLOOKUP(Table1[[#This Row],[/* Object]],Namespace!A:J,5,FALSE)=0,"",VLOOKUP(Table1[[#This Row],[/* Object]],Namespace!A:J,5,FALSE))</f>
        <v>X</v>
      </c>
      <c r="AH262" t="str">
        <f>IF(VLOOKUP(Table1[[#This Row],[/* Object]],Namespace!A:J,6,FALSE)=0,"",VLOOKUP(Table1[[#This Row],[/* Object]],Namespace!A:J,6,FALSE))</f>
        <v/>
      </c>
      <c r="AI262">
        <f>IFERROR(FIND("/",Table1[[#This Row],[Final Obj Name]],1),0)</f>
        <v>0</v>
      </c>
      <c r="AJ262">
        <f>IF(Table1[[#This Row],[Position 1]]=0,0,FIND("/",Table1[[#This Row],[Final Obj Name]],Table1[[#This Row],[Position 1]]+1))</f>
        <v>0</v>
      </c>
      <c r="AK262" t="str">
        <f>IF(LEFT(Table1[[#This Row],[Final Obj Name]],1)="/",LEFT(Table1[[#This Row],[Final Obj Name]],FIND("/",Table1[[#This Row],[Final Obj Name]],2)),"/0SAP/")</f>
        <v>/0SAP/</v>
      </c>
    </row>
    <row r="263">
      <c r="A263" t="str">
        <v>DDLS</v>
      </c>
      <c r="B263" t="str">
        <v>ZPRODORD_OPERTS_HEADER</v>
      </c>
      <c r="C263" t="str">
        <v>DDLS</v>
      </c>
      <c r="D263" t="str">
        <v>ZPRODORD_OPERTS_HEADER</v>
      </c>
      <c r="G263" t="str">
        <v>ALL</v>
      </c>
      <c r="L263" t="str">
        <v>DDIC_SPDD</v>
      </c>
      <c r="M263">
        <v>45337</v>
      </c>
      <c r="N263">
        <v>0.38234953703704</v>
      </c>
      <c r="S263" t="str">
        <v>X</v>
      </c>
      <c r="W263" t="str">
        <v>P01K900067</v>
      </c>
      <c r="Y263">
        <f>IF(Table1[[#This Row],[OPERATION]]="NOTE","NOTE",Table1[[#This Row],[SUB_TYPE]])</f>
        <v>0</v>
      </c>
      <c r="Z263">
        <f>IF(Table1[[#This Row],[OPERATION]]="NOTE",NUMBERVALUE(LEFT(Table1[[#This Row],[MOD_NAME]],LEN(Table1[[#This Row],[MOD_NAME]])-4)),Table1[[#This Row],[SUB_NAME]])</f>
        <v>0</v>
      </c>
      <c r="AA263" t="str">
        <f>CONCAT(Table1[[#This Row],[Final Obj Type]],"|",Table1[[#This Row],[Final Obj Name]])</f>
        <v>0|0</v>
      </c>
      <c r="AB263" t="e">
        <f>VLOOKUP(Table1[[#This Row],[Final Obj Type]],Classification!B:E,3,FALSE)</f>
        <v>#N/A</v>
      </c>
      <c r="AC263" t="e">
        <f>VLOOKUP(Table1[[#This Row],[Final Obj Type]],Classification!B:E,4,FALSE)</f>
        <v>#N/A</v>
      </c>
      <c r="AD263" t="str">
        <f>IF(Table1[[#This Row],[Position 1]]=0,"/0SAP/",MID(Table1[[#This Row],[Final Obj Name]],Table1[[#This Row],[Position 1]],Table1[[#This Row],[Position 2]]-Table1[[#This Row],[Position 1]]+1))</f>
        <v>/0SAP/</v>
      </c>
      <c r="AE263" t="str">
        <f>VLOOKUP(Table1[[#This Row],[/* Object]],Namespace!A:J,10,FALSE)</f>
        <v>SAP AG</v>
      </c>
      <c r="AF263" t="str">
        <f>IF(VLOOKUP(Table1[[#This Row],[/* Object]],Namespace!A:J,4,FALSE)=0,"",VLOOKUP(Table1[[#This Row],[/* Object]],Namespace!A:J,4,FALSE))</f>
        <v>X</v>
      </c>
      <c r="AG263" t="str">
        <f>IF(VLOOKUP(Table1[[#This Row],[/* Object]],Namespace!A:J,5,FALSE)=0,"",VLOOKUP(Table1[[#This Row],[/* Object]],Namespace!A:J,5,FALSE))</f>
        <v>X</v>
      </c>
      <c r="AH263" t="str">
        <f>IF(VLOOKUP(Table1[[#This Row],[/* Object]],Namespace!A:J,6,FALSE)=0,"",VLOOKUP(Table1[[#This Row],[/* Object]],Namespace!A:J,6,FALSE))</f>
        <v/>
      </c>
      <c r="AI263">
        <f>IFERROR(FIND("/",Table1[[#This Row],[Final Obj Name]],1),0)</f>
        <v>0</v>
      </c>
      <c r="AJ263">
        <f>IF(Table1[[#This Row],[Position 1]]=0,0,FIND("/",Table1[[#This Row],[Final Obj Name]],Table1[[#This Row],[Position 1]]+1))</f>
        <v>0</v>
      </c>
      <c r="AK263" t="str">
        <f>IF(LEFT(Table1[[#This Row],[Final Obj Name]],1)="/",LEFT(Table1[[#This Row],[Final Obj Name]],FIND("/",Table1[[#This Row],[Final Obj Name]],2)),"/0SAP/")</f>
        <v>/0SAP/</v>
      </c>
    </row>
    <row r="264">
      <c r="A264" t="str">
        <v>DDLS</v>
      </c>
      <c r="B264" t="str">
        <v>ZPRODORD_OPERTS_OPERATIONS</v>
      </c>
      <c r="C264" t="str">
        <v>DDLS</v>
      </c>
      <c r="D264" t="str">
        <v>ZPRODORD_OPERTS_OPERATIONS</v>
      </c>
      <c r="G264" t="str">
        <v>ALL</v>
      </c>
      <c r="L264" t="str">
        <v>DDIC_SPDD</v>
      </c>
      <c r="M264">
        <v>45337</v>
      </c>
      <c r="N264">
        <v>0.38319444444444</v>
      </c>
      <c r="S264" t="str">
        <v>X</v>
      </c>
      <c r="W264" t="str">
        <v>P01K900067</v>
      </c>
      <c r="Y264">
        <f>IF(Table1[[#This Row],[OPERATION]]="NOTE","NOTE",Table1[[#This Row],[SUB_TYPE]])</f>
        <v>0</v>
      </c>
      <c r="Z264">
        <f>IF(Table1[[#This Row],[OPERATION]]="NOTE",NUMBERVALUE(LEFT(Table1[[#This Row],[MOD_NAME]],LEN(Table1[[#This Row],[MOD_NAME]])-4)),Table1[[#This Row],[SUB_NAME]])</f>
        <v>0</v>
      </c>
      <c r="AA264" t="str">
        <f>CONCAT(Table1[[#This Row],[Final Obj Type]],"|",Table1[[#This Row],[Final Obj Name]])</f>
        <v>0|0</v>
      </c>
      <c r="AB264" t="e">
        <f>VLOOKUP(Table1[[#This Row],[Final Obj Type]],Classification!B:E,3,FALSE)</f>
        <v>#N/A</v>
      </c>
      <c r="AC264" t="e">
        <f>VLOOKUP(Table1[[#This Row],[Final Obj Type]],Classification!B:E,4,FALSE)</f>
        <v>#N/A</v>
      </c>
      <c r="AD264" t="str">
        <f>IF(Table1[[#This Row],[Position 1]]=0,"/0SAP/",MID(Table1[[#This Row],[Final Obj Name]],Table1[[#This Row],[Position 1]],Table1[[#This Row],[Position 2]]-Table1[[#This Row],[Position 1]]+1))</f>
        <v>/0SAP/</v>
      </c>
      <c r="AE264" t="str">
        <f>VLOOKUP(Table1[[#This Row],[/* Object]],Namespace!A:J,10,FALSE)</f>
        <v>SAP AG</v>
      </c>
      <c r="AF264" t="str">
        <f>IF(VLOOKUP(Table1[[#This Row],[/* Object]],Namespace!A:J,4,FALSE)=0,"",VLOOKUP(Table1[[#This Row],[/* Object]],Namespace!A:J,4,FALSE))</f>
        <v>X</v>
      </c>
      <c r="AG264" t="str">
        <f>IF(VLOOKUP(Table1[[#This Row],[/* Object]],Namespace!A:J,5,FALSE)=0,"",VLOOKUP(Table1[[#This Row],[/* Object]],Namespace!A:J,5,FALSE))</f>
        <v>X</v>
      </c>
      <c r="AH264" t="str">
        <f>IF(VLOOKUP(Table1[[#This Row],[/* Object]],Namespace!A:J,6,FALSE)=0,"",VLOOKUP(Table1[[#This Row],[/* Object]],Namespace!A:J,6,FALSE))</f>
        <v/>
      </c>
      <c r="AI264">
        <f>IFERROR(FIND("/",Table1[[#This Row],[Final Obj Name]],1),0)</f>
        <v>0</v>
      </c>
      <c r="AJ264">
        <f>IF(Table1[[#This Row],[Position 1]]=0,0,FIND("/",Table1[[#This Row],[Final Obj Name]],Table1[[#This Row],[Position 1]]+1))</f>
        <v>0</v>
      </c>
      <c r="AK264" t="str">
        <f>IF(LEFT(Table1[[#This Row],[Final Obj Name]],1)="/",LEFT(Table1[[#This Row],[Final Obj Name]],FIND("/",Table1[[#This Row],[Final Obj Name]],2)),"/0SAP/")</f>
        <v>/0SAP/</v>
      </c>
    </row>
    <row r="265">
      <c r="A265" t="str">
        <v>DDLS</v>
      </c>
      <c r="B265" t="str">
        <v>ZPTMCDS_GET_PROD_ORD_M</v>
      </c>
      <c r="C265" t="str">
        <v>DDLS</v>
      </c>
      <c r="D265" t="str">
        <v>ZPTMCDS_GET_PROD_ORD_M</v>
      </c>
      <c r="G265" t="str">
        <v>ALL</v>
      </c>
      <c r="L265" t="str">
        <v>NIM</v>
      </c>
      <c r="M265">
        <v>46079</v>
      </c>
      <c r="N265">
        <v>0.35765046296296</v>
      </c>
      <c r="S265" t="str">
        <v>X</v>
      </c>
      <c r="W265" t="str">
        <v>S01K928564</v>
      </c>
      <c r="Y265">
        <f>IF(Table1[[#This Row],[OPERATION]]="NOTE","NOTE",Table1[[#This Row],[SUB_TYPE]])</f>
        <v>0</v>
      </c>
      <c r="Z265">
        <f>IF(Table1[[#This Row],[OPERATION]]="NOTE",NUMBERVALUE(LEFT(Table1[[#This Row],[MOD_NAME]],LEN(Table1[[#This Row],[MOD_NAME]])-4)),Table1[[#This Row],[SUB_NAME]])</f>
        <v>0</v>
      </c>
      <c r="AA265" t="str">
        <f>CONCAT(Table1[[#This Row],[Final Obj Type]],"|",Table1[[#This Row],[Final Obj Name]])</f>
        <v>0|0</v>
      </c>
      <c r="AB265" t="e">
        <f>VLOOKUP(Table1[[#This Row],[Final Obj Type]],Classification!B:E,3,FALSE)</f>
        <v>#N/A</v>
      </c>
      <c r="AC265" t="e">
        <f>VLOOKUP(Table1[[#This Row],[Final Obj Type]],Classification!B:E,4,FALSE)</f>
        <v>#N/A</v>
      </c>
      <c r="AD265" t="str">
        <f>IF(Table1[[#This Row],[Position 1]]=0,"/0SAP/",MID(Table1[[#This Row],[Final Obj Name]],Table1[[#This Row],[Position 1]],Table1[[#This Row],[Position 2]]-Table1[[#This Row],[Position 1]]+1))</f>
        <v>/0SAP/</v>
      </c>
      <c r="AE265" t="str">
        <f>VLOOKUP(Table1[[#This Row],[/* Object]],Namespace!A:J,10,FALSE)</f>
        <v>SAP AG</v>
      </c>
      <c r="AF265" t="str">
        <f>IF(VLOOKUP(Table1[[#This Row],[/* Object]],Namespace!A:J,4,FALSE)=0,"",VLOOKUP(Table1[[#This Row],[/* Object]],Namespace!A:J,4,FALSE))</f>
        <v>X</v>
      </c>
      <c r="AG265" t="str">
        <f>IF(VLOOKUP(Table1[[#This Row],[/* Object]],Namespace!A:J,5,FALSE)=0,"",VLOOKUP(Table1[[#This Row],[/* Object]],Namespace!A:J,5,FALSE))</f>
        <v>X</v>
      </c>
      <c r="AH265" t="str">
        <f>IF(VLOOKUP(Table1[[#This Row],[/* Object]],Namespace!A:J,6,FALSE)=0,"",VLOOKUP(Table1[[#This Row],[/* Object]],Namespace!A:J,6,FALSE))</f>
        <v/>
      </c>
      <c r="AI265">
        <f>IFERROR(FIND("/",Table1[[#This Row],[Final Obj Name]],1),0)</f>
        <v>0</v>
      </c>
      <c r="AJ265">
        <f>IF(Table1[[#This Row],[Position 1]]=0,0,FIND("/",Table1[[#This Row],[Final Obj Name]],Table1[[#This Row],[Position 1]]+1))</f>
        <v>0</v>
      </c>
      <c r="AK265" t="str">
        <f>IF(LEFT(Table1[[#This Row],[Final Obj Name]],1)="/",LEFT(Table1[[#This Row],[Final Obj Name]],FIND("/",Table1[[#This Row],[Final Obj Name]],2)),"/0SAP/")</f>
        <v>/0SAP/</v>
      </c>
    </row>
    <row r="266">
      <c r="A266" t="str">
        <v>DDLS</v>
      </c>
      <c r="B266" t="str">
        <v>ZPTM_CV_SERVICE_ORDER</v>
      </c>
      <c r="C266" t="str">
        <v>DDLS</v>
      </c>
      <c r="D266" t="str">
        <v>ZPTM_CV_SERVICE_ORDER</v>
      </c>
      <c r="G266" t="str">
        <v>ALL</v>
      </c>
      <c r="L266">
        <v>50095444</v>
      </c>
      <c r="M266">
        <v>44176</v>
      </c>
      <c r="N266">
        <v>0.49819444444444</v>
      </c>
      <c r="S266" t="str">
        <v>X</v>
      </c>
      <c r="W266" t="str">
        <v>S01K910373</v>
      </c>
      <c r="Y266">
        <f>IF(Table1[[#This Row],[OPERATION]]="NOTE","NOTE",Table1[[#This Row],[SUB_TYPE]])</f>
        <v>0</v>
      </c>
      <c r="Z266">
        <f>IF(Table1[[#This Row],[OPERATION]]="NOTE",NUMBERVALUE(LEFT(Table1[[#This Row],[MOD_NAME]],LEN(Table1[[#This Row],[MOD_NAME]])-4)),Table1[[#This Row],[SUB_NAME]])</f>
        <v>0</v>
      </c>
      <c r="AA266" t="str">
        <f>CONCAT(Table1[[#This Row],[Final Obj Type]],"|",Table1[[#This Row],[Final Obj Name]])</f>
        <v>0|0</v>
      </c>
      <c r="AB266" t="e">
        <f>VLOOKUP(Table1[[#This Row],[Final Obj Type]],Classification!B:E,3,FALSE)</f>
        <v>#N/A</v>
      </c>
      <c r="AC266" t="e">
        <f>VLOOKUP(Table1[[#This Row],[Final Obj Type]],Classification!B:E,4,FALSE)</f>
        <v>#N/A</v>
      </c>
      <c r="AD266" t="str">
        <f>IF(Table1[[#This Row],[Position 1]]=0,"/0SAP/",MID(Table1[[#This Row],[Final Obj Name]],Table1[[#This Row],[Position 1]],Table1[[#This Row],[Position 2]]-Table1[[#This Row],[Position 1]]+1))</f>
        <v>/0SAP/</v>
      </c>
      <c r="AE266" t="str">
        <f>VLOOKUP(Table1[[#This Row],[/* Object]],Namespace!A:J,10,FALSE)</f>
        <v>SAP AG</v>
      </c>
      <c r="AF266" t="str">
        <f>IF(VLOOKUP(Table1[[#This Row],[/* Object]],Namespace!A:J,4,FALSE)=0,"",VLOOKUP(Table1[[#This Row],[/* Object]],Namespace!A:J,4,FALSE))</f>
        <v>X</v>
      </c>
      <c r="AG266" t="str">
        <f>IF(VLOOKUP(Table1[[#This Row],[/* Object]],Namespace!A:J,5,FALSE)=0,"",VLOOKUP(Table1[[#This Row],[/* Object]],Namespace!A:J,5,FALSE))</f>
        <v>X</v>
      </c>
      <c r="AH266" t="str">
        <f>IF(VLOOKUP(Table1[[#This Row],[/* Object]],Namespace!A:J,6,FALSE)=0,"",VLOOKUP(Table1[[#This Row],[/* Object]],Namespace!A:J,6,FALSE))</f>
        <v/>
      </c>
      <c r="AI266">
        <f>IFERROR(FIND("/",Table1[[#This Row],[Final Obj Name]],1),0)</f>
        <v>0</v>
      </c>
      <c r="AJ266">
        <f>IF(Table1[[#This Row],[Position 1]]=0,0,FIND("/",Table1[[#This Row],[Final Obj Name]],Table1[[#This Row],[Position 1]]+1))</f>
        <v>0</v>
      </c>
      <c r="AK266" t="str">
        <f>IF(LEFT(Table1[[#This Row],[Final Obj Name]],1)="/",LEFT(Table1[[#This Row],[Final Obj Name]],FIND("/",Table1[[#This Row],[Final Obj Name]],2)),"/0SAP/")</f>
        <v>/0SAP/</v>
      </c>
    </row>
    <row r="267">
      <c r="A267" t="str">
        <v>DDLS</v>
      </c>
      <c r="B267" t="str">
        <v>ZPTM_IV_MFGORD</v>
      </c>
      <c r="C267" t="str">
        <v>DDLS</v>
      </c>
      <c r="D267" t="str">
        <v>ZPTM_IV_MFGORD</v>
      </c>
      <c r="G267" t="str">
        <v>ALL</v>
      </c>
      <c r="L267" t="str">
        <v>DDIC_SPDD</v>
      </c>
      <c r="M267">
        <v>45337</v>
      </c>
      <c r="N267">
        <v>0.36090277777778</v>
      </c>
      <c r="S267" t="str">
        <v>X</v>
      </c>
      <c r="W267" t="str">
        <v>P01K900067</v>
      </c>
      <c r="Y267">
        <f>IF(Table1[[#This Row],[OPERATION]]="NOTE","NOTE",Table1[[#This Row],[SUB_TYPE]])</f>
        <v>0</v>
      </c>
      <c r="Z267">
        <f>IF(Table1[[#This Row],[OPERATION]]="NOTE",NUMBERVALUE(LEFT(Table1[[#This Row],[MOD_NAME]],LEN(Table1[[#This Row],[MOD_NAME]])-4)),Table1[[#This Row],[SUB_NAME]])</f>
        <v>0</v>
      </c>
      <c r="AA267" t="str">
        <f>CONCAT(Table1[[#This Row],[Final Obj Type]],"|",Table1[[#This Row],[Final Obj Name]])</f>
        <v>0|0</v>
      </c>
      <c r="AB267" t="e">
        <f>VLOOKUP(Table1[[#This Row],[Final Obj Type]],Classification!B:E,3,FALSE)</f>
        <v>#N/A</v>
      </c>
      <c r="AC267" t="e">
        <f>VLOOKUP(Table1[[#This Row],[Final Obj Type]],Classification!B:E,4,FALSE)</f>
        <v>#N/A</v>
      </c>
      <c r="AD267" t="str">
        <f>IF(Table1[[#This Row],[Position 1]]=0,"/0SAP/",MID(Table1[[#This Row],[Final Obj Name]],Table1[[#This Row],[Position 1]],Table1[[#This Row],[Position 2]]-Table1[[#This Row],[Position 1]]+1))</f>
        <v>/0SAP/</v>
      </c>
      <c r="AE267" t="str">
        <f>VLOOKUP(Table1[[#This Row],[/* Object]],Namespace!A:J,10,FALSE)</f>
        <v>SAP AG</v>
      </c>
      <c r="AF267" t="str">
        <f>IF(VLOOKUP(Table1[[#This Row],[/* Object]],Namespace!A:J,4,FALSE)=0,"",VLOOKUP(Table1[[#This Row],[/* Object]],Namespace!A:J,4,FALSE))</f>
        <v>X</v>
      </c>
      <c r="AG267" t="str">
        <f>IF(VLOOKUP(Table1[[#This Row],[/* Object]],Namespace!A:J,5,FALSE)=0,"",VLOOKUP(Table1[[#This Row],[/* Object]],Namespace!A:J,5,FALSE))</f>
        <v>X</v>
      </c>
      <c r="AH267" t="str">
        <f>IF(VLOOKUP(Table1[[#This Row],[/* Object]],Namespace!A:J,6,FALSE)=0,"",VLOOKUP(Table1[[#This Row],[/* Object]],Namespace!A:J,6,FALSE))</f>
        <v/>
      </c>
      <c r="AI267">
        <f>IFERROR(FIND("/",Table1[[#This Row],[Final Obj Name]],1),0)</f>
        <v>0</v>
      </c>
      <c r="AJ267">
        <f>IF(Table1[[#This Row],[Position 1]]=0,0,FIND("/",Table1[[#This Row],[Final Obj Name]],Table1[[#This Row],[Position 1]]+1))</f>
        <v>0</v>
      </c>
      <c r="AK267" t="str">
        <f>IF(LEFT(Table1[[#This Row],[Final Obj Name]],1)="/",LEFT(Table1[[#This Row],[Final Obj Name]],FIND("/",Table1[[#This Row],[Final Obj Name]],2)),"/0SAP/")</f>
        <v>/0SAP/</v>
      </c>
    </row>
    <row r="268">
      <c r="A268" t="str">
        <v>DDLS</v>
      </c>
      <c r="B268" t="str">
        <v>ZPTM_IV_MFGORD_CURR</v>
      </c>
      <c r="C268" t="str">
        <v>DDLS</v>
      </c>
      <c r="D268" t="str">
        <v>ZPTM_IV_MFGORD_CURR</v>
      </c>
      <c r="G268" t="str">
        <v>ALL</v>
      </c>
      <c r="L268" t="str">
        <v>DDIC_SPDD</v>
      </c>
      <c r="M268">
        <v>45337</v>
      </c>
      <c r="N268">
        <v>0.36157407407407</v>
      </c>
      <c r="S268" t="str">
        <v>X</v>
      </c>
      <c r="W268" t="str">
        <v>P01K900067</v>
      </c>
      <c r="Y268">
        <f>IF(Table1[[#This Row],[OPERATION]]="NOTE","NOTE",Table1[[#This Row],[SUB_TYPE]])</f>
        <v>0</v>
      </c>
      <c r="Z268">
        <f>IF(Table1[[#This Row],[OPERATION]]="NOTE",NUMBERVALUE(LEFT(Table1[[#This Row],[MOD_NAME]],LEN(Table1[[#This Row],[MOD_NAME]])-4)),Table1[[#This Row],[SUB_NAME]])</f>
        <v>0</v>
      </c>
      <c r="AA268" t="str">
        <f>CONCAT(Table1[[#This Row],[Final Obj Type]],"|",Table1[[#This Row],[Final Obj Name]])</f>
        <v>0|0</v>
      </c>
      <c r="AB268" t="e">
        <f>VLOOKUP(Table1[[#This Row],[Final Obj Type]],Classification!B:E,3,FALSE)</f>
        <v>#N/A</v>
      </c>
      <c r="AC268" t="e">
        <f>VLOOKUP(Table1[[#This Row],[Final Obj Type]],Classification!B:E,4,FALSE)</f>
        <v>#N/A</v>
      </c>
      <c r="AD268" t="str">
        <f>IF(Table1[[#This Row],[Position 1]]=0,"/0SAP/",MID(Table1[[#This Row],[Final Obj Name]],Table1[[#This Row],[Position 1]],Table1[[#This Row],[Position 2]]-Table1[[#This Row],[Position 1]]+1))</f>
        <v>/0SAP/</v>
      </c>
      <c r="AE268" t="str">
        <f>VLOOKUP(Table1[[#This Row],[/* Object]],Namespace!A:J,10,FALSE)</f>
        <v>SAP AG</v>
      </c>
      <c r="AF268" t="str">
        <f>IF(VLOOKUP(Table1[[#This Row],[/* Object]],Namespace!A:J,4,FALSE)=0,"",VLOOKUP(Table1[[#This Row],[/* Object]],Namespace!A:J,4,FALSE))</f>
        <v>X</v>
      </c>
      <c r="AG268" t="str">
        <f>IF(VLOOKUP(Table1[[#This Row],[/* Object]],Namespace!A:J,5,FALSE)=0,"",VLOOKUP(Table1[[#This Row],[/* Object]],Namespace!A:J,5,FALSE))</f>
        <v>X</v>
      </c>
      <c r="AH268" t="str">
        <f>IF(VLOOKUP(Table1[[#This Row],[/* Object]],Namespace!A:J,6,FALSE)=0,"",VLOOKUP(Table1[[#This Row],[/* Object]],Namespace!A:J,6,FALSE))</f>
        <v/>
      </c>
      <c r="AI268">
        <f>IFERROR(FIND("/",Table1[[#This Row],[Final Obj Name]],1),0)</f>
        <v>0</v>
      </c>
      <c r="AJ268">
        <f>IF(Table1[[#This Row],[Position 1]]=0,0,FIND("/",Table1[[#This Row],[Final Obj Name]],Table1[[#This Row],[Position 1]]+1))</f>
        <v>0</v>
      </c>
      <c r="AK268" t="str">
        <f>IF(LEFT(Table1[[#This Row],[Final Obj Name]],1)="/",LEFT(Table1[[#This Row],[Final Obj Name]],FIND("/",Table1[[#This Row],[Final Obj Name]],2)),"/0SAP/")</f>
        <v>/0SAP/</v>
      </c>
    </row>
    <row r="269">
      <c r="A269" t="str">
        <v>DDLS</v>
      </c>
      <c r="B269" t="str">
        <v>ZPTM_IV_MFGORD_CURR_OPERATION</v>
      </c>
      <c r="C269" t="str">
        <v>DDLS</v>
      </c>
      <c r="D269" t="str">
        <v>ZPTM_IV_MFGORD_CURR_OPERATION</v>
      </c>
      <c r="G269" t="str">
        <v>ALL</v>
      </c>
      <c r="L269" t="str">
        <v>DDIC_SPDD</v>
      </c>
      <c r="M269">
        <v>45337</v>
      </c>
      <c r="N269">
        <v>0.36226851851852</v>
      </c>
      <c r="S269" t="str">
        <v>X</v>
      </c>
      <c r="W269" t="str">
        <v>P01K900067</v>
      </c>
      <c r="Y269">
        <f>IF(Table1[[#This Row],[OPERATION]]="NOTE","NOTE",Table1[[#This Row],[SUB_TYPE]])</f>
        <v>0</v>
      </c>
      <c r="Z269">
        <f>IF(Table1[[#This Row],[OPERATION]]="NOTE",NUMBERVALUE(LEFT(Table1[[#This Row],[MOD_NAME]],LEN(Table1[[#This Row],[MOD_NAME]])-4)),Table1[[#This Row],[SUB_NAME]])</f>
        <v>0</v>
      </c>
      <c r="AA269" t="str">
        <f>CONCAT(Table1[[#This Row],[Final Obj Type]],"|",Table1[[#This Row],[Final Obj Name]])</f>
        <v>0|0</v>
      </c>
      <c r="AB269" t="e">
        <f>VLOOKUP(Table1[[#This Row],[Final Obj Type]],Classification!B:E,3,FALSE)</f>
        <v>#N/A</v>
      </c>
      <c r="AC269" t="e">
        <f>VLOOKUP(Table1[[#This Row],[Final Obj Type]],Classification!B:E,4,FALSE)</f>
        <v>#N/A</v>
      </c>
      <c r="AD269" t="str">
        <f>IF(Table1[[#This Row],[Position 1]]=0,"/0SAP/",MID(Table1[[#This Row],[Final Obj Name]],Table1[[#This Row],[Position 1]],Table1[[#This Row],[Position 2]]-Table1[[#This Row],[Position 1]]+1))</f>
        <v>/0SAP/</v>
      </c>
      <c r="AE269" t="str">
        <f>VLOOKUP(Table1[[#This Row],[/* Object]],Namespace!A:J,10,FALSE)</f>
        <v>SAP AG</v>
      </c>
      <c r="AF269" t="str">
        <f>IF(VLOOKUP(Table1[[#This Row],[/* Object]],Namespace!A:J,4,FALSE)=0,"",VLOOKUP(Table1[[#This Row],[/* Object]],Namespace!A:J,4,FALSE))</f>
        <v>X</v>
      </c>
      <c r="AG269" t="str">
        <f>IF(VLOOKUP(Table1[[#This Row],[/* Object]],Namespace!A:J,5,FALSE)=0,"",VLOOKUP(Table1[[#This Row],[/* Object]],Namespace!A:J,5,FALSE))</f>
        <v>X</v>
      </c>
      <c r="AH269" t="str">
        <f>IF(VLOOKUP(Table1[[#This Row],[/* Object]],Namespace!A:J,6,FALSE)=0,"",VLOOKUP(Table1[[#This Row],[/* Object]],Namespace!A:J,6,FALSE))</f>
        <v/>
      </c>
      <c r="AI269">
        <f>IFERROR(FIND("/",Table1[[#This Row],[Final Obj Name]],1),0)</f>
        <v>0</v>
      </c>
      <c r="AJ269">
        <f>IF(Table1[[#This Row],[Position 1]]=0,0,FIND("/",Table1[[#This Row],[Final Obj Name]],Table1[[#This Row],[Position 1]]+1))</f>
        <v>0</v>
      </c>
      <c r="AK269" t="str">
        <f>IF(LEFT(Table1[[#This Row],[Final Obj Name]],1)="/",LEFT(Table1[[#This Row],[Final Obj Name]],FIND("/",Table1[[#This Row],[Final Obj Name]],2)),"/0SAP/")</f>
        <v>/0SAP/</v>
      </c>
    </row>
    <row r="270">
      <c r="A270" t="str">
        <v>DDLS</v>
      </c>
      <c r="B270" t="str">
        <v>ZPTPCDS_ASN_RCV_DLV_GR_DATA</v>
      </c>
      <c r="C270" t="str">
        <v>DDLS</v>
      </c>
      <c r="D270" t="str">
        <v>ZPTPCDS_ASN_RCV_DLV_GR_DATA</v>
      </c>
      <c r="G270" t="str">
        <v>ALL</v>
      </c>
      <c r="L270">
        <v>50116557</v>
      </c>
      <c r="M270">
        <v>45099</v>
      </c>
      <c r="N270">
        <v>0.84106481481481</v>
      </c>
      <c r="S270" t="str">
        <v>X</v>
      </c>
      <c r="W270" t="str">
        <v>S01K916738</v>
      </c>
      <c r="Y270">
        <f>IF(Table1[[#This Row],[OPERATION]]="NOTE","NOTE",Table1[[#This Row],[SUB_TYPE]])</f>
        <v>0</v>
      </c>
      <c r="Z270">
        <f>IF(Table1[[#This Row],[OPERATION]]="NOTE",NUMBERVALUE(LEFT(Table1[[#This Row],[MOD_NAME]],LEN(Table1[[#This Row],[MOD_NAME]])-4)),Table1[[#This Row],[SUB_NAME]])</f>
        <v>0</v>
      </c>
      <c r="AA270" t="str">
        <f>CONCAT(Table1[[#This Row],[Final Obj Type]],"|",Table1[[#This Row],[Final Obj Name]])</f>
        <v>0|0</v>
      </c>
      <c r="AB270" t="e">
        <f>VLOOKUP(Table1[[#This Row],[Final Obj Type]],Classification!B:E,3,FALSE)</f>
        <v>#N/A</v>
      </c>
      <c r="AC270" t="e">
        <f>VLOOKUP(Table1[[#This Row],[Final Obj Type]],Classification!B:E,4,FALSE)</f>
        <v>#N/A</v>
      </c>
      <c r="AD270" t="str">
        <f>IF(Table1[[#This Row],[Position 1]]=0,"/0SAP/",MID(Table1[[#This Row],[Final Obj Name]],Table1[[#This Row],[Position 1]],Table1[[#This Row],[Position 2]]-Table1[[#This Row],[Position 1]]+1))</f>
        <v>/0SAP/</v>
      </c>
      <c r="AE270" t="str">
        <f>VLOOKUP(Table1[[#This Row],[/* Object]],Namespace!A:J,10,FALSE)</f>
        <v>SAP AG</v>
      </c>
      <c r="AF270" t="str">
        <f>IF(VLOOKUP(Table1[[#This Row],[/* Object]],Namespace!A:J,4,FALSE)=0,"",VLOOKUP(Table1[[#This Row],[/* Object]],Namespace!A:J,4,FALSE))</f>
        <v>X</v>
      </c>
      <c r="AG270" t="str">
        <f>IF(VLOOKUP(Table1[[#This Row],[/* Object]],Namespace!A:J,5,FALSE)=0,"",VLOOKUP(Table1[[#This Row],[/* Object]],Namespace!A:J,5,FALSE))</f>
        <v>X</v>
      </c>
      <c r="AH270" t="str">
        <f>IF(VLOOKUP(Table1[[#This Row],[/* Object]],Namespace!A:J,6,FALSE)=0,"",VLOOKUP(Table1[[#This Row],[/* Object]],Namespace!A:J,6,FALSE))</f>
        <v/>
      </c>
      <c r="AI270">
        <f>IFERROR(FIND("/",Table1[[#This Row],[Final Obj Name]],1),0)</f>
        <v>0</v>
      </c>
      <c r="AJ270">
        <f>IF(Table1[[#This Row],[Position 1]]=0,0,FIND("/",Table1[[#This Row],[Final Obj Name]],Table1[[#This Row],[Position 1]]+1))</f>
        <v>0</v>
      </c>
      <c r="AK270" t="str">
        <f>IF(LEFT(Table1[[#This Row],[Final Obj Name]],1)="/",LEFT(Table1[[#This Row],[Final Obj Name]],FIND("/",Table1[[#This Row],[Final Obj Name]],2)),"/0SAP/")</f>
        <v>/0SAP/</v>
      </c>
    </row>
    <row r="271">
      <c r="A271" t="str">
        <v>DDLS</v>
      </c>
      <c r="B271" t="str">
        <v>ZPTPCDS_ASN_RCV_PO_VRSN_DATA</v>
      </c>
      <c r="C271" t="str">
        <v>DDLS</v>
      </c>
      <c r="D271" t="str">
        <v>ZPTPCDS_ASN_RCV_PO_VRSN_DATA</v>
      </c>
      <c r="G271" t="str">
        <v>ALL</v>
      </c>
      <c r="L271">
        <v>50116557</v>
      </c>
      <c r="M271">
        <v>45099</v>
      </c>
      <c r="N271">
        <v>0.84185185185185</v>
      </c>
      <c r="S271" t="str">
        <v>X</v>
      </c>
      <c r="W271" t="str">
        <v>S01K916738</v>
      </c>
      <c r="Y271">
        <f>IF(Table1[[#This Row],[OPERATION]]="NOTE","NOTE",Table1[[#This Row],[SUB_TYPE]])</f>
        <v>0</v>
      </c>
      <c r="Z271">
        <f>IF(Table1[[#This Row],[OPERATION]]="NOTE",NUMBERVALUE(LEFT(Table1[[#This Row],[MOD_NAME]],LEN(Table1[[#This Row],[MOD_NAME]])-4)),Table1[[#This Row],[SUB_NAME]])</f>
        <v>0</v>
      </c>
      <c r="AA271" t="str">
        <f>CONCAT(Table1[[#This Row],[Final Obj Type]],"|",Table1[[#This Row],[Final Obj Name]])</f>
        <v>0|0</v>
      </c>
      <c r="AB271" t="e">
        <f>VLOOKUP(Table1[[#This Row],[Final Obj Type]],Classification!B:E,3,FALSE)</f>
        <v>#N/A</v>
      </c>
      <c r="AC271" t="e">
        <f>VLOOKUP(Table1[[#This Row],[Final Obj Type]],Classification!B:E,4,FALSE)</f>
        <v>#N/A</v>
      </c>
      <c r="AD271" t="str">
        <f>IF(Table1[[#This Row],[Position 1]]=0,"/0SAP/",MID(Table1[[#This Row],[Final Obj Name]],Table1[[#This Row],[Position 1]],Table1[[#This Row],[Position 2]]-Table1[[#This Row],[Position 1]]+1))</f>
        <v>/0SAP/</v>
      </c>
      <c r="AE271" t="str">
        <f>VLOOKUP(Table1[[#This Row],[/* Object]],Namespace!A:J,10,FALSE)</f>
        <v>SAP AG</v>
      </c>
      <c r="AF271" t="str">
        <f>IF(VLOOKUP(Table1[[#This Row],[/* Object]],Namespace!A:J,4,FALSE)=0,"",VLOOKUP(Table1[[#This Row],[/* Object]],Namespace!A:J,4,FALSE))</f>
        <v>X</v>
      </c>
      <c r="AG271" t="str">
        <f>IF(VLOOKUP(Table1[[#This Row],[/* Object]],Namespace!A:J,5,FALSE)=0,"",VLOOKUP(Table1[[#This Row],[/* Object]],Namespace!A:J,5,FALSE))</f>
        <v>X</v>
      </c>
      <c r="AH271" t="str">
        <f>IF(VLOOKUP(Table1[[#This Row],[/* Object]],Namespace!A:J,6,FALSE)=0,"",VLOOKUP(Table1[[#This Row],[/* Object]],Namespace!A:J,6,FALSE))</f>
        <v/>
      </c>
      <c r="AI271">
        <f>IFERROR(FIND("/",Table1[[#This Row],[Final Obj Name]],1),0)</f>
        <v>0</v>
      </c>
      <c r="AJ271">
        <f>IF(Table1[[#This Row],[Position 1]]=0,0,FIND("/",Table1[[#This Row],[Final Obj Name]],Table1[[#This Row],[Position 1]]+1))</f>
        <v>0</v>
      </c>
      <c r="AK271" t="str">
        <f>IF(LEFT(Table1[[#This Row],[Final Obj Name]],1)="/",LEFT(Table1[[#This Row],[Final Obj Name]],FIND("/",Table1[[#This Row],[Final Obj Name]],2)),"/0SAP/")</f>
        <v>/0SAP/</v>
      </c>
    </row>
    <row r="272">
      <c r="A272" t="str">
        <v>DDLS</v>
      </c>
      <c r="B272" t="str">
        <v>ZPTPCDS_RCV_APP_ASN</v>
      </c>
      <c r="C272" t="str">
        <v>DDLS</v>
      </c>
      <c r="D272" t="str">
        <v>ZPTPCDS_RCV_APP_ASN</v>
      </c>
      <c r="G272" t="str">
        <v>ALL</v>
      </c>
      <c r="L272">
        <v>50116557</v>
      </c>
      <c r="M272">
        <v>45099</v>
      </c>
      <c r="N272">
        <v>0.79484953703704</v>
      </c>
      <c r="S272" t="str">
        <v>X</v>
      </c>
      <c r="W272" t="str">
        <v>S01K916738</v>
      </c>
      <c r="Y272">
        <f>IF(Table1[[#This Row],[OPERATION]]="NOTE","NOTE",Table1[[#This Row],[SUB_TYPE]])</f>
        <v>0</v>
      </c>
      <c r="Z272">
        <f>IF(Table1[[#This Row],[OPERATION]]="NOTE",NUMBERVALUE(LEFT(Table1[[#This Row],[MOD_NAME]],LEN(Table1[[#This Row],[MOD_NAME]])-4)),Table1[[#This Row],[SUB_NAME]])</f>
        <v>0</v>
      </c>
      <c r="AA272" t="str">
        <f>CONCAT(Table1[[#This Row],[Final Obj Type]],"|",Table1[[#This Row],[Final Obj Name]])</f>
        <v>0|0</v>
      </c>
      <c r="AB272" t="e">
        <f>VLOOKUP(Table1[[#This Row],[Final Obj Type]],Classification!B:E,3,FALSE)</f>
        <v>#N/A</v>
      </c>
      <c r="AC272" t="e">
        <f>VLOOKUP(Table1[[#This Row],[Final Obj Type]],Classification!B:E,4,FALSE)</f>
        <v>#N/A</v>
      </c>
      <c r="AD272" t="str">
        <f>IF(Table1[[#This Row],[Position 1]]=0,"/0SAP/",MID(Table1[[#This Row],[Final Obj Name]],Table1[[#This Row],[Position 1]],Table1[[#This Row],[Position 2]]-Table1[[#This Row],[Position 1]]+1))</f>
        <v>/0SAP/</v>
      </c>
      <c r="AE272" t="str">
        <f>VLOOKUP(Table1[[#This Row],[/* Object]],Namespace!A:J,10,FALSE)</f>
        <v>SAP AG</v>
      </c>
      <c r="AF272" t="str">
        <f>IF(VLOOKUP(Table1[[#This Row],[/* Object]],Namespace!A:J,4,FALSE)=0,"",VLOOKUP(Table1[[#This Row],[/* Object]],Namespace!A:J,4,FALSE))</f>
        <v>X</v>
      </c>
      <c r="AG272" t="str">
        <f>IF(VLOOKUP(Table1[[#This Row],[/* Object]],Namespace!A:J,5,FALSE)=0,"",VLOOKUP(Table1[[#This Row],[/* Object]],Namespace!A:J,5,FALSE))</f>
        <v>X</v>
      </c>
      <c r="AH272" t="str">
        <f>IF(VLOOKUP(Table1[[#This Row],[/* Object]],Namespace!A:J,6,FALSE)=0,"",VLOOKUP(Table1[[#This Row],[/* Object]],Namespace!A:J,6,FALSE))</f>
        <v/>
      </c>
      <c r="AI272">
        <f>IFERROR(FIND("/",Table1[[#This Row],[Final Obj Name]],1),0)</f>
        <v>0</v>
      </c>
      <c r="AJ272">
        <f>IF(Table1[[#This Row],[Position 1]]=0,0,FIND("/",Table1[[#This Row],[Final Obj Name]],Table1[[#This Row],[Position 1]]+1))</f>
        <v>0</v>
      </c>
      <c r="AK272" t="str">
        <f>IF(LEFT(Table1[[#This Row],[Final Obj Name]],1)="/",LEFT(Table1[[#This Row],[Final Obj Name]],FIND("/",Table1[[#This Row],[Final Obj Name]],2)),"/0SAP/")</f>
        <v>/0SAP/</v>
      </c>
    </row>
    <row r="273">
      <c r="A273" t="str">
        <v>DDLS</v>
      </c>
      <c r="B273" t="str">
        <v>ZPTPCDS_RCV_ASN_APP_BY_ASN</v>
      </c>
      <c r="C273" t="str">
        <v>DDLS</v>
      </c>
      <c r="D273" t="str">
        <v>ZPTPCDS_RCV_ASN_APP_BY_ASN</v>
      </c>
      <c r="G273" t="str">
        <v>ALL</v>
      </c>
      <c r="L273">
        <v>50116557</v>
      </c>
      <c r="M273">
        <v>45099</v>
      </c>
      <c r="N273">
        <v>0.83392361111111</v>
      </c>
      <c r="S273" t="str">
        <v>X</v>
      </c>
      <c r="W273" t="str">
        <v>S01K916738</v>
      </c>
      <c r="Y273">
        <f>IF(Table1[[#This Row],[OPERATION]]="NOTE","NOTE",Table1[[#This Row],[SUB_TYPE]])</f>
        <v>0</v>
      </c>
      <c r="Z273">
        <f>IF(Table1[[#This Row],[OPERATION]]="NOTE",NUMBERVALUE(LEFT(Table1[[#This Row],[MOD_NAME]],LEN(Table1[[#This Row],[MOD_NAME]])-4)),Table1[[#This Row],[SUB_NAME]])</f>
        <v>0</v>
      </c>
      <c r="AA273" t="str">
        <f>CONCAT(Table1[[#This Row],[Final Obj Type]],"|",Table1[[#This Row],[Final Obj Name]])</f>
        <v>0|0</v>
      </c>
      <c r="AB273" t="e">
        <f>VLOOKUP(Table1[[#This Row],[Final Obj Type]],Classification!B:E,3,FALSE)</f>
        <v>#N/A</v>
      </c>
      <c r="AC273" t="e">
        <f>VLOOKUP(Table1[[#This Row],[Final Obj Type]],Classification!B:E,4,FALSE)</f>
        <v>#N/A</v>
      </c>
      <c r="AD273" t="str">
        <f>IF(Table1[[#This Row],[Position 1]]=0,"/0SAP/",MID(Table1[[#This Row],[Final Obj Name]],Table1[[#This Row],[Position 1]],Table1[[#This Row],[Position 2]]-Table1[[#This Row],[Position 1]]+1))</f>
        <v>/0SAP/</v>
      </c>
      <c r="AE273" t="str">
        <f>VLOOKUP(Table1[[#This Row],[/* Object]],Namespace!A:J,10,FALSE)</f>
        <v>SAP AG</v>
      </c>
      <c r="AF273" t="str">
        <f>IF(VLOOKUP(Table1[[#This Row],[/* Object]],Namespace!A:J,4,FALSE)=0,"",VLOOKUP(Table1[[#This Row],[/* Object]],Namespace!A:J,4,FALSE))</f>
        <v>X</v>
      </c>
      <c r="AG273" t="str">
        <f>IF(VLOOKUP(Table1[[#This Row],[/* Object]],Namespace!A:J,5,FALSE)=0,"",VLOOKUP(Table1[[#This Row],[/* Object]],Namespace!A:J,5,FALSE))</f>
        <v>X</v>
      </c>
      <c r="AH273" t="str">
        <f>IF(VLOOKUP(Table1[[#This Row],[/* Object]],Namespace!A:J,6,FALSE)=0,"",VLOOKUP(Table1[[#This Row],[/* Object]],Namespace!A:J,6,FALSE))</f>
        <v/>
      </c>
      <c r="AI273">
        <f>IFERROR(FIND("/",Table1[[#This Row],[Final Obj Name]],1),0)</f>
        <v>0</v>
      </c>
      <c r="AJ273">
        <f>IF(Table1[[#This Row],[Position 1]]=0,0,FIND("/",Table1[[#This Row],[Final Obj Name]],Table1[[#This Row],[Position 1]]+1))</f>
        <v>0</v>
      </c>
      <c r="AK273" t="str">
        <f>IF(LEFT(Table1[[#This Row],[Final Obj Name]],1)="/",LEFT(Table1[[#This Row],[Final Obj Name]],FIND("/",Table1[[#This Row],[Final Obj Name]],2)),"/0SAP/")</f>
        <v>/0SAP/</v>
      </c>
    </row>
    <row r="274">
      <c r="A274" t="str">
        <v>DDLS</v>
      </c>
      <c r="B274" t="str">
        <v>ZRTR_CDS_IV_OPEN_REQUISITIONS</v>
      </c>
      <c r="C274" t="str">
        <v>DDLS</v>
      </c>
      <c r="D274" t="str">
        <v>ZRTR_CDS_IV_OPEN_REQUISITIONS</v>
      </c>
      <c r="G274" t="str">
        <v>ALL</v>
      </c>
      <c r="L274" t="str">
        <v>DDIC_SPDD</v>
      </c>
      <c r="M274">
        <v>45337</v>
      </c>
      <c r="N274">
        <v>0.91655092592593</v>
      </c>
      <c r="S274" t="str">
        <v>X</v>
      </c>
      <c r="W274" t="str">
        <v>P01K900067</v>
      </c>
      <c r="Y274">
        <f>IF(Table1[[#This Row],[OPERATION]]="NOTE","NOTE",Table1[[#This Row],[SUB_TYPE]])</f>
        <v>0</v>
      </c>
      <c r="Z274">
        <f>IF(Table1[[#This Row],[OPERATION]]="NOTE",NUMBERVALUE(LEFT(Table1[[#This Row],[MOD_NAME]],LEN(Table1[[#This Row],[MOD_NAME]])-4)),Table1[[#This Row],[SUB_NAME]])</f>
        <v>0</v>
      </c>
      <c r="AA274" t="str">
        <f>CONCAT(Table1[[#This Row],[Final Obj Type]],"|",Table1[[#This Row],[Final Obj Name]])</f>
        <v>0|0</v>
      </c>
      <c r="AB274" t="e">
        <f>VLOOKUP(Table1[[#This Row],[Final Obj Type]],Classification!B:E,3,FALSE)</f>
        <v>#N/A</v>
      </c>
      <c r="AC274" t="e">
        <f>VLOOKUP(Table1[[#This Row],[Final Obj Type]],Classification!B:E,4,FALSE)</f>
        <v>#N/A</v>
      </c>
      <c r="AD274" t="str">
        <f>IF(Table1[[#This Row],[Position 1]]=0,"/0SAP/",MID(Table1[[#This Row],[Final Obj Name]],Table1[[#This Row],[Position 1]],Table1[[#This Row],[Position 2]]-Table1[[#This Row],[Position 1]]+1))</f>
        <v>/0SAP/</v>
      </c>
      <c r="AE274" t="str">
        <f>VLOOKUP(Table1[[#This Row],[/* Object]],Namespace!A:J,10,FALSE)</f>
        <v>SAP AG</v>
      </c>
      <c r="AF274" t="str">
        <f>IF(VLOOKUP(Table1[[#This Row],[/* Object]],Namespace!A:J,4,FALSE)=0,"",VLOOKUP(Table1[[#This Row],[/* Object]],Namespace!A:J,4,FALSE))</f>
        <v>X</v>
      </c>
      <c r="AG274" t="str">
        <f>IF(VLOOKUP(Table1[[#This Row],[/* Object]],Namespace!A:J,5,FALSE)=0,"",VLOOKUP(Table1[[#This Row],[/* Object]],Namespace!A:J,5,FALSE))</f>
        <v>X</v>
      </c>
      <c r="AH274" t="str">
        <f>IF(VLOOKUP(Table1[[#This Row],[/* Object]],Namespace!A:J,6,FALSE)=0,"",VLOOKUP(Table1[[#This Row],[/* Object]],Namespace!A:J,6,FALSE))</f>
        <v/>
      </c>
      <c r="AI274">
        <f>IFERROR(FIND("/",Table1[[#This Row],[Final Obj Name]],1),0)</f>
        <v>0</v>
      </c>
      <c r="AJ274">
        <f>IF(Table1[[#This Row],[Position 1]]=0,0,FIND("/",Table1[[#This Row],[Final Obj Name]],Table1[[#This Row],[Position 1]]+1))</f>
        <v>0</v>
      </c>
      <c r="AK274" t="str">
        <f>IF(LEFT(Table1[[#This Row],[Final Obj Name]],1)="/",LEFT(Table1[[#This Row],[Final Obj Name]],FIND("/",Table1[[#This Row],[Final Obj Name]],2)),"/0SAP/")</f>
        <v>/0SAP/</v>
      </c>
    </row>
    <row r="275">
      <c r="A275" t="str">
        <v>DDLS</v>
      </c>
      <c r="B275" t="str">
        <v>ZRTR_CDS_IV_PO</v>
      </c>
      <c r="C275" t="str">
        <v>DDLS</v>
      </c>
      <c r="D275" t="str">
        <v>ZRTR_CDS_IV_PO</v>
      </c>
      <c r="G275" t="str">
        <v>ALL</v>
      </c>
      <c r="L275" t="str">
        <v>DDIC_SPDD</v>
      </c>
      <c r="M275">
        <v>45337</v>
      </c>
      <c r="N275">
        <v>0.36851851851852</v>
      </c>
      <c r="S275" t="str">
        <v>X</v>
      </c>
      <c r="W275" t="str">
        <v>P01K900067</v>
      </c>
      <c r="Y275">
        <f>IF(Table1[[#This Row],[OPERATION]]="NOTE","NOTE",Table1[[#This Row],[SUB_TYPE]])</f>
        <v>0</v>
      </c>
      <c r="Z275">
        <f>IF(Table1[[#This Row],[OPERATION]]="NOTE",NUMBERVALUE(LEFT(Table1[[#This Row],[MOD_NAME]],LEN(Table1[[#This Row],[MOD_NAME]])-4)),Table1[[#This Row],[SUB_NAME]])</f>
        <v>0</v>
      </c>
      <c r="AA275" t="str">
        <f>CONCAT(Table1[[#This Row],[Final Obj Type]],"|",Table1[[#This Row],[Final Obj Name]])</f>
        <v>0|0</v>
      </c>
      <c r="AB275" t="e">
        <f>VLOOKUP(Table1[[#This Row],[Final Obj Type]],Classification!B:E,3,FALSE)</f>
        <v>#N/A</v>
      </c>
      <c r="AC275" t="e">
        <f>VLOOKUP(Table1[[#This Row],[Final Obj Type]],Classification!B:E,4,FALSE)</f>
        <v>#N/A</v>
      </c>
      <c r="AD275" t="str">
        <f>IF(Table1[[#This Row],[Position 1]]=0,"/0SAP/",MID(Table1[[#This Row],[Final Obj Name]],Table1[[#This Row],[Position 1]],Table1[[#This Row],[Position 2]]-Table1[[#This Row],[Position 1]]+1))</f>
        <v>/0SAP/</v>
      </c>
      <c r="AE275" t="str">
        <f>VLOOKUP(Table1[[#This Row],[/* Object]],Namespace!A:J,10,FALSE)</f>
        <v>SAP AG</v>
      </c>
      <c r="AF275" t="str">
        <f>IF(VLOOKUP(Table1[[#This Row],[/* Object]],Namespace!A:J,4,FALSE)=0,"",VLOOKUP(Table1[[#This Row],[/* Object]],Namespace!A:J,4,FALSE))</f>
        <v>X</v>
      </c>
      <c r="AG275" t="str">
        <f>IF(VLOOKUP(Table1[[#This Row],[/* Object]],Namespace!A:J,5,FALSE)=0,"",VLOOKUP(Table1[[#This Row],[/* Object]],Namespace!A:J,5,FALSE))</f>
        <v>X</v>
      </c>
      <c r="AH275" t="str">
        <f>IF(VLOOKUP(Table1[[#This Row],[/* Object]],Namespace!A:J,6,FALSE)=0,"",VLOOKUP(Table1[[#This Row],[/* Object]],Namespace!A:J,6,FALSE))</f>
        <v/>
      </c>
      <c r="AI275">
        <f>IFERROR(FIND("/",Table1[[#This Row],[Final Obj Name]],1),0)</f>
        <v>0</v>
      </c>
      <c r="AJ275">
        <f>IF(Table1[[#This Row],[Position 1]]=0,0,FIND("/",Table1[[#This Row],[Final Obj Name]],Table1[[#This Row],[Position 1]]+1))</f>
        <v>0</v>
      </c>
      <c r="AK275" t="str">
        <f>IF(LEFT(Table1[[#This Row],[Final Obj Name]],1)="/",LEFT(Table1[[#This Row],[Final Obj Name]],FIND("/",Table1[[#This Row],[Final Obj Name]],2)),"/0SAP/")</f>
        <v>/0SAP/</v>
      </c>
    </row>
    <row r="276">
      <c r="A276" t="str">
        <v>DDLS</v>
      </c>
      <c r="B276" t="str">
        <v>ZSCDS_FLOWSTAR_USAGE</v>
      </c>
      <c r="C276" t="str">
        <v>DDLS</v>
      </c>
      <c r="D276" t="str">
        <v>ZSCDS_FLOWSTAR_USAGE</v>
      </c>
      <c r="G276" t="str">
        <v>ALL</v>
      </c>
      <c r="L276">
        <v>50118299</v>
      </c>
      <c r="M276">
        <v>45051</v>
      </c>
      <c r="N276">
        <v>0.3955787037037</v>
      </c>
      <c r="S276" t="str">
        <v>X</v>
      </c>
      <c r="W276" t="str">
        <v>S01K915942</v>
      </c>
      <c r="Y276">
        <f>IF(Table1[[#This Row],[OPERATION]]="NOTE","NOTE",Table1[[#This Row],[SUB_TYPE]])</f>
        <v>0</v>
      </c>
      <c r="Z276">
        <f>IF(Table1[[#This Row],[OPERATION]]="NOTE",NUMBERVALUE(LEFT(Table1[[#This Row],[MOD_NAME]],LEN(Table1[[#This Row],[MOD_NAME]])-4)),Table1[[#This Row],[SUB_NAME]])</f>
        <v>0</v>
      </c>
      <c r="AA276" t="str">
        <f>CONCAT(Table1[[#This Row],[Final Obj Type]],"|",Table1[[#This Row],[Final Obj Name]])</f>
        <v>0|0</v>
      </c>
      <c r="AB276" t="e">
        <f>VLOOKUP(Table1[[#This Row],[Final Obj Type]],Classification!B:E,3,FALSE)</f>
        <v>#N/A</v>
      </c>
      <c r="AC276" t="e">
        <f>VLOOKUP(Table1[[#This Row],[Final Obj Type]],Classification!B:E,4,FALSE)</f>
        <v>#N/A</v>
      </c>
      <c r="AD276" t="str">
        <f>IF(Table1[[#This Row],[Position 1]]=0,"/0SAP/",MID(Table1[[#This Row],[Final Obj Name]],Table1[[#This Row],[Position 1]],Table1[[#This Row],[Position 2]]-Table1[[#This Row],[Position 1]]+1))</f>
        <v>/0SAP/</v>
      </c>
      <c r="AE276" t="str">
        <f>VLOOKUP(Table1[[#This Row],[/* Object]],Namespace!A:J,10,FALSE)</f>
        <v>SAP AG</v>
      </c>
      <c r="AF276" t="str">
        <f>IF(VLOOKUP(Table1[[#This Row],[/* Object]],Namespace!A:J,4,FALSE)=0,"",VLOOKUP(Table1[[#This Row],[/* Object]],Namespace!A:J,4,FALSE))</f>
        <v>X</v>
      </c>
      <c r="AG276" t="str">
        <f>IF(VLOOKUP(Table1[[#This Row],[/* Object]],Namespace!A:J,5,FALSE)=0,"",VLOOKUP(Table1[[#This Row],[/* Object]],Namespace!A:J,5,FALSE))</f>
        <v>X</v>
      </c>
      <c r="AH276" t="str">
        <f>IF(VLOOKUP(Table1[[#This Row],[/* Object]],Namespace!A:J,6,FALSE)=0,"",VLOOKUP(Table1[[#This Row],[/* Object]],Namespace!A:J,6,FALSE))</f>
        <v/>
      </c>
      <c r="AI276">
        <f>IFERROR(FIND("/",Table1[[#This Row],[Final Obj Name]],1),0)</f>
        <v>0</v>
      </c>
      <c r="AJ276">
        <f>IF(Table1[[#This Row],[Position 1]]=0,0,FIND("/",Table1[[#This Row],[Final Obj Name]],Table1[[#This Row],[Position 1]]+1))</f>
        <v>0</v>
      </c>
      <c r="AK276" t="str">
        <f>IF(LEFT(Table1[[#This Row],[Final Obj Name]],1)="/",LEFT(Table1[[#This Row],[Final Obj Name]],FIND("/",Table1[[#This Row],[Final Obj Name]],2)),"/0SAP/")</f>
        <v>/0SAP/</v>
      </c>
    </row>
    <row r="277">
      <c r="A277" t="str">
        <v>DDLS</v>
      </c>
      <c r="B277" t="str">
        <v>ZSDCDS_CONTINENT</v>
      </c>
      <c r="C277" t="str">
        <v>DDLS</v>
      </c>
      <c r="D277" t="str">
        <v>ZSDCDS_CONTINENT</v>
      </c>
      <c r="G277" t="str">
        <v>ALL</v>
      </c>
      <c r="L277">
        <v>50095444</v>
      </c>
      <c r="M277">
        <v>44176</v>
      </c>
      <c r="N277">
        <v>0.70299768518519</v>
      </c>
      <c r="S277" t="str">
        <v>X</v>
      </c>
      <c r="W277" t="str">
        <v>S01K910482</v>
      </c>
      <c r="Y277">
        <f>IF(Table1[[#This Row],[OPERATION]]="NOTE","NOTE",Table1[[#This Row],[SUB_TYPE]])</f>
        <v>0</v>
      </c>
      <c r="Z277">
        <f>IF(Table1[[#This Row],[OPERATION]]="NOTE",NUMBERVALUE(LEFT(Table1[[#This Row],[MOD_NAME]],LEN(Table1[[#This Row],[MOD_NAME]])-4)),Table1[[#This Row],[SUB_NAME]])</f>
        <v>0</v>
      </c>
      <c r="AA277" t="str">
        <f>CONCAT(Table1[[#This Row],[Final Obj Type]],"|",Table1[[#This Row],[Final Obj Name]])</f>
        <v>0|0</v>
      </c>
      <c r="AB277" t="e">
        <f>VLOOKUP(Table1[[#This Row],[Final Obj Type]],Classification!B:E,3,FALSE)</f>
        <v>#N/A</v>
      </c>
      <c r="AC277" t="e">
        <f>VLOOKUP(Table1[[#This Row],[Final Obj Type]],Classification!B:E,4,FALSE)</f>
        <v>#N/A</v>
      </c>
      <c r="AD277" t="str">
        <f>IF(Table1[[#This Row],[Position 1]]=0,"/0SAP/",MID(Table1[[#This Row],[Final Obj Name]],Table1[[#This Row],[Position 1]],Table1[[#This Row],[Position 2]]-Table1[[#This Row],[Position 1]]+1))</f>
        <v>/0SAP/</v>
      </c>
      <c r="AE277" t="str">
        <f>VLOOKUP(Table1[[#This Row],[/* Object]],Namespace!A:J,10,FALSE)</f>
        <v>SAP AG</v>
      </c>
      <c r="AF277" t="str">
        <f>IF(VLOOKUP(Table1[[#This Row],[/* Object]],Namespace!A:J,4,FALSE)=0,"",VLOOKUP(Table1[[#This Row],[/* Object]],Namespace!A:J,4,FALSE))</f>
        <v>X</v>
      </c>
      <c r="AG277" t="str">
        <f>IF(VLOOKUP(Table1[[#This Row],[/* Object]],Namespace!A:J,5,FALSE)=0,"",VLOOKUP(Table1[[#This Row],[/* Object]],Namespace!A:J,5,FALSE))</f>
        <v>X</v>
      </c>
      <c r="AH277" t="str">
        <f>IF(VLOOKUP(Table1[[#This Row],[/* Object]],Namespace!A:J,6,FALSE)=0,"",VLOOKUP(Table1[[#This Row],[/* Object]],Namespace!A:J,6,FALSE))</f>
        <v/>
      </c>
      <c r="AI277">
        <f>IFERROR(FIND("/",Table1[[#This Row],[Final Obj Name]],1),0)</f>
        <v>0</v>
      </c>
      <c r="AJ277">
        <f>IF(Table1[[#This Row],[Position 1]]=0,0,FIND("/",Table1[[#This Row],[Final Obj Name]],Table1[[#This Row],[Position 1]]+1))</f>
        <v>0</v>
      </c>
      <c r="AK277" t="str">
        <f>IF(LEFT(Table1[[#This Row],[Final Obj Name]],1)="/",LEFT(Table1[[#This Row],[Final Obj Name]],FIND("/",Table1[[#This Row],[Final Obj Name]],2)),"/0SAP/")</f>
        <v>/0SAP/</v>
      </c>
    </row>
    <row r="278">
      <c r="A278" t="str">
        <v>DDLS</v>
      </c>
      <c r="B278" t="str">
        <v>ZSDCDS_CV_SALES_BOOKINGS</v>
      </c>
      <c r="C278" t="str">
        <v>DDLS</v>
      </c>
      <c r="D278" t="str">
        <v>ZSDCDS_CV_SALES_BOOKINGS</v>
      </c>
      <c r="G278" t="str">
        <v>ALL</v>
      </c>
      <c r="L278" t="str">
        <v>CST_CHINMAY</v>
      </c>
      <c r="M278">
        <v>45993</v>
      </c>
      <c r="N278">
        <v>0.51768518518519</v>
      </c>
      <c r="S278" t="str">
        <v>X</v>
      </c>
      <c r="W278" t="str">
        <v>S01K927312</v>
      </c>
      <c r="Y278">
        <f>IF(Table1[[#This Row],[OPERATION]]="NOTE","NOTE",Table1[[#This Row],[SUB_TYPE]])</f>
        <v>0</v>
      </c>
      <c r="Z278">
        <f>IF(Table1[[#This Row],[OPERATION]]="NOTE",NUMBERVALUE(LEFT(Table1[[#This Row],[MOD_NAME]],LEN(Table1[[#This Row],[MOD_NAME]])-4)),Table1[[#This Row],[SUB_NAME]])</f>
        <v>0</v>
      </c>
      <c r="AA278" t="str">
        <f>CONCAT(Table1[[#This Row],[Final Obj Type]],"|",Table1[[#This Row],[Final Obj Name]])</f>
        <v>0|0</v>
      </c>
      <c r="AB278" t="e">
        <f>VLOOKUP(Table1[[#This Row],[Final Obj Type]],Classification!B:E,3,FALSE)</f>
        <v>#N/A</v>
      </c>
      <c r="AC278" t="e">
        <f>VLOOKUP(Table1[[#This Row],[Final Obj Type]],Classification!B:E,4,FALSE)</f>
        <v>#N/A</v>
      </c>
      <c r="AD278" t="str">
        <f>IF(Table1[[#This Row],[Position 1]]=0,"/0SAP/",MID(Table1[[#This Row],[Final Obj Name]],Table1[[#This Row],[Position 1]],Table1[[#This Row],[Position 2]]-Table1[[#This Row],[Position 1]]+1))</f>
        <v>/0SAP/</v>
      </c>
      <c r="AE278" t="str">
        <f>VLOOKUP(Table1[[#This Row],[/* Object]],Namespace!A:J,10,FALSE)</f>
        <v>SAP AG</v>
      </c>
      <c r="AF278" t="str">
        <f>IF(VLOOKUP(Table1[[#This Row],[/* Object]],Namespace!A:J,4,FALSE)=0,"",VLOOKUP(Table1[[#This Row],[/* Object]],Namespace!A:J,4,FALSE))</f>
        <v>X</v>
      </c>
      <c r="AG278" t="str">
        <f>IF(VLOOKUP(Table1[[#This Row],[/* Object]],Namespace!A:J,5,FALSE)=0,"",VLOOKUP(Table1[[#This Row],[/* Object]],Namespace!A:J,5,FALSE))</f>
        <v>X</v>
      </c>
      <c r="AH278" t="str">
        <f>IF(VLOOKUP(Table1[[#This Row],[/* Object]],Namespace!A:J,6,FALSE)=0,"",VLOOKUP(Table1[[#This Row],[/* Object]],Namespace!A:J,6,FALSE))</f>
        <v/>
      </c>
      <c r="AI278">
        <f>IFERROR(FIND("/",Table1[[#This Row],[Final Obj Name]],1),0)</f>
        <v>0</v>
      </c>
      <c r="AJ278">
        <f>IF(Table1[[#This Row],[Position 1]]=0,0,FIND("/",Table1[[#This Row],[Final Obj Name]],Table1[[#This Row],[Position 1]]+1))</f>
        <v>0</v>
      </c>
      <c r="AK278" t="str">
        <f>IF(LEFT(Table1[[#This Row],[Final Obj Name]],1)="/",LEFT(Table1[[#This Row],[Final Obj Name]],FIND("/",Table1[[#This Row],[Final Obj Name]],2)),"/0SAP/")</f>
        <v>/0SAP/</v>
      </c>
    </row>
    <row r="279">
      <c r="A279" t="str">
        <v>DDLS</v>
      </c>
      <c r="B279" t="str">
        <v>ZSDCDS_CV_SO_PEG</v>
      </c>
      <c r="C279" t="str">
        <v>DDLS</v>
      </c>
      <c r="D279" t="str">
        <v>ZSDCDS_CV_SO_PEG</v>
      </c>
      <c r="G279" t="str">
        <v>ALL</v>
      </c>
      <c r="L279" t="str">
        <v>CST_CHINMAY</v>
      </c>
      <c r="M279">
        <v>45993</v>
      </c>
      <c r="N279">
        <v>0.51601851851852</v>
      </c>
      <c r="S279" t="str">
        <v>X</v>
      </c>
      <c r="W279" t="str">
        <v>S01K927312</v>
      </c>
      <c r="Y279">
        <f>IF(Table1[[#This Row],[OPERATION]]="NOTE","NOTE",Table1[[#This Row],[SUB_TYPE]])</f>
        <v>0</v>
      </c>
      <c r="Z279">
        <f>IF(Table1[[#This Row],[OPERATION]]="NOTE",NUMBERVALUE(LEFT(Table1[[#This Row],[MOD_NAME]],LEN(Table1[[#This Row],[MOD_NAME]])-4)),Table1[[#This Row],[SUB_NAME]])</f>
        <v>0</v>
      </c>
      <c r="AA279" t="str">
        <f>CONCAT(Table1[[#This Row],[Final Obj Type]],"|",Table1[[#This Row],[Final Obj Name]])</f>
        <v>0|0</v>
      </c>
      <c r="AB279" t="e">
        <f>VLOOKUP(Table1[[#This Row],[Final Obj Type]],Classification!B:E,3,FALSE)</f>
        <v>#N/A</v>
      </c>
      <c r="AC279" t="e">
        <f>VLOOKUP(Table1[[#This Row],[Final Obj Type]],Classification!B:E,4,FALSE)</f>
        <v>#N/A</v>
      </c>
      <c r="AD279" t="str">
        <f>IF(Table1[[#This Row],[Position 1]]=0,"/0SAP/",MID(Table1[[#This Row],[Final Obj Name]],Table1[[#This Row],[Position 1]],Table1[[#This Row],[Position 2]]-Table1[[#This Row],[Position 1]]+1))</f>
        <v>/0SAP/</v>
      </c>
      <c r="AE279" t="str">
        <f>VLOOKUP(Table1[[#This Row],[/* Object]],Namespace!A:J,10,FALSE)</f>
        <v>SAP AG</v>
      </c>
      <c r="AF279" t="str">
        <f>IF(VLOOKUP(Table1[[#This Row],[/* Object]],Namespace!A:J,4,FALSE)=0,"",VLOOKUP(Table1[[#This Row],[/* Object]],Namespace!A:J,4,FALSE))</f>
        <v>X</v>
      </c>
      <c r="AG279" t="str">
        <f>IF(VLOOKUP(Table1[[#This Row],[/* Object]],Namespace!A:J,5,FALSE)=0,"",VLOOKUP(Table1[[#This Row],[/* Object]],Namespace!A:J,5,FALSE))</f>
        <v>X</v>
      </c>
      <c r="AH279" t="str">
        <f>IF(VLOOKUP(Table1[[#This Row],[/* Object]],Namespace!A:J,6,FALSE)=0,"",VLOOKUP(Table1[[#This Row],[/* Object]],Namespace!A:J,6,FALSE))</f>
        <v/>
      </c>
      <c r="AI279">
        <f>IFERROR(FIND("/",Table1[[#This Row],[Final Obj Name]],1),0)</f>
        <v>0</v>
      </c>
      <c r="AJ279">
        <f>IF(Table1[[#This Row],[Position 1]]=0,0,FIND("/",Table1[[#This Row],[Final Obj Name]],Table1[[#This Row],[Position 1]]+1))</f>
        <v>0</v>
      </c>
      <c r="AK279" t="str">
        <f>IF(LEFT(Table1[[#This Row],[Final Obj Name]],1)="/",LEFT(Table1[[#This Row],[Final Obj Name]],FIND("/",Table1[[#This Row],[Final Obj Name]],2)),"/0SAP/")</f>
        <v>/0SAP/</v>
      </c>
    </row>
    <row r="280">
      <c r="A280" t="str">
        <v>DDLS</v>
      </c>
      <c r="B280" t="str">
        <v>ZSDCDS_IV_COMP_SO</v>
      </c>
      <c r="C280" t="str">
        <v>DDLS</v>
      </c>
      <c r="D280" t="str">
        <v>ZSDCDS_IV_COMP_SO</v>
      </c>
      <c r="G280" t="str">
        <v>ALL</v>
      </c>
      <c r="L280" t="str">
        <v>CST_CHINMAY</v>
      </c>
      <c r="M280">
        <v>45860</v>
      </c>
      <c r="N280">
        <v>0.54915509259259</v>
      </c>
      <c r="S280" t="str">
        <v>X</v>
      </c>
      <c r="W280" t="str">
        <v>S01K925239</v>
      </c>
      <c r="Y280">
        <f>IF(Table1[[#This Row],[OPERATION]]="NOTE","NOTE",Table1[[#This Row],[SUB_TYPE]])</f>
        <v>0</v>
      </c>
      <c r="Z280">
        <f>IF(Table1[[#This Row],[OPERATION]]="NOTE",NUMBERVALUE(LEFT(Table1[[#This Row],[MOD_NAME]],LEN(Table1[[#This Row],[MOD_NAME]])-4)),Table1[[#This Row],[SUB_NAME]])</f>
        <v>0</v>
      </c>
      <c r="AA280" t="str">
        <f>CONCAT(Table1[[#This Row],[Final Obj Type]],"|",Table1[[#This Row],[Final Obj Name]])</f>
        <v>0|0</v>
      </c>
      <c r="AB280" t="e">
        <f>VLOOKUP(Table1[[#This Row],[Final Obj Type]],Classification!B:E,3,FALSE)</f>
        <v>#N/A</v>
      </c>
      <c r="AC280" t="e">
        <f>VLOOKUP(Table1[[#This Row],[Final Obj Type]],Classification!B:E,4,FALSE)</f>
        <v>#N/A</v>
      </c>
      <c r="AD280" t="str">
        <f>IF(Table1[[#This Row],[Position 1]]=0,"/0SAP/",MID(Table1[[#This Row],[Final Obj Name]],Table1[[#This Row],[Position 1]],Table1[[#This Row],[Position 2]]-Table1[[#This Row],[Position 1]]+1))</f>
        <v>/0SAP/</v>
      </c>
      <c r="AE280" t="str">
        <f>VLOOKUP(Table1[[#This Row],[/* Object]],Namespace!A:J,10,FALSE)</f>
        <v>SAP AG</v>
      </c>
      <c r="AF280" t="str">
        <f>IF(VLOOKUP(Table1[[#This Row],[/* Object]],Namespace!A:J,4,FALSE)=0,"",VLOOKUP(Table1[[#This Row],[/* Object]],Namespace!A:J,4,FALSE))</f>
        <v>X</v>
      </c>
      <c r="AG280" t="str">
        <f>IF(VLOOKUP(Table1[[#This Row],[/* Object]],Namespace!A:J,5,FALSE)=0,"",VLOOKUP(Table1[[#This Row],[/* Object]],Namespace!A:J,5,FALSE))</f>
        <v>X</v>
      </c>
      <c r="AH280" t="str">
        <f>IF(VLOOKUP(Table1[[#This Row],[/* Object]],Namespace!A:J,6,FALSE)=0,"",VLOOKUP(Table1[[#This Row],[/* Object]],Namespace!A:J,6,FALSE))</f>
        <v/>
      </c>
      <c r="AI280">
        <f>IFERROR(FIND("/",Table1[[#This Row],[Final Obj Name]],1),0)</f>
        <v>0</v>
      </c>
      <c r="AJ280">
        <f>IF(Table1[[#This Row],[Position 1]]=0,0,FIND("/",Table1[[#This Row],[Final Obj Name]],Table1[[#This Row],[Position 1]]+1))</f>
        <v>0</v>
      </c>
      <c r="AK280" t="str">
        <f>IF(LEFT(Table1[[#This Row],[Final Obj Name]],1)="/",LEFT(Table1[[#This Row],[Final Obj Name]],FIND("/",Table1[[#This Row],[Final Obj Name]],2)),"/0SAP/")</f>
        <v>/0SAP/</v>
      </c>
    </row>
    <row r="281">
      <c r="A281" t="str">
        <v>DDLS</v>
      </c>
      <c r="B281" t="str">
        <v>ZSDCDS_IV_END_USER</v>
      </c>
      <c r="C281" t="str">
        <v>DDLS</v>
      </c>
      <c r="D281" t="str">
        <v>ZSDCDS_IV_END_USER</v>
      </c>
      <c r="G281" t="str">
        <v>ALL</v>
      </c>
      <c r="L281" t="str">
        <v>CST_CHINMAY</v>
      </c>
      <c r="M281">
        <v>45855</v>
      </c>
      <c r="N281">
        <v>0.64763888888889</v>
      </c>
      <c r="S281" t="str">
        <v>X</v>
      </c>
      <c r="W281" t="str">
        <v>S01K925239</v>
      </c>
      <c r="Y281">
        <f>IF(Table1[[#This Row],[OPERATION]]="NOTE","NOTE",Table1[[#This Row],[SUB_TYPE]])</f>
        <v>0</v>
      </c>
      <c r="Z281">
        <f>IF(Table1[[#This Row],[OPERATION]]="NOTE",NUMBERVALUE(LEFT(Table1[[#This Row],[MOD_NAME]],LEN(Table1[[#This Row],[MOD_NAME]])-4)),Table1[[#This Row],[SUB_NAME]])</f>
        <v>0</v>
      </c>
      <c r="AA281" t="str">
        <f>CONCAT(Table1[[#This Row],[Final Obj Type]],"|",Table1[[#This Row],[Final Obj Name]])</f>
        <v>0|0</v>
      </c>
      <c r="AB281" t="e">
        <f>VLOOKUP(Table1[[#This Row],[Final Obj Type]],Classification!B:E,3,FALSE)</f>
        <v>#N/A</v>
      </c>
      <c r="AC281" t="e">
        <f>VLOOKUP(Table1[[#This Row],[Final Obj Type]],Classification!B:E,4,FALSE)</f>
        <v>#N/A</v>
      </c>
      <c r="AD281" t="str">
        <f>IF(Table1[[#This Row],[Position 1]]=0,"/0SAP/",MID(Table1[[#This Row],[Final Obj Name]],Table1[[#This Row],[Position 1]],Table1[[#This Row],[Position 2]]-Table1[[#This Row],[Position 1]]+1))</f>
        <v>/0SAP/</v>
      </c>
      <c r="AE281" t="str">
        <f>VLOOKUP(Table1[[#This Row],[/* Object]],Namespace!A:J,10,FALSE)</f>
        <v>SAP AG</v>
      </c>
      <c r="AF281" t="str">
        <f>IF(VLOOKUP(Table1[[#This Row],[/* Object]],Namespace!A:J,4,FALSE)=0,"",VLOOKUP(Table1[[#This Row],[/* Object]],Namespace!A:J,4,FALSE))</f>
        <v>X</v>
      </c>
      <c r="AG281" t="str">
        <f>IF(VLOOKUP(Table1[[#This Row],[/* Object]],Namespace!A:J,5,FALSE)=0,"",VLOOKUP(Table1[[#This Row],[/* Object]],Namespace!A:J,5,FALSE))</f>
        <v>X</v>
      </c>
      <c r="AH281" t="str">
        <f>IF(VLOOKUP(Table1[[#This Row],[/* Object]],Namespace!A:J,6,FALSE)=0,"",VLOOKUP(Table1[[#This Row],[/* Object]],Namespace!A:J,6,FALSE))</f>
        <v/>
      </c>
      <c r="AI281">
        <f>IFERROR(FIND("/",Table1[[#This Row],[Final Obj Name]],1),0)</f>
        <v>0</v>
      </c>
      <c r="AJ281">
        <f>IF(Table1[[#This Row],[Position 1]]=0,0,FIND("/",Table1[[#This Row],[Final Obj Name]],Table1[[#This Row],[Position 1]]+1))</f>
        <v>0</v>
      </c>
      <c r="AK281" t="str">
        <f>IF(LEFT(Table1[[#This Row],[Final Obj Name]],1)="/",LEFT(Table1[[#This Row],[Final Obj Name]],FIND("/",Table1[[#This Row],[Final Obj Name]],2)),"/0SAP/")</f>
        <v>/0SAP/</v>
      </c>
    </row>
    <row r="282">
      <c r="A282" t="str">
        <v>DDLS</v>
      </c>
      <c r="B282" t="str">
        <v>ZSDCDS_IV_OPEN_SO</v>
      </c>
      <c r="C282" t="str">
        <v>DDLS</v>
      </c>
      <c r="D282" t="str">
        <v>ZSDCDS_IV_OPEN_SO</v>
      </c>
      <c r="G282" t="str">
        <v>ALL</v>
      </c>
      <c r="L282" t="str">
        <v>CST_CHINMAY</v>
      </c>
      <c r="M282">
        <v>45860</v>
      </c>
      <c r="N282">
        <v>0.54769675925926</v>
      </c>
      <c r="S282" t="str">
        <v>X</v>
      </c>
      <c r="W282" t="str">
        <v>S01K925239</v>
      </c>
      <c r="Y282">
        <f>IF(Table1[[#This Row],[OPERATION]]="NOTE","NOTE",Table1[[#This Row],[SUB_TYPE]])</f>
        <v>0</v>
      </c>
      <c r="Z282">
        <f>IF(Table1[[#This Row],[OPERATION]]="NOTE",NUMBERVALUE(LEFT(Table1[[#This Row],[MOD_NAME]],LEN(Table1[[#This Row],[MOD_NAME]])-4)),Table1[[#This Row],[SUB_NAME]])</f>
        <v>0</v>
      </c>
      <c r="AA282" t="str">
        <f>CONCAT(Table1[[#This Row],[Final Obj Type]],"|",Table1[[#This Row],[Final Obj Name]])</f>
        <v>0|0</v>
      </c>
      <c r="AB282" t="e">
        <f>VLOOKUP(Table1[[#This Row],[Final Obj Type]],Classification!B:E,3,FALSE)</f>
        <v>#N/A</v>
      </c>
      <c r="AC282" t="e">
        <f>VLOOKUP(Table1[[#This Row],[Final Obj Type]],Classification!B:E,4,FALSE)</f>
        <v>#N/A</v>
      </c>
      <c r="AD282" t="str">
        <f>IF(Table1[[#This Row],[Position 1]]=0,"/0SAP/",MID(Table1[[#This Row],[Final Obj Name]],Table1[[#This Row],[Position 1]],Table1[[#This Row],[Position 2]]-Table1[[#This Row],[Position 1]]+1))</f>
        <v>/0SAP/</v>
      </c>
      <c r="AE282" t="str">
        <f>VLOOKUP(Table1[[#This Row],[/* Object]],Namespace!A:J,10,FALSE)</f>
        <v>SAP AG</v>
      </c>
      <c r="AF282" t="str">
        <f>IF(VLOOKUP(Table1[[#This Row],[/* Object]],Namespace!A:J,4,FALSE)=0,"",VLOOKUP(Table1[[#This Row],[/* Object]],Namespace!A:J,4,FALSE))</f>
        <v>X</v>
      </c>
      <c r="AG282" t="str">
        <f>IF(VLOOKUP(Table1[[#This Row],[/* Object]],Namespace!A:J,5,FALSE)=0,"",VLOOKUP(Table1[[#This Row],[/* Object]],Namespace!A:J,5,FALSE))</f>
        <v>X</v>
      </c>
      <c r="AH282" t="str">
        <f>IF(VLOOKUP(Table1[[#This Row],[/* Object]],Namespace!A:J,6,FALSE)=0,"",VLOOKUP(Table1[[#This Row],[/* Object]],Namespace!A:J,6,FALSE))</f>
        <v/>
      </c>
      <c r="AI282">
        <f>IFERROR(FIND("/",Table1[[#This Row],[Final Obj Name]],1),0)</f>
        <v>0</v>
      </c>
      <c r="AJ282">
        <f>IF(Table1[[#This Row],[Position 1]]=0,0,FIND("/",Table1[[#This Row],[Final Obj Name]],Table1[[#This Row],[Position 1]]+1))</f>
        <v>0</v>
      </c>
      <c r="AK282" t="str">
        <f>IF(LEFT(Table1[[#This Row],[Final Obj Name]],1)="/",LEFT(Table1[[#This Row],[Final Obj Name]],FIND("/",Table1[[#This Row],[Final Obj Name]],2)),"/0SAP/")</f>
        <v>/0SAP/</v>
      </c>
    </row>
    <row r="283">
      <c r="A283" t="str">
        <v>DDLS</v>
      </c>
      <c r="B283" t="str">
        <v>ZSDCDS_IV_PARTNER</v>
      </c>
      <c r="C283" t="str">
        <v>DDLS</v>
      </c>
      <c r="D283" t="str">
        <v>ZSDCDS_IV_PARTNER</v>
      </c>
      <c r="G283" t="str">
        <v>ALL</v>
      </c>
      <c r="L283" t="str">
        <v>CST_CHINMAY</v>
      </c>
      <c r="M283">
        <v>45855</v>
      </c>
      <c r="N283">
        <v>0.65283564814815</v>
      </c>
      <c r="S283" t="str">
        <v>X</v>
      </c>
      <c r="W283" t="str">
        <v>SP1K957777</v>
      </c>
      <c r="Y283">
        <f>IF(Table1[[#This Row],[OPERATION]]="NOTE","NOTE",Table1[[#This Row],[SUB_TYPE]])</f>
        <v>0</v>
      </c>
      <c r="Z283">
        <f>IF(Table1[[#This Row],[OPERATION]]="NOTE",NUMBERVALUE(LEFT(Table1[[#This Row],[MOD_NAME]],LEN(Table1[[#This Row],[MOD_NAME]])-4)),Table1[[#This Row],[SUB_NAME]])</f>
        <v>0</v>
      </c>
      <c r="AA283" t="str">
        <f>CONCAT(Table1[[#This Row],[Final Obj Type]],"|",Table1[[#This Row],[Final Obj Name]])</f>
        <v>0|0</v>
      </c>
      <c r="AB283" t="e">
        <f>VLOOKUP(Table1[[#This Row],[Final Obj Type]],Classification!B:E,3,FALSE)</f>
        <v>#N/A</v>
      </c>
      <c r="AC283" t="e">
        <f>VLOOKUP(Table1[[#This Row],[Final Obj Type]],Classification!B:E,4,FALSE)</f>
        <v>#N/A</v>
      </c>
      <c r="AD283" t="str">
        <f>IF(Table1[[#This Row],[Position 1]]=0,"/0SAP/",MID(Table1[[#This Row],[Final Obj Name]],Table1[[#This Row],[Position 1]],Table1[[#This Row],[Position 2]]-Table1[[#This Row],[Position 1]]+1))</f>
        <v>/0SAP/</v>
      </c>
      <c r="AE283" t="str">
        <f>VLOOKUP(Table1[[#This Row],[/* Object]],Namespace!A:J,10,FALSE)</f>
        <v>SAP AG</v>
      </c>
      <c r="AF283" t="str">
        <f>IF(VLOOKUP(Table1[[#This Row],[/* Object]],Namespace!A:J,4,FALSE)=0,"",VLOOKUP(Table1[[#This Row],[/* Object]],Namespace!A:J,4,FALSE))</f>
        <v>X</v>
      </c>
      <c r="AG283" t="str">
        <f>IF(VLOOKUP(Table1[[#This Row],[/* Object]],Namespace!A:J,5,FALSE)=0,"",VLOOKUP(Table1[[#This Row],[/* Object]],Namespace!A:J,5,FALSE))</f>
        <v>X</v>
      </c>
      <c r="AH283" t="str">
        <f>IF(VLOOKUP(Table1[[#This Row],[/* Object]],Namespace!A:J,6,FALSE)=0,"",VLOOKUP(Table1[[#This Row],[/* Object]],Namespace!A:J,6,FALSE))</f>
        <v/>
      </c>
      <c r="AI283">
        <f>IFERROR(FIND("/",Table1[[#This Row],[Final Obj Name]],1),0)</f>
        <v>0</v>
      </c>
      <c r="AJ283">
        <f>IF(Table1[[#This Row],[Position 1]]=0,0,FIND("/",Table1[[#This Row],[Final Obj Name]],Table1[[#This Row],[Position 1]]+1))</f>
        <v>0</v>
      </c>
      <c r="AK283" t="str">
        <f>IF(LEFT(Table1[[#This Row],[Final Obj Name]],1)="/",LEFT(Table1[[#This Row],[Final Obj Name]],FIND("/",Table1[[#This Row],[Final Obj Name]],2)),"/0SAP/")</f>
        <v>/0SAP/</v>
      </c>
    </row>
    <row r="284">
      <c r="A284" t="str">
        <v>DDLS</v>
      </c>
      <c r="B284" t="str">
        <v>ZSDCDS_IV_SHIPTO_PARTY</v>
      </c>
      <c r="C284" t="str">
        <v>DDLS</v>
      </c>
      <c r="D284" t="str">
        <v>ZSDCDS_IV_SHIPTO_PARTY</v>
      </c>
      <c r="G284" t="str">
        <v>ALL</v>
      </c>
      <c r="L284" t="str">
        <v>CST_CHINMAY</v>
      </c>
      <c r="M284">
        <v>45855</v>
      </c>
      <c r="N284">
        <v>0.64832175925926</v>
      </c>
      <c r="S284" t="str">
        <v>X</v>
      </c>
      <c r="W284" t="str">
        <v>SP1K957777</v>
      </c>
      <c r="Y284">
        <f>IF(Table1[[#This Row],[OPERATION]]="NOTE","NOTE",Table1[[#This Row],[SUB_TYPE]])</f>
        <v>0</v>
      </c>
      <c r="Z284">
        <f>IF(Table1[[#This Row],[OPERATION]]="NOTE",NUMBERVALUE(LEFT(Table1[[#This Row],[MOD_NAME]],LEN(Table1[[#This Row],[MOD_NAME]])-4)),Table1[[#This Row],[SUB_NAME]])</f>
        <v>0</v>
      </c>
      <c r="AA284" t="str">
        <f>CONCAT(Table1[[#This Row],[Final Obj Type]],"|",Table1[[#This Row],[Final Obj Name]])</f>
        <v>0|0</v>
      </c>
      <c r="AB284" t="e">
        <f>VLOOKUP(Table1[[#This Row],[Final Obj Type]],Classification!B:E,3,FALSE)</f>
        <v>#N/A</v>
      </c>
      <c r="AC284" t="e">
        <f>VLOOKUP(Table1[[#This Row],[Final Obj Type]],Classification!B:E,4,FALSE)</f>
        <v>#N/A</v>
      </c>
      <c r="AD284" t="str">
        <f>IF(Table1[[#This Row],[Position 1]]=0,"/0SAP/",MID(Table1[[#This Row],[Final Obj Name]],Table1[[#This Row],[Position 1]],Table1[[#This Row],[Position 2]]-Table1[[#This Row],[Position 1]]+1))</f>
        <v>/0SAP/</v>
      </c>
      <c r="AE284" t="str">
        <f>VLOOKUP(Table1[[#This Row],[/* Object]],Namespace!A:J,10,FALSE)</f>
        <v>SAP AG</v>
      </c>
      <c r="AF284" t="str">
        <f>IF(VLOOKUP(Table1[[#This Row],[/* Object]],Namespace!A:J,4,FALSE)=0,"",VLOOKUP(Table1[[#This Row],[/* Object]],Namespace!A:J,4,FALSE))</f>
        <v>X</v>
      </c>
      <c r="AG284" t="str">
        <f>IF(VLOOKUP(Table1[[#This Row],[/* Object]],Namespace!A:J,5,FALSE)=0,"",VLOOKUP(Table1[[#This Row],[/* Object]],Namespace!A:J,5,FALSE))</f>
        <v>X</v>
      </c>
      <c r="AH284" t="str">
        <f>IF(VLOOKUP(Table1[[#This Row],[/* Object]],Namespace!A:J,6,FALSE)=0,"",VLOOKUP(Table1[[#This Row],[/* Object]],Namespace!A:J,6,FALSE))</f>
        <v/>
      </c>
      <c r="AI284">
        <f>IFERROR(FIND("/",Table1[[#This Row],[Final Obj Name]],1),0)</f>
        <v>0</v>
      </c>
      <c r="AJ284">
        <f>IF(Table1[[#This Row],[Position 1]]=0,0,FIND("/",Table1[[#This Row],[Final Obj Name]],Table1[[#This Row],[Position 1]]+1))</f>
        <v>0</v>
      </c>
      <c r="AK284" t="str">
        <f>IF(LEFT(Table1[[#This Row],[Final Obj Name]],1)="/",LEFT(Table1[[#This Row],[Final Obj Name]],FIND("/",Table1[[#This Row],[Final Obj Name]],2)),"/0SAP/")</f>
        <v>/0SAP/</v>
      </c>
    </row>
    <row r="285">
      <c r="A285" t="str">
        <v>DDLS</v>
      </c>
      <c r="B285" t="str">
        <v>ZSDCDS_IV_SOLDTO</v>
      </c>
      <c r="C285" t="str">
        <v>DDLS</v>
      </c>
      <c r="D285" t="str">
        <v>ZSDCDS_IV_SOLDTO</v>
      </c>
      <c r="G285" t="str">
        <v>ALL</v>
      </c>
      <c r="L285" t="str">
        <v>CST_CHINMAY</v>
      </c>
      <c r="M285">
        <v>45855</v>
      </c>
      <c r="N285">
        <v>0.64732638888889</v>
      </c>
      <c r="S285" t="str">
        <v>X</v>
      </c>
      <c r="W285" t="str">
        <v>SP1K957777</v>
      </c>
      <c r="Y285">
        <f>IF(Table1[[#This Row],[OPERATION]]="NOTE","NOTE",Table1[[#This Row],[SUB_TYPE]])</f>
        <v>0</v>
      </c>
      <c r="Z285">
        <f>IF(Table1[[#This Row],[OPERATION]]="NOTE",NUMBERVALUE(LEFT(Table1[[#This Row],[MOD_NAME]],LEN(Table1[[#This Row],[MOD_NAME]])-4)),Table1[[#This Row],[SUB_NAME]])</f>
        <v>0</v>
      </c>
      <c r="AA285" t="str">
        <f>CONCAT(Table1[[#This Row],[Final Obj Type]],"|",Table1[[#This Row],[Final Obj Name]])</f>
        <v>0|0</v>
      </c>
      <c r="AB285" t="e">
        <f>VLOOKUP(Table1[[#This Row],[Final Obj Type]],Classification!B:E,3,FALSE)</f>
        <v>#N/A</v>
      </c>
      <c r="AC285" t="e">
        <f>VLOOKUP(Table1[[#This Row],[Final Obj Type]],Classification!B:E,4,FALSE)</f>
        <v>#N/A</v>
      </c>
      <c r="AD285" t="str">
        <f>IF(Table1[[#This Row],[Position 1]]=0,"/0SAP/",MID(Table1[[#This Row],[Final Obj Name]],Table1[[#This Row],[Position 1]],Table1[[#This Row],[Position 2]]-Table1[[#This Row],[Position 1]]+1))</f>
        <v>/0SAP/</v>
      </c>
      <c r="AE285" t="str">
        <f>VLOOKUP(Table1[[#This Row],[/* Object]],Namespace!A:J,10,FALSE)</f>
        <v>SAP AG</v>
      </c>
      <c r="AF285" t="str">
        <f>IF(VLOOKUP(Table1[[#This Row],[/* Object]],Namespace!A:J,4,FALSE)=0,"",VLOOKUP(Table1[[#This Row],[/* Object]],Namespace!A:J,4,FALSE))</f>
        <v>X</v>
      </c>
      <c r="AG285" t="str">
        <f>IF(VLOOKUP(Table1[[#This Row],[/* Object]],Namespace!A:J,5,FALSE)=0,"",VLOOKUP(Table1[[#This Row],[/* Object]],Namespace!A:J,5,FALSE))</f>
        <v>X</v>
      </c>
      <c r="AH285" t="str">
        <f>IF(VLOOKUP(Table1[[#This Row],[/* Object]],Namespace!A:J,6,FALSE)=0,"",VLOOKUP(Table1[[#This Row],[/* Object]],Namespace!A:J,6,FALSE))</f>
        <v/>
      </c>
      <c r="AI285">
        <f>IFERROR(FIND("/",Table1[[#This Row],[Final Obj Name]],1),0)</f>
        <v>0</v>
      </c>
      <c r="AJ285">
        <f>IF(Table1[[#This Row],[Position 1]]=0,0,FIND("/",Table1[[#This Row],[Final Obj Name]],Table1[[#This Row],[Position 1]]+1))</f>
        <v>0</v>
      </c>
      <c r="AK285" t="str">
        <f>IF(LEFT(Table1[[#This Row],[Final Obj Name]],1)="/",LEFT(Table1[[#This Row],[Final Obj Name]],FIND("/",Table1[[#This Row],[Final Obj Name]],2)),"/0SAP/")</f>
        <v>/0SAP/</v>
      </c>
    </row>
    <row r="286">
      <c r="A286" t="str">
        <v>DDLS</v>
      </c>
      <c r="B286" t="str">
        <v>ZSDCDS_IV_SO_ALL</v>
      </c>
      <c r="C286" t="str">
        <v>DDLS</v>
      </c>
      <c r="D286" t="str">
        <v>ZSDCDS_IV_SO_ALL</v>
      </c>
      <c r="G286" t="str">
        <v>ALL</v>
      </c>
      <c r="L286" t="str">
        <v>CST_CHINMAY</v>
      </c>
      <c r="M286">
        <v>45860</v>
      </c>
      <c r="N286">
        <v>0.55162037037037</v>
      </c>
      <c r="S286" t="str">
        <v>X</v>
      </c>
      <c r="W286" t="str">
        <v>S01K925239</v>
      </c>
      <c r="Y286">
        <f>IF(Table1[[#This Row],[OPERATION]]="NOTE","NOTE",Table1[[#This Row],[SUB_TYPE]])</f>
        <v>0</v>
      </c>
      <c r="Z286">
        <f>IF(Table1[[#This Row],[OPERATION]]="NOTE",NUMBERVALUE(LEFT(Table1[[#This Row],[MOD_NAME]],LEN(Table1[[#This Row],[MOD_NAME]])-4)),Table1[[#This Row],[SUB_NAME]])</f>
        <v>0</v>
      </c>
      <c r="AA286" t="str">
        <f>CONCAT(Table1[[#This Row],[Final Obj Type]],"|",Table1[[#This Row],[Final Obj Name]])</f>
        <v>0|0</v>
      </c>
      <c r="AB286" t="e">
        <f>VLOOKUP(Table1[[#This Row],[Final Obj Type]],Classification!B:E,3,FALSE)</f>
        <v>#N/A</v>
      </c>
      <c r="AC286" t="e">
        <f>VLOOKUP(Table1[[#This Row],[Final Obj Type]],Classification!B:E,4,FALSE)</f>
        <v>#N/A</v>
      </c>
      <c r="AD286" t="str">
        <f>IF(Table1[[#This Row],[Position 1]]=0,"/0SAP/",MID(Table1[[#This Row],[Final Obj Name]],Table1[[#This Row],[Position 1]],Table1[[#This Row],[Position 2]]-Table1[[#This Row],[Position 1]]+1))</f>
        <v>/0SAP/</v>
      </c>
      <c r="AE286" t="str">
        <f>VLOOKUP(Table1[[#This Row],[/* Object]],Namespace!A:J,10,FALSE)</f>
        <v>SAP AG</v>
      </c>
      <c r="AF286" t="str">
        <f>IF(VLOOKUP(Table1[[#This Row],[/* Object]],Namespace!A:J,4,FALSE)=0,"",VLOOKUP(Table1[[#This Row],[/* Object]],Namespace!A:J,4,FALSE))</f>
        <v>X</v>
      </c>
      <c r="AG286" t="str">
        <f>IF(VLOOKUP(Table1[[#This Row],[/* Object]],Namespace!A:J,5,FALSE)=0,"",VLOOKUP(Table1[[#This Row],[/* Object]],Namespace!A:J,5,FALSE))</f>
        <v>X</v>
      </c>
      <c r="AH286" t="str">
        <f>IF(VLOOKUP(Table1[[#This Row],[/* Object]],Namespace!A:J,6,FALSE)=0,"",VLOOKUP(Table1[[#This Row],[/* Object]],Namespace!A:J,6,FALSE))</f>
        <v/>
      </c>
      <c r="AI286">
        <f>IFERROR(FIND("/",Table1[[#This Row],[Final Obj Name]],1),0)</f>
        <v>0</v>
      </c>
      <c r="AJ286">
        <f>IF(Table1[[#This Row],[Position 1]]=0,0,FIND("/",Table1[[#This Row],[Final Obj Name]],Table1[[#This Row],[Position 1]]+1))</f>
        <v>0</v>
      </c>
      <c r="AK286" t="str">
        <f>IF(LEFT(Table1[[#This Row],[Final Obj Name]],1)="/",LEFT(Table1[[#This Row],[Final Obj Name]],FIND("/",Table1[[#This Row],[Final Obj Name]],2)),"/0SAP/")</f>
        <v>/0SAP/</v>
      </c>
    </row>
    <row r="287">
      <c r="A287" t="str">
        <v>DDLS</v>
      </c>
      <c r="B287" t="str">
        <v>ZSDCDS_IV_SO_PEG</v>
      </c>
      <c r="C287" t="str">
        <v>DDLS</v>
      </c>
      <c r="D287" t="str">
        <v>ZSDCDS_IV_SO_PEG</v>
      </c>
      <c r="G287" t="str">
        <v>ALL</v>
      </c>
      <c r="L287" t="str">
        <v>CST_CHINMAY</v>
      </c>
      <c r="M287">
        <v>45860</v>
      </c>
      <c r="N287">
        <v>0.55215277777778</v>
      </c>
      <c r="S287" t="str">
        <v>X</v>
      </c>
      <c r="W287" t="str">
        <v>S01K925239</v>
      </c>
      <c r="Y287">
        <f>IF(Table1[[#This Row],[OPERATION]]="NOTE","NOTE",Table1[[#This Row],[SUB_TYPE]])</f>
        <v>0</v>
      </c>
      <c r="Z287">
        <f>IF(Table1[[#This Row],[OPERATION]]="NOTE",NUMBERVALUE(LEFT(Table1[[#This Row],[MOD_NAME]],LEN(Table1[[#This Row],[MOD_NAME]])-4)),Table1[[#This Row],[SUB_NAME]])</f>
        <v>0</v>
      </c>
      <c r="AA287" t="str">
        <f>CONCAT(Table1[[#This Row],[Final Obj Type]],"|",Table1[[#This Row],[Final Obj Name]])</f>
        <v>0|0</v>
      </c>
      <c r="AB287" t="e">
        <f>VLOOKUP(Table1[[#This Row],[Final Obj Type]],Classification!B:E,3,FALSE)</f>
        <v>#N/A</v>
      </c>
      <c r="AC287" t="e">
        <f>VLOOKUP(Table1[[#This Row],[Final Obj Type]],Classification!B:E,4,FALSE)</f>
        <v>#N/A</v>
      </c>
      <c r="AD287" t="str">
        <f>IF(Table1[[#This Row],[Position 1]]=0,"/0SAP/",MID(Table1[[#This Row],[Final Obj Name]],Table1[[#This Row],[Position 1]],Table1[[#This Row],[Position 2]]-Table1[[#This Row],[Position 1]]+1))</f>
        <v>/0SAP/</v>
      </c>
      <c r="AE287" t="str">
        <f>VLOOKUP(Table1[[#This Row],[/* Object]],Namespace!A:J,10,FALSE)</f>
        <v>SAP AG</v>
      </c>
      <c r="AF287" t="str">
        <f>IF(VLOOKUP(Table1[[#This Row],[/* Object]],Namespace!A:J,4,FALSE)=0,"",VLOOKUP(Table1[[#This Row],[/* Object]],Namespace!A:J,4,FALSE))</f>
        <v>X</v>
      </c>
      <c r="AG287" t="str">
        <f>IF(VLOOKUP(Table1[[#This Row],[/* Object]],Namespace!A:J,5,FALSE)=0,"",VLOOKUP(Table1[[#This Row],[/* Object]],Namespace!A:J,5,FALSE))</f>
        <v>X</v>
      </c>
      <c r="AH287" t="str">
        <f>IF(VLOOKUP(Table1[[#This Row],[/* Object]],Namespace!A:J,6,FALSE)=0,"",VLOOKUP(Table1[[#This Row],[/* Object]],Namespace!A:J,6,FALSE))</f>
        <v/>
      </c>
      <c r="AI287">
        <f>IFERROR(FIND("/",Table1[[#This Row],[Final Obj Name]],1),0)</f>
        <v>0</v>
      </c>
      <c r="AJ287">
        <f>IF(Table1[[#This Row],[Position 1]]=0,0,FIND("/",Table1[[#This Row],[Final Obj Name]],Table1[[#This Row],[Position 1]]+1))</f>
        <v>0</v>
      </c>
      <c r="AK287" t="str">
        <f>IF(LEFT(Table1[[#This Row],[Final Obj Name]],1)="/",LEFT(Table1[[#This Row],[Final Obj Name]],FIND("/",Table1[[#This Row],[Final Obj Name]],2)),"/0SAP/")</f>
        <v>/0SAP/</v>
      </c>
    </row>
    <row r="288">
      <c r="A288" t="str">
        <v>DDLS</v>
      </c>
      <c r="B288" t="str">
        <v>ZSDCDS_IV_SRV_ORDER</v>
      </c>
      <c r="C288" t="str">
        <v>DDLS</v>
      </c>
      <c r="D288" t="str">
        <v>ZSDCDS_IV_SRV_ORDER</v>
      </c>
      <c r="G288" t="str">
        <v>ALL</v>
      </c>
      <c r="L288" t="str">
        <v>CST_CHINMAY</v>
      </c>
      <c r="M288">
        <v>45860</v>
      </c>
      <c r="N288">
        <v>0.55099537037037</v>
      </c>
      <c r="S288" t="str">
        <v>X</v>
      </c>
      <c r="W288" t="str">
        <v>S01K925239</v>
      </c>
      <c r="Y288">
        <f>IF(Table1[[#This Row],[OPERATION]]="NOTE","NOTE",Table1[[#This Row],[SUB_TYPE]])</f>
        <v>0</v>
      </c>
      <c r="Z288">
        <f>IF(Table1[[#This Row],[OPERATION]]="NOTE",NUMBERVALUE(LEFT(Table1[[#This Row],[MOD_NAME]],LEN(Table1[[#This Row],[MOD_NAME]])-4)),Table1[[#This Row],[SUB_NAME]])</f>
        <v>0</v>
      </c>
      <c r="AA288" t="str">
        <f>CONCAT(Table1[[#This Row],[Final Obj Type]],"|",Table1[[#This Row],[Final Obj Name]])</f>
        <v>0|0</v>
      </c>
      <c r="AB288" t="e">
        <f>VLOOKUP(Table1[[#This Row],[Final Obj Type]],Classification!B:E,3,FALSE)</f>
        <v>#N/A</v>
      </c>
      <c r="AC288" t="e">
        <f>VLOOKUP(Table1[[#This Row],[Final Obj Type]],Classification!B:E,4,FALSE)</f>
        <v>#N/A</v>
      </c>
      <c r="AD288" t="str">
        <f>IF(Table1[[#This Row],[Position 1]]=0,"/0SAP/",MID(Table1[[#This Row],[Final Obj Name]],Table1[[#This Row],[Position 1]],Table1[[#This Row],[Position 2]]-Table1[[#This Row],[Position 1]]+1))</f>
        <v>/0SAP/</v>
      </c>
      <c r="AE288" t="str">
        <f>VLOOKUP(Table1[[#This Row],[/* Object]],Namespace!A:J,10,FALSE)</f>
        <v>SAP AG</v>
      </c>
      <c r="AF288" t="str">
        <f>IF(VLOOKUP(Table1[[#This Row],[/* Object]],Namespace!A:J,4,FALSE)=0,"",VLOOKUP(Table1[[#This Row],[/* Object]],Namespace!A:J,4,FALSE))</f>
        <v>X</v>
      </c>
      <c r="AG288" t="str">
        <f>IF(VLOOKUP(Table1[[#This Row],[/* Object]],Namespace!A:J,5,FALSE)=0,"",VLOOKUP(Table1[[#This Row],[/* Object]],Namespace!A:J,5,FALSE))</f>
        <v>X</v>
      </c>
      <c r="AH288" t="str">
        <f>IF(VLOOKUP(Table1[[#This Row],[/* Object]],Namespace!A:J,6,FALSE)=0,"",VLOOKUP(Table1[[#This Row],[/* Object]],Namespace!A:J,6,FALSE))</f>
        <v/>
      </c>
      <c r="AI288">
        <f>IFERROR(FIND("/",Table1[[#This Row],[Final Obj Name]],1),0)</f>
        <v>0</v>
      </c>
      <c r="AJ288">
        <f>IF(Table1[[#This Row],[Position 1]]=0,0,FIND("/",Table1[[#This Row],[Final Obj Name]],Table1[[#This Row],[Position 1]]+1))</f>
        <v>0</v>
      </c>
      <c r="AK288" t="str">
        <f>IF(LEFT(Table1[[#This Row],[Final Obj Name]],1)="/",LEFT(Table1[[#This Row],[Final Obj Name]],FIND("/",Table1[[#This Row],[Final Obj Name]],2)),"/0SAP/")</f>
        <v>/0SAP/</v>
      </c>
    </row>
    <row r="289">
      <c r="A289" t="str">
        <v>DDLS</v>
      </c>
      <c r="B289" t="str">
        <v>ZSDCDS_IV_STO</v>
      </c>
      <c r="C289" t="str">
        <v>DDLS</v>
      </c>
      <c r="D289" t="str">
        <v>ZSDCDS_IV_STO</v>
      </c>
      <c r="G289" t="str">
        <v>ALL</v>
      </c>
      <c r="L289" t="str">
        <v>DDIC_SPDD</v>
      </c>
      <c r="M289">
        <v>45337</v>
      </c>
      <c r="N289">
        <v>0.39543981481481</v>
      </c>
      <c r="S289" t="str">
        <v>X</v>
      </c>
      <c r="W289" t="str">
        <v>P01K900067</v>
      </c>
      <c r="Y289">
        <f>IF(Table1[[#This Row],[OPERATION]]="NOTE","NOTE",Table1[[#This Row],[SUB_TYPE]])</f>
        <v>0</v>
      </c>
      <c r="Z289">
        <f>IF(Table1[[#This Row],[OPERATION]]="NOTE",NUMBERVALUE(LEFT(Table1[[#This Row],[MOD_NAME]],LEN(Table1[[#This Row],[MOD_NAME]])-4)),Table1[[#This Row],[SUB_NAME]])</f>
        <v>0</v>
      </c>
      <c r="AA289" t="str">
        <f>CONCAT(Table1[[#This Row],[Final Obj Type]],"|",Table1[[#This Row],[Final Obj Name]])</f>
        <v>0|0</v>
      </c>
      <c r="AB289" t="e">
        <f>VLOOKUP(Table1[[#This Row],[Final Obj Type]],Classification!B:E,3,FALSE)</f>
        <v>#N/A</v>
      </c>
      <c r="AC289" t="e">
        <f>VLOOKUP(Table1[[#This Row],[Final Obj Type]],Classification!B:E,4,FALSE)</f>
        <v>#N/A</v>
      </c>
      <c r="AD289" t="str">
        <f>IF(Table1[[#This Row],[Position 1]]=0,"/0SAP/",MID(Table1[[#This Row],[Final Obj Name]],Table1[[#This Row],[Position 1]],Table1[[#This Row],[Position 2]]-Table1[[#This Row],[Position 1]]+1))</f>
        <v>/0SAP/</v>
      </c>
      <c r="AE289" t="str">
        <f>VLOOKUP(Table1[[#This Row],[/* Object]],Namespace!A:J,10,FALSE)</f>
        <v>SAP AG</v>
      </c>
      <c r="AF289" t="str">
        <f>IF(VLOOKUP(Table1[[#This Row],[/* Object]],Namespace!A:J,4,FALSE)=0,"",VLOOKUP(Table1[[#This Row],[/* Object]],Namespace!A:J,4,FALSE))</f>
        <v>X</v>
      </c>
      <c r="AG289" t="str">
        <f>IF(VLOOKUP(Table1[[#This Row],[/* Object]],Namespace!A:J,5,FALSE)=0,"",VLOOKUP(Table1[[#This Row],[/* Object]],Namespace!A:J,5,FALSE))</f>
        <v>X</v>
      </c>
      <c r="AH289" t="str">
        <f>IF(VLOOKUP(Table1[[#This Row],[/* Object]],Namespace!A:J,6,FALSE)=0,"",VLOOKUP(Table1[[#This Row],[/* Object]],Namespace!A:J,6,FALSE))</f>
        <v/>
      </c>
      <c r="AI289">
        <f>IFERROR(FIND("/",Table1[[#This Row],[Final Obj Name]],1),0)</f>
        <v>0</v>
      </c>
      <c r="AJ289">
        <f>IF(Table1[[#This Row],[Position 1]]=0,0,FIND("/",Table1[[#This Row],[Final Obj Name]],Table1[[#This Row],[Position 1]]+1))</f>
        <v>0</v>
      </c>
      <c r="AK289" t="str">
        <f>IF(LEFT(Table1[[#This Row],[Final Obj Name]],1)="/",LEFT(Table1[[#This Row],[Final Obj Name]],FIND("/",Table1[[#This Row],[Final Obj Name]],2)),"/0SAP/")</f>
        <v>/0SAP/</v>
      </c>
    </row>
    <row r="290">
      <c r="A290" t="str">
        <v>DDLS</v>
      </c>
      <c r="B290" t="str">
        <v>ZSDCDS_IV_STO_SUPPLY</v>
      </c>
      <c r="C290" t="str">
        <v>DDLS</v>
      </c>
      <c r="D290" t="str">
        <v>ZSDCDS_IV_STO_SUPPLY</v>
      </c>
      <c r="G290" t="str">
        <v>ALL</v>
      </c>
      <c r="L290" t="str">
        <v>DDIC_SPDD</v>
      </c>
      <c r="M290">
        <v>45337</v>
      </c>
      <c r="N290">
        <v>0.37413194444444</v>
      </c>
      <c r="S290" t="str">
        <v>X</v>
      </c>
      <c r="W290" t="str">
        <v>P01K900067</v>
      </c>
      <c r="Y290">
        <f>IF(Table1[[#This Row],[OPERATION]]="NOTE","NOTE",Table1[[#This Row],[SUB_TYPE]])</f>
        <v>0</v>
      </c>
      <c r="Z290">
        <f>IF(Table1[[#This Row],[OPERATION]]="NOTE",NUMBERVALUE(LEFT(Table1[[#This Row],[MOD_NAME]],LEN(Table1[[#This Row],[MOD_NAME]])-4)),Table1[[#This Row],[SUB_NAME]])</f>
        <v>0</v>
      </c>
      <c r="AA290" t="str">
        <f>CONCAT(Table1[[#This Row],[Final Obj Type]],"|",Table1[[#This Row],[Final Obj Name]])</f>
        <v>0|0</v>
      </c>
      <c r="AB290" t="e">
        <f>VLOOKUP(Table1[[#This Row],[Final Obj Type]],Classification!B:E,3,FALSE)</f>
        <v>#N/A</v>
      </c>
      <c r="AC290" t="e">
        <f>VLOOKUP(Table1[[#This Row],[Final Obj Type]],Classification!B:E,4,FALSE)</f>
        <v>#N/A</v>
      </c>
      <c r="AD290" t="str">
        <f>IF(Table1[[#This Row],[Position 1]]=0,"/0SAP/",MID(Table1[[#This Row],[Final Obj Name]],Table1[[#This Row],[Position 1]],Table1[[#This Row],[Position 2]]-Table1[[#This Row],[Position 1]]+1))</f>
        <v>/0SAP/</v>
      </c>
      <c r="AE290" t="str">
        <f>VLOOKUP(Table1[[#This Row],[/* Object]],Namespace!A:J,10,FALSE)</f>
        <v>SAP AG</v>
      </c>
      <c r="AF290" t="str">
        <f>IF(VLOOKUP(Table1[[#This Row],[/* Object]],Namespace!A:J,4,FALSE)=0,"",VLOOKUP(Table1[[#This Row],[/* Object]],Namespace!A:J,4,FALSE))</f>
        <v>X</v>
      </c>
      <c r="AG290" t="str">
        <f>IF(VLOOKUP(Table1[[#This Row],[/* Object]],Namespace!A:J,5,FALSE)=0,"",VLOOKUP(Table1[[#This Row],[/* Object]],Namespace!A:J,5,FALSE))</f>
        <v>X</v>
      </c>
      <c r="AH290" t="str">
        <f>IF(VLOOKUP(Table1[[#This Row],[/* Object]],Namespace!A:J,6,FALSE)=0,"",VLOOKUP(Table1[[#This Row],[/* Object]],Namespace!A:J,6,FALSE))</f>
        <v/>
      </c>
      <c r="AI290">
        <f>IFERROR(FIND("/",Table1[[#This Row],[Final Obj Name]],1),0)</f>
        <v>0</v>
      </c>
      <c r="AJ290">
        <f>IF(Table1[[#This Row],[Position 1]]=0,0,FIND("/",Table1[[#This Row],[Final Obj Name]],Table1[[#This Row],[Position 1]]+1))</f>
        <v>0</v>
      </c>
      <c r="AK290" t="str">
        <f>IF(LEFT(Table1[[#This Row],[Final Obj Name]],1)="/",LEFT(Table1[[#This Row],[Final Obj Name]],FIND("/",Table1[[#This Row],[Final Obj Name]],2)),"/0SAP/")</f>
        <v>/0SAP/</v>
      </c>
    </row>
    <row r="291">
      <c r="A291" t="str">
        <v>DDLS</v>
      </c>
      <c r="B291" t="str">
        <v>ZSD_IV_SO_BOOKINGS_01</v>
      </c>
      <c r="C291" t="str">
        <v>DDLS</v>
      </c>
      <c r="D291" t="str">
        <v>ZSD_IV_SO_BOOKINGS_01</v>
      </c>
      <c r="G291" t="str">
        <v>ALL</v>
      </c>
      <c r="L291" t="str">
        <v>CST_CHINMAY</v>
      </c>
      <c r="M291">
        <v>45848</v>
      </c>
      <c r="N291">
        <v>0.43233796296296</v>
      </c>
      <c r="S291" t="str">
        <v>X</v>
      </c>
      <c r="W291" t="str">
        <v>S01K925239</v>
      </c>
      <c r="Y291">
        <f>IF(Table1[[#This Row],[OPERATION]]="NOTE","NOTE",Table1[[#This Row],[SUB_TYPE]])</f>
        <v>0</v>
      </c>
      <c r="Z291">
        <f>IF(Table1[[#This Row],[OPERATION]]="NOTE",NUMBERVALUE(LEFT(Table1[[#This Row],[MOD_NAME]],LEN(Table1[[#This Row],[MOD_NAME]])-4)),Table1[[#This Row],[SUB_NAME]])</f>
        <v>0</v>
      </c>
      <c r="AA291" t="str">
        <f>CONCAT(Table1[[#This Row],[Final Obj Type]],"|",Table1[[#This Row],[Final Obj Name]])</f>
        <v>0|0</v>
      </c>
      <c r="AB291" t="e">
        <f>VLOOKUP(Table1[[#This Row],[Final Obj Type]],Classification!B:E,3,FALSE)</f>
        <v>#N/A</v>
      </c>
      <c r="AC291" t="e">
        <f>VLOOKUP(Table1[[#This Row],[Final Obj Type]],Classification!B:E,4,FALSE)</f>
        <v>#N/A</v>
      </c>
      <c r="AD291" t="str">
        <f>IF(Table1[[#This Row],[Position 1]]=0,"/0SAP/",MID(Table1[[#This Row],[Final Obj Name]],Table1[[#This Row],[Position 1]],Table1[[#This Row],[Position 2]]-Table1[[#This Row],[Position 1]]+1))</f>
        <v>/0SAP/</v>
      </c>
      <c r="AE291" t="str">
        <f>VLOOKUP(Table1[[#This Row],[/* Object]],Namespace!A:J,10,FALSE)</f>
        <v>SAP AG</v>
      </c>
      <c r="AF291" t="str">
        <f>IF(VLOOKUP(Table1[[#This Row],[/* Object]],Namespace!A:J,4,FALSE)=0,"",VLOOKUP(Table1[[#This Row],[/* Object]],Namespace!A:J,4,FALSE))</f>
        <v>X</v>
      </c>
      <c r="AG291" t="str">
        <f>IF(VLOOKUP(Table1[[#This Row],[/* Object]],Namespace!A:J,5,FALSE)=0,"",VLOOKUP(Table1[[#This Row],[/* Object]],Namespace!A:J,5,FALSE))</f>
        <v>X</v>
      </c>
      <c r="AH291" t="str">
        <f>IF(VLOOKUP(Table1[[#This Row],[/* Object]],Namespace!A:J,6,FALSE)=0,"",VLOOKUP(Table1[[#This Row],[/* Object]],Namespace!A:J,6,FALSE))</f>
        <v/>
      </c>
      <c r="AI291">
        <f>IFERROR(FIND("/",Table1[[#This Row],[Final Obj Name]],1),0)</f>
        <v>0</v>
      </c>
      <c r="AJ291">
        <f>IF(Table1[[#This Row],[Position 1]]=0,0,FIND("/",Table1[[#This Row],[Final Obj Name]],Table1[[#This Row],[Position 1]]+1))</f>
        <v>0</v>
      </c>
      <c r="AK291" t="str">
        <f>IF(LEFT(Table1[[#This Row],[Final Obj Name]],1)="/",LEFT(Table1[[#This Row],[Final Obj Name]],FIND("/",Table1[[#This Row],[Final Obj Name]],2)),"/0SAP/")</f>
        <v>/0SAP/</v>
      </c>
    </row>
    <row r="292">
      <c r="A292" t="str">
        <v>DDLS</v>
      </c>
      <c r="B292" t="str">
        <v>ZSD_IV_SO_BOOKINGS_02</v>
      </c>
      <c r="C292" t="str">
        <v>DDLS</v>
      </c>
      <c r="D292" t="str">
        <v>ZSD_IV_SO_BOOKINGS_02</v>
      </c>
      <c r="G292" t="str">
        <v>ALL</v>
      </c>
      <c r="L292" t="str">
        <v>CST_CHINMAY</v>
      </c>
      <c r="M292">
        <v>45848</v>
      </c>
      <c r="N292">
        <v>0.43314814814815</v>
      </c>
      <c r="S292" t="str">
        <v>X</v>
      </c>
      <c r="W292" t="str">
        <v>S01K925239</v>
      </c>
      <c r="Y292">
        <f>IF(Table1[[#This Row],[OPERATION]]="NOTE","NOTE",Table1[[#This Row],[SUB_TYPE]])</f>
        <v>0</v>
      </c>
      <c r="Z292">
        <f>IF(Table1[[#This Row],[OPERATION]]="NOTE",NUMBERVALUE(LEFT(Table1[[#This Row],[MOD_NAME]],LEN(Table1[[#This Row],[MOD_NAME]])-4)),Table1[[#This Row],[SUB_NAME]])</f>
        <v>0</v>
      </c>
      <c r="AA292" t="str">
        <f>CONCAT(Table1[[#This Row],[Final Obj Type]],"|",Table1[[#This Row],[Final Obj Name]])</f>
        <v>0|0</v>
      </c>
      <c r="AB292" t="e">
        <f>VLOOKUP(Table1[[#This Row],[Final Obj Type]],Classification!B:E,3,FALSE)</f>
        <v>#N/A</v>
      </c>
      <c r="AC292" t="e">
        <f>VLOOKUP(Table1[[#This Row],[Final Obj Type]],Classification!B:E,4,FALSE)</f>
        <v>#N/A</v>
      </c>
      <c r="AD292" t="str">
        <f>IF(Table1[[#This Row],[Position 1]]=0,"/0SAP/",MID(Table1[[#This Row],[Final Obj Name]],Table1[[#This Row],[Position 1]],Table1[[#This Row],[Position 2]]-Table1[[#This Row],[Position 1]]+1))</f>
        <v>/0SAP/</v>
      </c>
      <c r="AE292" t="str">
        <f>VLOOKUP(Table1[[#This Row],[/* Object]],Namespace!A:J,10,FALSE)</f>
        <v>SAP AG</v>
      </c>
      <c r="AF292" t="str">
        <f>IF(VLOOKUP(Table1[[#This Row],[/* Object]],Namespace!A:J,4,FALSE)=0,"",VLOOKUP(Table1[[#This Row],[/* Object]],Namespace!A:J,4,FALSE))</f>
        <v>X</v>
      </c>
      <c r="AG292" t="str">
        <f>IF(VLOOKUP(Table1[[#This Row],[/* Object]],Namespace!A:J,5,FALSE)=0,"",VLOOKUP(Table1[[#This Row],[/* Object]],Namespace!A:J,5,FALSE))</f>
        <v>X</v>
      </c>
      <c r="AH292" t="str">
        <f>IF(VLOOKUP(Table1[[#This Row],[/* Object]],Namespace!A:J,6,FALSE)=0,"",VLOOKUP(Table1[[#This Row],[/* Object]],Namespace!A:J,6,FALSE))</f>
        <v/>
      </c>
      <c r="AI292">
        <f>IFERROR(FIND("/",Table1[[#This Row],[Final Obj Name]],1),0)</f>
        <v>0</v>
      </c>
      <c r="AJ292">
        <f>IF(Table1[[#This Row],[Position 1]]=0,0,FIND("/",Table1[[#This Row],[Final Obj Name]],Table1[[#This Row],[Position 1]]+1))</f>
        <v>0</v>
      </c>
      <c r="AK292" t="str">
        <f>IF(LEFT(Table1[[#This Row],[Final Obj Name]],1)="/",LEFT(Table1[[#This Row],[Final Obj Name]],FIND("/",Table1[[#This Row],[Final Obj Name]],2)),"/0SAP/")</f>
        <v>/0SAP/</v>
      </c>
    </row>
    <row r="293">
      <c r="A293" t="str">
        <v>DDLS</v>
      </c>
      <c r="B293" t="str">
        <v>ZSD_OTC_GBS_BOOKING</v>
      </c>
      <c r="C293" t="str">
        <v>DDLS</v>
      </c>
      <c r="D293" t="str">
        <v>ZSD_OTC_GBS_BOOKING</v>
      </c>
      <c r="G293" t="str">
        <v>ALL</v>
      </c>
      <c r="L293" t="str">
        <v>SUDG</v>
      </c>
      <c r="M293">
        <v>45803</v>
      </c>
      <c r="N293">
        <v>0.4334375</v>
      </c>
      <c r="S293" t="str">
        <v>X</v>
      </c>
      <c r="W293" t="str">
        <v>S01K924780</v>
      </c>
      <c r="Y293">
        <f>IF(Table1[[#This Row],[OPERATION]]="NOTE","NOTE",Table1[[#This Row],[SUB_TYPE]])</f>
        <v>0</v>
      </c>
      <c r="Z293">
        <f>IF(Table1[[#This Row],[OPERATION]]="NOTE",NUMBERVALUE(LEFT(Table1[[#This Row],[MOD_NAME]],LEN(Table1[[#This Row],[MOD_NAME]])-4)),Table1[[#This Row],[SUB_NAME]])</f>
        <v>0</v>
      </c>
      <c r="AA293" t="str">
        <f>CONCAT(Table1[[#This Row],[Final Obj Type]],"|",Table1[[#This Row],[Final Obj Name]])</f>
        <v>0|0</v>
      </c>
      <c r="AB293" t="e">
        <f>VLOOKUP(Table1[[#This Row],[Final Obj Type]],Classification!B:E,3,FALSE)</f>
        <v>#N/A</v>
      </c>
      <c r="AC293" t="e">
        <f>VLOOKUP(Table1[[#This Row],[Final Obj Type]],Classification!B:E,4,FALSE)</f>
        <v>#N/A</v>
      </c>
      <c r="AD293" t="str">
        <f>IF(Table1[[#This Row],[Position 1]]=0,"/0SAP/",MID(Table1[[#This Row],[Final Obj Name]],Table1[[#This Row],[Position 1]],Table1[[#This Row],[Position 2]]-Table1[[#This Row],[Position 1]]+1))</f>
        <v>/0SAP/</v>
      </c>
      <c r="AE293" t="str">
        <f>VLOOKUP(Table1[[#This Row],[/* Object]],Namespace!A:J,10,FALSE)</f>
        <v>SAP AG</v>
      </c>
      <c r="AF293" t="str">
        <f>IF(VLOOKUP(Table1[[#This Row],[/* Object]],Namespace!A:J,4,FALSE)=0,"",VLOOKUP(Table1[[#This Row],[/* Object]],Namespace!A:J,4,FALSE))</f>
        <v>X</v>
      </c>
      <c r="AG293" t="str">
        <f>IF(VLOOKUP(Table1[[#This Row],[/* Object]],Namespace!A:J,5,FALSE)=0,"",VLOOKUP(Table1[[#This Row],[/* Object]],Namespace!A:J,5,FALSE))</f>
        <v>X</v>
      </c>
      <c r="AH293" t="str">
        <f>IF(VLOOKUP(Table1[[#This Row],[/* Object]],Namespace!A:J,6,FALSE)=0,"",VLOOKUP(Table1[[#This Row],[/* Object]],Namespace!A:J,6,FALSE))</f>
        <v/>
      </c>
      <c r="AI293">
        <f>IFERROR(FIND("/",Table1[[#This Row],[Final Obj Name]],1),0)</f>
        <v>0</v>
      </c>
      <c r="AJ293">
        <f>IF(Table1[[#This Row],[Position 1]]=0,0,FIND("/",Table1[[#This Row],[Final Obj Name]],Table1[[#This Row],[Position 1]]+1))</f>
        <v>0</v>
      </c>
      <c r="AK293" t="str">
        <f>IF(LEFT(Table1[[#This Row],[Final Obj Name]],1)="/",LEFT(Table1[[#This Row],[Final Obj Name]],FIND("/",Table1[[#This Row],[Final Obj Name]],2)),"/0SAP/")</f>
        <v>/0SAP/</v>
      </c>
    </row>
    <row r="294">
      <c r="A294" t="str">
        <v>DDLS</v>
      </c>
      <c r="B294" t="str">
        <v>ZSD_TRACK</v>
      </c>
      <c r="C294" t="str">
        <v>DDLS</v>
      </c>
      <c r="D294" t="str">
        <v>ZSD_TRACK</v>
      </c>
      <c r="G294" t="str">
        <v>ALL</v>
      </c>
      <c r="L294" t="str">
        <v>DDIC_SPDD</v>
      </c>
      <c r="M294">
        <v>45337</v>
      </c>
      <c r="N294">
        <v>0.37596064814815</v>
      </c>
      <c r="S294" t="str">
        <v>X</v>
      </c>
      <c r="W294" t="str">
        <v>P01K900067</v>
      </c>
      <c r="Y294">
        <f>IF(Table1[[#This Row],[OPERATION]]="NOTE","NOTE",Table1[[#This Row],[SUB_TYPE]])</f>
        <v>0</v>
      </c>
      <c r="Z294">
        <f>IF(Table1[[#This Row],[OPERATION]]="NOTE",NUMBERVALUE(LEFT(Table1[[#This Row],[MOD_NAME]],LEN(Table1[[#This Row],[MOD_NAME]])-4)),Table1[[#This Row],[SUB_NAME]])</f>
        <v>0</v>
      </c>
      <c r="AA294" t="str">
        <f>CONCAT(Table1[[#This Row],[Final Obj Type]],"|",Table1[[#This Row],[Final Obj Name]])</f>
        <v>0|0</v>
      </c>
      <c r="AB294" t="e">
        <f>VLOOKUP(Table1[[#This Row],[Final Obj Type]],Classification!B:E,3,FALSE)</f>
        <v>#N/A</v>
      </c>
      <c r="AC294" t="e">
        <f>VLOOKUP(Table1[[#This Row],[Final Obj Type]],Classification!B:E,4,FALSE)</f>
        <v>#N/A</v>
      </c>
      <c r="AD294" t="str">
        <f>IF(Table1[[#This Row],[Position 1]]=0,"/0SAP/",MID(Table1[[#This Row],[Final Obj Name]],Table1[[#This Row],[Position 1]],Table1[[#This Row],[Position 2]]-Table1[[#This Row],[Position 1]]+1))</f>
        <v>/0SAP/</v>
      </c>
      <c r="AE294" t="str">
        <f>VLOOKUP(Table1[[#This Row],[/* Object]],Namespace!A:J,10,FALSE)</f>
        <v>SAP AG</v>
      </c>
      <c r="AF294" t="str">
        <f>IF(VLOOKUP(Table1[[#This Row],[/* Object]],Namespace!A:J,4,FALSE)=0,"",VLOOKUP(Table1[[#This Row],[/* Object]],Namespace!A:J,4,FALSE))</f>
        <v>X</v>
      </c>
      <c r="AG294" t="str">
        <f>IF(VLOOKUP(Table1[[#This Row],[/* Object]],Namespace!A:J,5,FALSE)=0,"",VLOOKUP(Table1[[#This Row],[/* Object]],Namespace!A:J,5,FALSE))</f>
        <v>X</v>
      </c>
      <c r="AH294" t="str">
        <f>IF(VLOOKUP(Table1[[#This Row],[/* Object]],Namespace!A:J,6,FALSE)=0,"",VLOOKUP(Table1[[#This Row],[/* Object]],Namespace!A:J,6,FALSE))</f>
        <v/>
      </c>
      <c r="AI294">
        <f>IFERROR(FIND("/",Table1[[#This Row],[Final Obj Name]],1),0)</f>
        <v>0</v>
      </c>
      <c r="AJ294">
        <f>IF(Table1[[#This Row],[Position 1]]=0,0,FIND("/",Table1[[#This Row],[Final Obj Name]],Table1[[#This Row],[Position 1]]+1))</f>
        <v>0</v>
      </c>
      <c r="AK294" t="str">
        <f>IF(LEFT(Table1[[#This Row],[Final Obj Name]],1)="/",LEFT(Table1[[#This Row],[Final Obj Name]],FIND("/",Table1[[#This Row],[Final Obj Name]],2)),"/0SAP/")</f>
        <v>/0SAP/</v>
      </c>
    </row>
    <row r="295">
      <c r="A295" t="str">
        <v>DDLS</v>
      </c>
      <c r="B295" t="str">
        <v>ZSD_TRACK_PROD</v>
      </c>
      <c r="C295" t="str">
        <v>DDLS</v>
      </c>
      <c r="D295" t="str">
        <v>ZSD_TRACK_PROD</v>
      </c>
      <c r="G295" t="str">
        <v>ALL</v>
      </c>
      <c r="L295" t="str">
        <v>DDIC_SPDD</v>
      </c>
      <c r="M295">
        <v>45337</v>
      </c>
      <c r="N295">
        <v>0.37722222222222</v>
      </c>
      <c r="S295" t="str">
        <v>X</v>
      </c>
      <c r="W295" t="str">
        <v>P01K900067</v>
      </c>
      <c r="Y295">
        <f>IF(Table1[[#This Row],[OPERATION]]="NOTE","NOTE",Table1[[#This Row],[SUB_TYPE]])</f>
        <v>0</v>
      </c>
      <c r="Z295">
        <f>IF(Table1[[#This Row],[OPERATION]]="NOTE",NUMBERVALUE(LEFT(Table1[[#This Row],[MOD_NAME]],LEN(Table1[[#This Row],[MOD_NAME]])-4)),Table1[[#This Row],[SUB_NAME]])</f>
        <v>0</v>
      </c>
      <c r="AA295" t="str">
        <f>CONCAT(Table1[[#This Row],[Final Obj Type]],"|",Table1[[#This Row],[Final Obj Name]])</f>
        <v>0|0</v>
      </c>
      <c r="AB295" t="e">
        <f>VLOOKUP(Table1[[#This Row],[Final Obj Type]],Classification!B:E,3,FALSE)</f>
        <v>#N/A</v>
      </c>
      <c r="AC295" t="e">
        <f>VLOOKUP(Table1[[#This Row],[Final Obj Type]],Classification!B:E,4,FALSE)</f>
        <v>#N/A</v>
      </c>
      <c r="AD295" t="str">
        <f>IF(Table1[[#This Row],[Position 1]]=0,"/0SAP/",MID(Table1[[#This Row],[Final Obj Name]],Table1[[#This Row],[Position 1]],Table1[[#This Row],[Position 2]]-Table1[[#This Row],[Position 1]]+1))</f>
        <v>/0SAP/</v>
      </c>
      <c r="AE295" t="str">
        <f>VLOOKUP(Table1[[#This Row],[/* Object]],Namespace!A:J,10,FALSE)</f>
        <v>SAP AG</v>
      </c>
      <c r="AF295" t="str">
        <f>IF(VLOOKUP(Table1[[#This Row],[/* Object]],Namespace!A:J,4,FALSE)=0,"",VLOOKUP(Table1[[#This Row],[/* Object]],Namespace!A:J,4,FALSE))</f>
        <v>X</v>
      </c>
      <c r="AG295" t="str">
        <f>IF(VLOOKUP(Table1[[#This Row],[/* Object]],Namespace!A:J,5,FALSE)=0,"",VLOOKUP(Table1[[#This Row],[/* Object]],Namespace!A:J,5,FALSE))</f>
        <v>X</v>
      </c>
      <c r="AH295" t="str">
        <f>IF(VLOOKUP(Table1[[#This Row],[/* Object]],Namespace!A:J,6,FALSE)=0,"",VLOOKUP(Table1[[#This Row],[/* Object]],Namespace!A:J,6,FALSE))</f>
        <v/>
      </c>
      <c r="AI295">
        <f>IFERROR(FIND("/",Table1[[#This Row],[Final Obj Name]],1),0)</f>
        <v>0</v>
      </c>
      <c r="AJ295">
        <f>IF(Table1[[#This Row],[Position 1]]=0,0,FIND("/",Table1[[#This Row],[Final Obj Name]],Table1[[#This Row],[Position 1]]+1))</f>
        <v>0</v>
      </c>
      <c r="AK295" t="str">
        <f>IF(LEFT(Table1[[#This Row],[Final Obj Name]],1)="/",LEFT(Table1[[#This Row],[Final Obj Name]],FIND("/",Table1[[#This Row],[Final Obj Name]],2)),"/0SAP/")</f>
        <v>/0SAP/</v>
      </c>
    </row>
    <row r="296">
      <c r="A296" t="str">
        <v>DDLS</v>
      </c>
      <c r="B296" t="str">
        <v>ZSOTCCDS_COGS_MTS</v>
      </c>
      <c r="C296" t="str">
        <v>DDLS</v>
      </c>
      <c r="D296" t="str">
        <v>ZSOTCCDS_COGS_MTS</v>
      </c>
      <c r="G296" t="str">
        <v>ALL</v>
      </c>
      <c r="L296" t="str">
        <v>DDIC_SPDD</v>
      </c>
      <c r="M296">
        <v>45337</v>
      </c>
      <c r="N296">
        <v>0.4218287037037</v>
      </c>
      <c r="S296" t="str">
        <v>X</v>
      </c>
      <c r="W296" t="str">
        <v>P01K900067</v>
      </c>
      <c r="Y296">
        <f>IF(Table1[[#This Row],[OPERATION]]="NOTE","NOTE",Table1[[#This Row],[SUB_TYPE]])</f>
        <v>0</v>
      </c>
      <c r="Z296">
        <f>IF(Table1[[#This Row],[OPERATION]]="NOTE",NUMBERVALUE(LEFT(Table1[[#This Row],[MOD_NAME]],LEN(Table1[[#This Row],[MOD_NAME]])-4)),Table1[[#This Row],[SUB_NAME]])</f>
        <v>0</v>
      </c>
      <c r="AA296" t="str">
        <f>CONCAT(Table1[[#This Row],[Final Obj Type]],"|",Table1[[#This Row],[Final Obj Name]])</f>
        <v>0|0</v>
      </c>
      <c r="AB296" t="e">
        <f>VLOOKUP(Table1[[#This Row],[Final Obj Type]],Classification!B:E,3,FALSE)</f>
        <v>#N/A</v>
      </c>
      <c r="AC296" t="e">
        <f>VLOOKUP(Table1[[#This Row],[Final Obj Type]],Classification!B:E,4,FALSE)</f>
        <v>#N/A</v>
      </c>
      <c r="AD296" t="str">
        <f>IF(Table1[[#This Row],[Position 1]]=0,"/0SAP/",MID(Table1[[#This Row],[Final Obj Name]],Table1[[#This Row],[Position 1]],Table1[[#This Row],[Position 2]]-Table1[[#This Row],[Position 1]]+1))</f>
        <v>/0SAP/</v>
      </c>
      <c r="AE296" t="str">
        <f>VLOOKUP(Table1[[#This Row],[/* Object]],Namespace!A:J,10,FALSE)</f>
        <v>SAP AG</v>
      </c>
      <c r="AF296" t="str">
        <f>IF(VLOOKUP(Table1[[#This Row],[/* Object]],Namespace!A:J,4,FALSE)=0,"",VLOOKUP(Table1[[#This Row],[/* Object]],Namespace!A:J,4,FALSE))</f>
        <v>X</v>
      </c>
      <c r="AG296" t="str">
        <f>IF(VLOOKUP(Table1[[#This Row],[/* Object]],Namespace!A:J,5,FALSE)=0,"",VLOOKUP(Table1[[#This Row],[/* Object]],Namespace!A:J,5,FALSE))</f>
        <v>X</v>
      </c>
      <c r="AH296" t="str">
        <f>IF(VLOOKUP(Table1[[#This Row],[/* Object]],Namespace!A:J,6,FALSE)=0,"",VLOOKUP(Table1[[#This Row],[/* Object]],Namespace!A:J,6,FALSE))</f>
        <v/>
      </c>
      <c r="AI296">
        <f>IFERROR(FIND("/",Table1[[#This Row],[Final Obj Name]],1),0)</f>
        <v>0</v>
      </c>
      <c r="AJ296">
        <f>IF(Table1[[#This Row],[Position 1]]=0,0,FIND("/",Table1[[#This Row],[Final Obj Name]],Table1[[#This Row],[Position 1]]+1))</f>
        <v>0</v>
      </c>
      <c r="AK296" t="str">
        <f>IF(LEFT(Table1[[#This Row],[Final Obj Name]],1)="/",LEFT(Table1[[#This Row],[Final Obj Name]],FIND("/",Table1[[#This Row],[Final Obj Name]],2)),"/0SAP/")</f>
        <v>/0SAP/</v>
      </c>
    </row>
    <row r="297">
      <c r="A297" t="str">
        <v>DDLS</v>
      </c>
      <c r="B297" t="str">
        <v>ZSPTMV_PLORDER</v>
      </c>
      <c r="C297" t="str">
        <v>DDLS</v>
      </c>
      <c r="D297" t="str">
        <v>ZSPTMV_PLORDER</v>
      </c>
      <c r="G297" t="str">
        <v>ALL</v>
      </c>
      <c r="L297">
        <v>50117741</v>
      </c>
      <c r="M297">
        <v>45876</v>
      </c>
      <c r="N297">
        <v>0.75800925925926</v>
      </c>
      <c r="S297" t="str">
        <v>X</v>
      </c>
      <c r="W297" t="str">
        <v>S01K925210</v>
      </c>
      <c r="Y297">
        <f>IF(Table1[[#This Row],[OPERATION]]="NOTE","NOTE",Table1[[#This Row],[SUB_TYPE]])</f>
        <v>0</v>
      </c>
      <c r="Z297">
        <f>IF(Table1[[#This Row],[OPERATION]]="NOTE",NUMBERVALUE(LEFT(Table1[[#This Row],[MOD_NAME]],LEN(Table1[[#This Row],[MOD_NAME]])-4)),Table1[[#This Row],[SUB_NAME]])</f>
        <v>0</v>
      </c>
      <c r="AA297" t="str">
        <f>CONCAT(Table1[[#This Row],[Final Obj Type]],"|",Table1[[#This Row],[Final Obj Name]])</f>
        <v>0|0</v>
      </c>
      <c r="AB297" t="e">
        <f>VLOOKUP(Table1[[#This Row],[Final Obj Type]],Classification!B:E,3,FALSE)</f>
        <v>#N/A</v>
      </c>
      <c r="AC297" t="e">
        <f>VLOOKUP(Table1[[#This Row],[Final Obj Type]],Classification!B:E,4,FALSE)</f>
        <v>#N/A</v>
      </c>
      <c r="AD297" t="str">
        <f>IF(Table1[[#This Row],[Position 1]]=0,"/0SAP/",MID(Table1[[#This Row],[Final Obj Name]],Table1[[#This Row],[Position 1]],Table1[[#This Row],[Position 2]]-Table1[[#This Row],[Position 1]]+1))</f>
        <v>/0SAP/</v>
      </c>
      <c r="AE297" t="str">
        <f>VLOOKUP(Table1[[#This Row],[/* Object]],Namespace!A:J,10,FALSE)</f>
        <v>SAP AG</v>
      </c>
      <c r="AF297" t="str">
        <f>IF(VLOOKUP(Table1[[#This Row],[/* Object]],Namespace!A:J,4,FALSE)=0,"",VLOOKUP(Table1[[#This Row],[/* Object]],Namespace!A:J,4,FALSE))</f>
        <v>X</v>
      </c>
      <c r="AG297" t="str">
        <f>IF(VLOOKUP(Table1[[#This Row],[/* Object]],Namespace!A:J,5,FALSE)=0,"",VLOOKUP(Table1[[#This Row],[/* Object]],Namespace!A:J,5,FALSE))</f>
        <v>X</v>
      </c>
      <c r="AH297" t="str">
        <f>IF(VLOOKUP(Table1[[#This Row],[/* Object]],Namespace!A:J,6,FALSE)=0,"",VLOOKUP(Table1[[#This Row],[/* Object]],Namespace!A:J,6,FALSE))</f>
        <v/>
      </c>
      <c r="AI297">
        <f>IFERROR(FIND("/",Table1[[#This Row],[Final Obj Name]],1),0)</f>
        <v>0</v>
      </c>
      <c r="AJ297">
        <f>IF(Table1[[#This Row],[Position 1]]=0,0,FIND("/",Table1[[#This Row],[Final Obj Name]],Table1[[#This Row],[Position 1]]+1))</f>
        <v>0</v>
      </c>
      <c r="AK297" t="str">
        <f>IF(LEFT(Table1[[#This Row],[Final Obj Name]],1)="/",LEFT(Table1[[#This Row],[Final Obj Name]],FIND("/",Table1[[#This Row],[Final Obj Name]],2)),"/0SAP/")</f>
        <v>/0SAP/</v>
      </c>
    </row>
    <row r="298">
      <c r="A298" t="str">
        <v>DDLS</v>
      </c>
      <c r="B298" t="str">
        <v>ZSPTPCDS_OTS_OTD_GRN</v>
      </c>
      <c r="C298" t="str">
        <v>DDLS</v>
      </c>
      <c r="D298" t="str">
        <v>ZSPTPCDS_OTS_OTD_GRN</v>
      </c>
      <c r="G298" t="str">
        <v>ALL</v>
      </c>
      <c r="L298">
        <v>50117143</v>
      </c>
      <c r="M298">
        <v>45064</v>
      </c>
      <c r="N298">
        <v>0.30403935185185</v>
      </c>
      <c r="S298" t="str">
        <v>X</v>
      </c>
      <c r="W298" t="str">
        <v>S01K916075</v>
      </c>
      <c r="Y298">
        <f>IF(Table1[[#This Row],[OPERATION]]="NOTE","NOTE",Table1[[#This Row],[SUB_TYPE]])</f>
        <v>0</v>
      </c>
      <c r="Z298">
        <f>IF(Table1[[#This Row],[OPERATION]]="NOTE",NUMBERVALUE(LEFT(Table1[[#This Row],[MOD_NAME]],LEN(Table1[[#This Row],[MOD_NAME]])-4)),Table1[[#This Row],[SUB_NAME]])</f>
        <v>0</v>
      </c>
      <c r="AA298" t="str">
        <f>CONCAT(Table1[[#This Row],[Final Obj Type]],"|",Table1[[#This Row],[Final Obj Name]])</f>
        <v>0|0</v>
      </c>
      <c r="AB298" t="e">
        <f>VLOOKUP(Table1[[#This Row],[Final Obj Type]],Classification!B:E,3,FALSE)</f>
        <v>#N/A</v>
      </c>
      <c r="AC298" t="e">
        <f>VLOOKUP(Table1[[#This Row],[Final Obj Type]],Classification!B:E,4,FALSE)</f>
        <v>#N/A</v>
      </c>
      <c r="AD298" t="str">
        <f>IF(Table1[[#This Row],[Position 1]]=0,"/0SAP/",MID(Table1[[#This Row],[Final Obj Name]],Table1[[#This Row],[Position 1]],Table1[[#This Row],[Position 2]]-Table1[[#This Row],[Position 1]]+1))</f>
        <v>/0SAP/</v>
      </c>
      <c r="AE298" t="str">
        <f>VLOOKUP(Table1[[#This Row],[/* Object]],Namespace!A:J,10,FALSE)</f>
        <v>SAP AG</v>
      </c>
      <c r="AF298" t="str">
        <f>IF(VLOOKUP(Table1[[#This Row],[/* Object]],Namespace!A:J,4,FALSE)=0,"",VLOOKUP(Table1[[#This Row],[/* Object]],Namespace!A:J,4,FALSE))</f>
        <v>X</v>
      </c>
      <c r="AG298" t="str">
        <f>IF(VLOOKUP(Table1[[#This Row],[/* Object]],Namespace!A:J,5,FALSE)=0,"",VLOOKUP(Table1[[#This Row],[/* Object]],Namespace!A:J,5,FALSE))</f>
        <v>X</v>
      </c>
      <c r="AH298" t="str">
        <f>IF(VLOOKUP(Table1[[#This Row],[/* Object]],Namespace!A:J,6,FALSE)=0,"",VLOOKUP(Table1[[#This Row],[/* Object]],Namespace!A:J,6,FALSE))</f>
        <v/>
      </c>
      <c r="AI298">
        <f>IFERROR(FIND("/",Table1[[#This Row],[Final Obj Name]],1),0)</f>
        <v>0</v>
      </c>
      <c r="AJ298">
        <f>IF(Table1[[#This Row],[Position 1]]=0,0,FIND("/",Table1[[#This Row],[Final Obj Name]],Table1[[#This Row],[Position 1]]+1))</f>
        <v>0</v>
      </c>
      <c r="AK298" t="str">
        <f>IF(LEFT(Table1[[#This Row],[Final Obj Name]],1)="/",LEFT(Table1[[#This Row],[Final Obj Name]],FIND("/",Table1[[#This Row],[Final Obj Name]],2)),"/0SAP/")</f>
        <v>/0SAP/</v>
      </c>
    </row>
    <row r="299">
      <c r="A299" t="str">
        <v>DDLS</v>
      </c>
      <c r="B299" t="str">
        <v>ZSRTRCDS_NCR_REPORT</v>
      </c>
      <c r="C299" t="str">
        <v>DDLS</v>
      </c>
      <c r="D299" t="str">
        <v>ZSRTRCDS_NCR_REPORT</v>
      </c>
      <c r="G299" t="str">
        <v>ALL</v>
      </c>
      <c r="L299" t="str">
        <v>SIGANESH</v>
      </c>
      <c r="M299">
        <v>44242</v>
      </c>
      <c r="N299">
        <v>0.3728587962963</v>
      </c>
      <c r="S299" t="str">
        <v>X</v>
      </c>
      <c r="W299" t="str">
        <v>S01K911019</v>
      </c>
      <c r="Y299">
        <f>IF(Table1[[#This Row],[OPERATION]]="NOTE","NOTE",Table1[[#This Row],[SUB_TYPE]])</f>
        <v>0</v>
      </c>
      <c r="Z299">
        <f>IF(Table1[[#This Row],[OPERATION]]="NOTE",NUMBERVALUE(LEFT(Table1[[#This Row],[MOD_NAME]],LEN(Table1[[#This Row],[MOD_NAME]])-4)),Table1[[#This Row],[SUB_NAME]])</f>
        <v>0</v>
      </c>
      <c r="AA299" t="str">
        <f>CONCAT(Table1[[#This Row],[Final Obj Type]],"|",Table1[[#This Row],[Final Obj Name]])</f>
        <v>0|0</v>
      </c>
      <c r="AB299" t="e">
        <f>VLOOKUP(Table1[[#This Row],[Final Obj Type]],Classification!B:E,3,FALSE)</f>
        <v>#N/A</v>
      </c>
      <c r="AC299" t="e">
        <f>VLOOKUP(Table1[[#This Row],[Final Obj Type]],Classification!B:E,4,FALSE)</f>
        <v>#N/A</v>
      </c>
      <c r="AD299" t="str">
        <f>IF(Table1[[#This Row],[Position 1]]=0,"/0SAP/",MID(Table1[[#This Row],[Final Obj Name]],Table1[[#This Row],[Position 1]],Table1[[#This Row],[Position 2]]-Table1[[#This Row],[Position 1]]+1))</f>
        <v>/0SAP/</v>
      </c>
      <c r="AE299" t="str">
        <f>VLOOKUP(Table1[[#This Row],[/* Object]],Namespace!A:J,10,FALSE)</f>
        <v>SAP AG</v>
      </c>
      <c r="AF299" t="str">
        <f>IF(VLOOKUP(Table1[[#This Row],[/* Object]],Namespace!A:J,4,FALSE)=0,"",VLOOKUP(Table1[[#This Row],[/* Object]],Namespace!A:J,4,FALSE))</f>
        <v>X</v>
      </c>
      <c r="AG299" t="str">
        <f>IF(VLOOKUP(Table1[[#This Row],[/* Object]],Namespace!A:J,5,FALSE)=0,"",VLOOKUP(Table1[[#This Row],[/* Object]],Namespace!A:J,5,FALSE))</f>
        <v>X</v>
      </c>
      <c r="AH299" t="str">
        <f>IF(VLOOKUP(Table1[[#This Row],[/* Object]],Namespace!A:J,6,FALSE)=0,"",VLOOKUP(Table1[[#This Row],[/* Object]],Namespace!A:J,6,FALSE))</f>
        <v/>
      </c>
      <c r="AI299">
        <f>IFERROR(FIND("/",Table1[[#This Row],[Final Obj Name]],1),0)</f>
        <v>0</v>
      </c>
      <c r="AJ299">
        <f>IF(Table1[[#This Row],[Position 1]]=0,0,FIND("/",Table1[[#This Row],[Final Obj Name]],Table1[[#This Row],[Position 1]]+1))</f>
        <v>0</v>
      </c>
      <c r="AK299" t="str">
        <f>IF(LEFT(Table1[[#This Row],[Final Obj Name]],1)="/",LEFT(Table1[[#This Row],[Final Obj Name]],FIND("/",Table1[[#This Row],[Final Obj Name]],2)),"/0SAP/")</f>
        <v>/0SAP/</v>
      </c>
    </row>
    <row r="300">
      <c r="A300" t="str">
        <v>DDLS</v>
      </c>
      <c r="B300" t="str">
        <v>ZSSTRCDS_LIST_P</v>
      </c>
      <c r="C300" t="str">
        <v>DDLS</v>
      </c>
      <c r="D300" t="str">
        <v>ZSSTRCDS_LIST_P</v>
      </c>
      <c r="G300" t="str">
        <v>ALL</v>
      </c>
      <c r="L300">
        <v>50117141</v>
      </c>
      <c r="M300">
        <v>45304</v>
      </c>
      <c r="N300">
        <v>0.23681712962963</v>
      </c>
      <c r="S300" t="str">
        <v>X</v>
      </c>
      <c r="W300" t="str">
        <v>S01K920022</v>
      </c>
      <c r="Y300">
        <f>IF(Table1[[#This Row],[OPERATION]]="NOTE","NOTE",Table1[[#This Row],[SUB_TYPE]])</f>
        <v>0</v>
      </c>
      <c r="Z300">
        <f>IF(Table1[[#This Row],[OPERATION]]="NOTE",NUMBERVALUE(LEFT(Table1[[#This Row],[MOD_NAME]],LEN(Table1[[#This Row],[MOD_NAME]])-4)),Table1[[#This Row],[SUB_NAME]])</f>
        <v>0</v>
      </c>
      <c r="AA300" t="str">
        <f>CONCAT(Table1[[#This Row],[Final Obj Type]],"|",Table1[[#This Row],[Final Obj Name]])</f>
        <v>0|0</v>
      </c>
      <c r="AB300" t="e">
        <f>VLOOKUP(Table1[[#This Row],[Final Obj Type]],Classification!B:E,3,FALSE)</f>
        <v>#N/A</v>
      </c>
      <c r="AC300" t="e">
        <f>VLOOKUP(Table1[[#This Row],[Final Obj Type]],Classification!B:E,4,FALSE)</f>
        <v>#N/A</v>
      </c>
      <c r="AD300" t="str">
        <f>IF(Table1[[#This Row],[Position 1]]=0,"/0SAP/",MID(Table1[[#This Row],[Final Obj Name]],Table1[[#This Row],[Position 1]],Table1[[#This Row],[Position 2]]-Table1[[#This Row],[Position 1]]+1))</f>
        <v>/0SAP/</v>
      </c>
      <c r="AE300" t="str">
        <f>VLOOKUP(Table1[[#This Row],[/* Object]],Namespace!A:J,10,FALSE)</f>
        <v>SAP AG</v>
      </c>
      <c r="AF300" t="str">
        <f>IF(VLOOKUP(Table1[[#This Row],[/* Object]],Namespace!A:J,4,FALSE)=0,"",VLOOKUP(Table1[[#This Row],[/* Object]],Namespace!A:J,4,FALSE))</f>
        <v>X</v>
      </c>
      <c r="AG300" t="str">
        <f>IF(VLOOKUP(Table1[[#This Row],[/* Object]],Namespace!A:J,5,FALSE)=0,"",VLOOKUP(Table1[[#This Row],[/* Object]],Namespace!A:J,5,FALSE))</f>
        <v>X</v>
      </c>
      <c r="AH300" t="str">
        <f>IF(VLOOKUP(Table1[[#This Row],[/* Object]],Namespace!A:J,6,FALSE)=0,"",VLOOKUP(Table1[[#This Row],[/* Object]],Namespace!A:J,6,FALSE))</f>
        <v/>
      </c>
      <c r="AI300">
        <f>IFERROR(FIND("/",Table1[[#This Row],[Final Obj Name]],1),0)</f>
        <v>0</v>
      </c>
      <c r="AJ300">
        <f>IF(Table1[[#This Row],[Position 1]]=0,0,FIND("/",Table1[[#This Row],[Final Obj Name]],Table1[[#This Row],[Position 1]]+1))</f>
        <v>0</v>
      </c>
      <c r="AK300" t="str">
        <f>IF(LEFT(Table1[[#This Row],[Final Obj Name]],1)="/",LEFT(Table1[[#This Row],[Final Obj Name]],FIND("/",Table1[[#This Row],[Final Obj Name]],2)),"/0SAP/")</f>
        <v>/0SAP/</v>
      </c>
    </row>
    <row r="301">
      <c r="A301" t="str">
        <v>DDLS</v>
      </c>
      <c r="B301" t="str">
        <v>ZSSTRCDS_LIST_PRICE</v>
      </c>
      <c r="C301" t="str">
        <v>DDLS</v>
      </c>
      <c r="D301" t="str">
        <v>ZSSTRCDS_LIST_PRICE</v>
      </c>
      <c r="G301" t="str">
        <v>ALL</v>
      </c>
      <c r="L301">
        <v>50117141</v>
      </c>
      <c r="M301">
        <v>45316</v>
      </c>
      <c r="N301">
        <v>0.61994212962963</v>
      </c>
      <c r="S301" t="str">
        <v>X</v>
      </c>
      <c r="W301" t="str">
        <v>S01K920022</v>
      </c>
      <c r="Y301">
        <f>IF(Table1[[#This Row],[OPERATION]]="NOTE","NOTE",Table1[[#This Row],[SUB_TYPE]])</f>
        <v>0</v>
      </c>
      <c r="Z301">
        <f>IF(Table1[[#This Row],[OPERATION]]="NOTE",NUMBERVALUE(LEFT(Table1[[#This Row],[MOD_NAME]],LEN(Table1[[#This Row],[MOD_NAME]])-4)),Table1[[#This Row],[SUB_NAME]])</f>
        <v>0</v>
      </c>
      <c r="AA301" t="str">
        <f>CONCAT(Table1[[#This Row],[Final Obj Type]],"|",Table1[[#This Row],[Final Obj Name]])</f>
        <v>0|0</v>
      </c>
      <c r="AB301" t="e">
        <f>VLOOKUP(Table1[[#This Row],[Final Obj Type]],Classification!B:E,3,FALSE)</f>
        <v>#N/A</v>
      </c>
      <c r="AC301" t="e">
        <f>VLOOKUP(Table1[[#This Row],[Final Obj Type]],Classification!B:E,4,FALSE)</f>
        <v>#N/A</v>
      </c>
      <c r="AD301" t="str">
        <f>IF(Table1[[#This Row],[Position 1]]=0,"/0SAP/",MID(Table1[[#This Row],[Final Obj Name]],Table1[[#This Row],[Position 1]],Table1[[#This Row],[Position 2]]-Table1[[#This Row],[Position 1]]+1))</f>
        <v>/0SAP/</v>
      </c>
      <c r="AE301" t="str">
        <f>VLOOKUP(Table1[[#This Row],[/* Object]],Namespace!A:J,10,FALSE)</f>
        <v>SAP AG</v>
      </c>
      <c r="AF301" t="str">
        <f>IF(VLOOKUP(Table1[[#This Row],[/* Object]],Namespace!A:J,4,FALSE)=0,"",VLOOKUP(Table1[[#This Row],[/* Object]],Namespace!A:J,4,FALSE))</f>
        <v>X</v>
      </c>
      <c r="AG301" t="str">
        <f>IF(VLOOKUP(Table1[[#This Row],[/* Object]],Namespace!A:J,5,FALSE)=0,"",VLOOKUP(Table1[[#This Row],[/* Object]],Namespace!A:J,5,FALSE))</f>
        <v>X</v>
      </c>
      <c r="AH301" t="str">
        <f>IF(VLOOKUP(Table1[[#This Row],[/* Object]],Namespace!A:J,6,FALSE)=0,"",VLOOKUP(Table1[[#This Row],[/* Object]],Namespace!A:J,6,FALSE))</f>
        <v/>
      </c>
      <c r="AI301">
        <f>IFERROR(FIND("/",Table1[[#This Row],[Final Obj Name]],1),0)</f>
        <v>0</v>
      </c>
      <c r="AJ301">
        <f>IF(Table1[[#This Row],[Position 1]]=0,0,FIND("/",Table1[[#This Row],[Final Obj Name]],Table1[[#This Row],[Position 1]]+1))</f>
        <v>0</v>
      </c>
      <c r="AK301" t="str">
        <f>IF(LEFT(Table1[[#This Row],[Final Obj Name]],1)="/",LEFT(Table1[[#This Row],[Final Obj Name]],FIND("/",Table1[[#This Row],[Final Obj Name]],2)),"/0SAP/")</f>
        <v>/0SAP/</v>
      </c>
    </row>
    <row r="302">
      <c r="A302" t="str">
        <v>DDLS</v>
      </c>
      <c r="B302" t="str">
        <v>ZSSTRCDS_REPAIRSALES</v>
      </c>
      <c r="C302" t="str">
        <v>DDLS</v>
      </c>
      <c r="D302" t="str">
        <v>ZSSTRCDS_REPAIRSALES</v>
      </c>
      <c r="G302" t="str">
        <v>ALL</v>
      </c>
      <c r="L302">
        <v>50117922</v>
      </c>
      <c r="M302">
        <v>44824</v>
      </c>
      <c r="N302">
        <v>0.43596064814815</v>
      </c>
      <c r="S302" t="str">
        <v>X</v>
      </c>
      <c r="W302" t="str">
        <v>SP1K937726</v>
      </c>
      <c r="Y302">
        <f>IF(Table1[[#This Row],[OPERATION]]="NOTE","NOTE",Table1[[#This Row],[SUB_TYPE]])</f>
        <v>0</v>
      </c>
      <c r="Z302">
        <f>IF(Table1[[#This Row],[OPERATION]]="NOTE",NUMBERVALUE(LEFT(Table1[[#This Row],[MOD_NAME]],LEN(Table1[[#This Row],[MOD_NAME]])-4)),Table1[[#This Row],[SUB_NAME]])</f>
        <v>0</v>
      </c>
      <c r="AA302" t="str">
        <f>CONCAT(Table1[[#This Row],[Final Obj Type]],"|",Table1[[#This Row],[Final Obj Name]])</f>
        <v>0|0</v>
      </c>
      <c r="AB302" t="e">
        <f>VLOOKUP(Table1[[#This Row],[Final Obj Type]],Classification!B:E,3,FALSE)</f>
        <v>#N/A</v>
      </c>
      <c r="AC302" t="e">
        <f>VLOOKUP(Table1[[#This Row],[Final Obj Type]],Classification!B:E,4,FALSE)</f>
        <v>#N/A</v>
      </c>
      <c r="AD302" t="str">
        <f>IF(Table1[[#This Row],[Position 1]]=0,"/0SAP/",MID(Table1[[#This Row],[Final Obj Name]],Table1[[#This Row],[Position 1]],Table1[[#This Row],[Position 2]]-Table1[[#This Row],[Position 1]]+1))</f>
        <v>/0SAP/</v>
      </c>
      <c r="AE302" t="str">
        <f>VLOOKUP(Table1[[#This Row],[/* Object]],Namespace!A:J,10,FALSE)</f>
        <v>SAP AG</v>
      </c>
      <c r="AF302" t="str">
        <f>IF(VLOOKUP(Table1[[#This Row],[/* Object]],Namespace!A:J,4,FALSE)=0,"",VLOOKUP(Table1[[#This Row],[/* Object]],Namespace!A:J,4,FALSE))</f>
        <v>X</v>
      </c>
      <c r="AG302" t="str">
        <f>IF(VLOOKUP(Table1[[#This Row],[/* Object]],Namespace!A:J,5,FALSE)=0,"",VLOOKUP(Table1[[#This Row],[/* Object]],Namespace!A:J,5,FALSE))</f>
        <v>X</v>
      </c>
      <c r="AH302" t="str">
        <f>IF(VLOOKUP(Table1[[#This Row],[/* Object]],Namespace!A:J,6,FALSE)=0,"",VLOOKUP(Table1[[#This Row],[/* Object]],Namespace!A:J,6,FALSE))</f>
        <v/>
      </c>
      <c r="AI302">
        <f>IFERROR(FIND("/",Table1[[#This Row],[Final Obj Name]],1),0)</f>
        <v>0</v>
      </c>
      <c r="AJ302">
        <f>IF(Table1[[#This Row],[Position 1]]=0,0,FIND("/",Table1[[#This Row],[Final Obj Name]],Table1[[#This Row],[Position 1]]+1))</f>
        <v>0</v>
      </c>
      <c r="AK302" t="str">
        <f>IF(LEFT(Table1[[#This Row],[Final Obj Name]],1)="/",LEFT(Table1[[#This Row],[Final Obj Name]],FIND("/",Table1[[#This Row],[Final Obj Name]],2)),"/0SAP/")</f>
        <v>/0SAP/</v>
      </c>
    </row>
    <row r="303">
      <c r="A303" t="str">
        <v>DDLS</v>
      </c>
      <c r="B303" t="str">
        <v>ZSSTRCDS_REPAIR_CYCLE</v>
      </c>
      <c r="C303" t="str">
        <v>DDLS</v>
      </c>
      <c r="D303" t="str">
        <v>ZSSTRCDS_REPAIR_CYCLE</v>
      </c>
      <c r="G303" t="str">
        <v>ALL</v>
      </c>
      <c r="L303" t="str">
        <v>CST_SPHALAKE</v>
      </c>
      <c r="M303">
        <v>45988</v>
      </c>
      <c r="N303">
        <v>0.43238425925926</v>
      </c>
      <c r="S303" t="str">
        <v>X</v>
      </c>
      <c r="W303" t="str">
        <v>S01K927141</v>
      </c>
      <c r="Y303">
        <f>IF(Table1[[#This Row],[OPERATION]]="NOTE","NOTE",Table1[[#This Row],[SUB_TYPE]])</f>
        <v>0</v>
      </c>
      <c r="Z303">
        <f>IF(Table1[[#This Row],[OPERATION]]="NOTE",NUMBERVALUE(LEFT(Table1[[#This Row],[MOD_NAME]],LEN(Table1[[#This Row],[MOD_NAME]])-4)),Table1[[#This Row],[SUB_NAME]])</f>
        <v>0</v>
      </c>
      <c r="AA303" t="str">
        <f>CONCAT(Table1[[#This Row],[Final Obj Type]],"|",Table1[[#This Row],[Final Obj Name]])</f>
        <v>0|0</v>
      </c>
      <c r="AB303" t="e">
        <f>VLOOKUP(Table1[[#This Row],[Final Obj Type]],Classification!B:E,3,FALSE)</f>
        <v>#N/A</v>
      </c>
      <c r="AC303" t="e">
        <f>VLOOKUP(Table1[[#This Row],[Final Obj Type]],Classification!B:E,4,FALSE)</f>
        <v>#N/A</v>
      </c>
      <c r="AD303" t="str">
        <f>IF(Table1[[#This Row],[Position 1]]=0,"/0SAP/",MID(Table1[[#This Row],[Final Obj Name]],Table1[[#This Row],[Position 1]],Table1[[#This Row],[Position 2]]-Table1[[#This Row],[Position 1]]+1))</f>
        <v>/0SAP/</v>
      </c>
      <c r="AE303" t="str">
        <f>VLOOKUP(Table1[[#This Row],[/* Object]],Namespace!A:J,10,FALSE)</f>
        <v>SAP AG</v>
      </c>
      <c r="AF303" t="str">
        <f>IF(VLOOKUP(Table1[[#This Row],[/* Object]],Namespace!A:J,4,FALSE)=0,"",VLOOKUP(Table1[[#This Row],[/* Object]],Namespace!A:J,4,FALSE))</f>
        <v>X</v>
      </c>
      <c r="AG303" t="str">
        <f>IF(VLOOKUP(Table1[[#This Row],[/* Object]],Namespace!A:J,5,FALSE)=0,"",VLOOKUP(Table1[[#This Row],[/* Object]],Namespace!A:J,5,FALSE))</f>
        <v>X</v>
      </c>
      <c r="AH303" t="str">
        <f>IF(VLOOKUP(Table1[[#This Row],[/* Object]],Namespace!A:J,6,FALSE)=0,"",VLOOKUP(Table1[[#This Row],[/* Object]],Namespace!A:J,6,FALSE))</f>
        <v/>
      </c>
      <c r="AI303">
        <f>IFERROR(FIND("/",Table1[[#This Row],[Final Obj Name]],1),0)</f>
        <v>0</v>
      </c>
      <c r="AJ303">
        <f>IF(Table1[[#This Row],[Position 1]]=0,0,FIND("/",Table1[[#This Row],[Final Obj Name]],Table1[[#This Row],[Position 1]]+1))</f>
        <v>0</v>
      </c>
      <c r="AK303" t="str">
        <f>IF(LEFT(Table1[[#This Row],[Final Obj Name]],1)="/",LEFT(Table1[[#This Row],[Final Obj Name]],FIND("/",Table1[[#This Row],[Final Obj Name]],2)),"/0SAP/")</f>
        <v>/0SAP/</v>
      </c>
    </row>
    <row r="304">
      <c r="A304" t="str">
        <v>DDLS</v>
      </c>
      <c r="B304" t="str">
        <v>ZSSTRCDS_SERVITEM</v>
      </c>
      <c r="C304" t="str">
        <v>DDLS</v>
      </c>
      <c r="D304" t="str">
        <v>ZSSTRCDS_SERVITEM</v>
      </c>
      <c r="G304" t="str">
        <v>ALL</v>
      </c>
      <c r="L304">
        <v>10184419</v>
      </c>
      <c r="M304">
        <v>45763</v>
      </c>
      <c r="N304">
        <v>0.52038194444444</v>
      </c>
      <c r="S304" t="str">
        <v>X</v>
      </c>
      <c r="W304" t="str">
        <v>SP1K954547</v>
      </c>
      <c r="Y304">
        <f>IF(Table1[[#This Row],[OPERATION]]="NOTE","NOTE",Table1[[#This Row],[SUB_TYPE]])</f>
        <v>0</v>
      </c>
      <c r="Z304">
        <f>IF(Table1[[#This Row],[OPERATION]]="NOTE",NUMBERVALUE(LEFT(Table1[[#This Row],[MOD_NAME]],LEN(Table1[[#This Row],[MOD_NAME]])-4)),Table1[[#This Row],[SUB_NAME]])</f>
        <v>0</v>
      </c>
      <c r="AA304" t="str">
        <f>CONCAT(Table1[[#This Row],[Final Obj Type]],"|",Table1[[#This Row],[Final Obj Name]])</f>
        <v>0|0</v>
      </c>
      <c r="AB304" t="e">
        <f>VLOOKUP(Table1[[#This Row],[Final Obj Type]],Classification!B:E,3,FALSE)</f>
        <v>#N/A</v>
      </c>
      <c r="AC304" t="e">
        <f>VLOOKUP(Table1[[#This Row],[Final Obj Type]],Classification!B:E,4,FALSE)</f>
        <v>#N/A</v>
      </c>
      <c r="AD304" t="str">
        <f>IF(Table1[[#This Row],[Position 1]]=0,"/0SAP/",MID(Table1[[#This Row],[Final Obj Name]],Table1[[#This Row],[Position 1]],Table1[[#This Row],[Position 2]]-Table1[[#This Row],[Position 1]]+1))</f>
        <v>/0SAP/</v>
      </c>
      <c r="AE304" t="str">
        <f>VLOOKUP(Table1[[#This Row],[/* Object]],Namespace!A:J,10,FALSE)</f>
        <v>SAP AG</v>
      </c>
      <c r="AF304" t="str">
        <f>IF(VLOOKUP(Table1[[#This Row],[/* Object]],Namespace!A:J,4,FALSE)=0,"",VLOOKUP(Table1[[#This Row],[/* Object]],Namespace!A:J,4,FALSE))</f>
        <v>X</v>
      </c>
      <c r="AG304" t="str">
        <f>IF(VLOOKUP(Table1[[#This Row],[/* Object]],Namespace!A:J,5,FALSE)=0,"",VLOOKUP(Table1[[#This Row],[/* Object]],Namespace!A:J,5,FALSE))</f>
        <v>X</v>
      </c>
      <c r="AH304" t="str">
        <f>IF(VLOOKUP(Table1[[#This Row],[/* Object]],Namespace!A:J,6,FALSE)=0,"",VLOOKUP(Table1[[#This Row],[/* Object]],Namespace!A:J,6,FALSE))</f>
        <v/>
      </c>
      <c r="AI304">
        <f>IFERROR(FIND("/",Table1[[#This Row],[Final Obj Name]],1),0)</f>
        <v>0</v>
      </c>
      <c r="AJ304">
        <f>IF(Table1[[#This Row],[Position 1]]=0,0,FIND("/",Table1[[#This Row],[Final Obj Name]],Table1[[#This Row],[Position 1]]+1))</f>
        <v>0</v>
      </c>
      <c r="AK304" t="str">
        <f>IF(LEFT(Table1[[#This Row],[Final Obj Name]],1)="/",LEFT(Table1[[#This Row],[Final Obj Name]],FIND("/",Table1[[#This Row],[Final Obj Name]],2)),"/0SAP/")</f>
        <v>/0SAP/</v>
      </c>
    </row>
    <row r="305">
      <c r="A305" t="str">
        <v>DDLS</v>
      </c>
      <c r="B305" t="str">
        <v>ZSSTRCDS_SERVORD</v>
      </c>
      <c r="C305" t="str">
        <v>DDLS</v>
      </c>
      <c r="D305" t="str">
        <v>ZSSTRCDS_SERVORD</v>
      </c>
      <c r="G305" t="str">
        <v>ALL</v>
      </c>
      <c r="L305">
        <v>50116674</v>
      </c>
      <c r="M305">
        <v>44509</v>
      </c>
      <c r="N305">
        <v>0.40325231481481</v>
      </c>
      <c r="S305" t="str">
        <v>X</v>
      </c>
      <c r="W305" t="str">
        <v>SP1K925303</v>
      </c>
      <c r="Y305">
        <f>IF(Table1[[#This Row],[OPERATION]]="NOTE","NOTE",Table1[[#This Row],[SUB_TYPE]])</f>
        <v>0</v>
      </c>
      <c r="Z305">
        <f>IF(Table1[[#This Row],[OPERATION]]="NOTE",NUMBERVALUE(LEFT(Table1[[#This Row],[MOD_NAME]],LEN(Table1[[#This Row],[MOD_NAME]])-4)),Table1[[#This Row],[SUB_NAME]])</f>
        <v>0</v>
      </c>
      <c r="AA305" t="str">
        <f>CONCAT(Table1[[#This Row],[Final Obj Type]],"|",Table1[[#This Row],[Final Obj Name]])</f>
        <v>0|0</v>
      </c>
      <c r="AB305" t="e">
        <f>VLOOKUP(Table1[[#This Row],[Final Obj Type]],Classification!B:E,3,FALSE)</f>
        <v>#N/A</v>
      </c>
      <c r="AC305" t="e">
        <f>VLOOKUP(Table1[[#This Row],[Final Obj Type]],Classification!B:E,4,FALSE)</f>
        <v>#N/A</v>
      </c>
      <c r="AD305" t="str">
        <f>IF(Table1[[#This Row],[Position 1]]=0,"/0SAP/",MID(Table1[[#This Row],[Final Obj Name]],Table1[[#This Row],[Position 1]],Table1[[#This Row],[Position 2]]-Table1[[#This Row],[Position 1]]+1))</f>
        <v>/0SAP/</v>
      </c>
      <c r="AE305" t="str">
        <f>VLOOKUP(Table1[[#This Row],[/* Object]],Namespace!A:J,10,FALSE)</f>
        <v>SAP AG</v>
      </c>
      <c r="AF305" t="str">
        <f>IF(VLOOKUP(Table1[[#This Row],[/* Object]],Namespace!A:J,4,FALSE)=0,"",VLOOKUP(Table1[[#This Row],[/* Object]],Namespace!A:J,4,FALSE))</f>
        <v>X</v>
      </c>
      <c r="AG305" t="str">
        <f>IF(VLOOKUP(Table1[[#This Row],[/* Object]],Namespace!A:J,5,FALSE)=0,"",VLOOKUP(Table1[[#This Row],[/* Object]],Namespace!A:J,5,FALSE))</f>
        <v>X</v>
      </c>
      <c r="AH305" t="str">
        <f>IF(VLOOKUP(Table1[[#This Row],[/* Object]],Namespace!A:J,6,FALSE)=0,"",VLOOKUP(Table1[[#This Row],[/* Object]],Namespace!A:J,6,FALSE))</f>
        <v/>
      </c>
      <c r="AI305">
        <f>IFERROR(FIND("/",Table1[[#This Row],[Final Obj Name]],1),0)</f>
        <v>0</v>
      </c>
      <c r="AJ305">
        <f>IF(Table1[[#This Row],[Position 1]]=0,0,FIND("/",Table1[[#This Row],[Final Obj Name]],Table1[[#This Row],[Position 1]]+1))</f>
        <v>0</v>
      </c>
      <c r="AK305" t="str">
        <f>IF(LEFT(Table1[[#This Row],[Final Obj Name]],1)="/",LEFT(Table1[[#This Row],[Final Obj Name]],FIND("/",Table1[[#This Row],[Final Obj Name]],2)),"/0SAP/")</f>
        <v>/0SAP/</v>
      </c>
    </row>
    <row r="306">
      <c r="A306" t="str">
        <v>DDLS</v>
      </c>
      <c r="B306" t="str">
        <v>ZSSTR_CDS_MCHA_MBEW</v>
      </c>
      <c r="C306" t="str">
        <v>DDLS</v>
      </c>
      <c r="D306" t="str">
        <v>ZSSTR_CDS_MCHA_MBEW</v>
      </c>
      <c r="G306" t="str">
        <v>ALL</v>
      </c>
      <c r="L306">
        <v>50117141</v>
      </c>
      <c r="M306">
        <v>45304</v>
      </c>
      <c r="N306">
        <v>0.20328703703704</v>
      </c>
      <c r="S306" t="str">
        <v>X</v>
      </c>
      <c r="W306" t="str">
        <v>S01K920022</v>
      </c>
      <c r="Y306">
        <f>IF(Table1[[#This Row],[OPERATION]]="NOTE","NOTE",Table1[[#This Row],[SUB_TYPE]])</f>
        <v>0</v>
      </c>
      <c r="Z306">
        <f>IF(Table1[[#This Row],[OPERATION]]="NOTE",NUMBERVALUE(LEFT(Table1[[#This Row],[MOD_NAME]],LEN(Table1[[#This Row],[MOD_NAME]])-4)),Table1[[#This Row],[SUB_NAME]])</f>
        <v>0</v>
      </c>
      <c r="AA306" t="str">
        <f>CONCAT(Table1[[#This Row],[Final Obj Type]],"|",Table1[[#This Row],[Final Obj Name]])</f>
        <v>0|0</v>
      </c>
      <c r="AB306" t="e">
        <f>VLOOKUP(Table1[[#This Row],[Final Obj Type]],Classification!B:E,3,FALSE)</f>
        <v>#N/A</v>
      </c>
      <c r="AC306" t="e">
        <f>VLOOKUP(Table1[[#This Row],[Final Obj Type]],Classification!B:E,4,FALSE)</f>
        <v>#N/A</v>
      </c>
      <c r="AD306" t="str">
        <f>IF(Table1[[#This Row],[Position 1]]=0,"/0SAP/",MID(Table1[[#This Row],[Final Obj Name]],Table1[[#This Row],[Position 1]],Table1[[#This Row],[Position 2]]-Table1[[#This Row],[Position 1]]+1))</f>
        <v>/0SAP/</v>
      </c>
      <c r="AE306" t="str">
        <f>VLOOKUP(Table1[[#This Row],[/* Object]],Namespace!A:J,10,FALSE)</f>
        <v>SAP AG</v>
      </c>
      <c r="AF306" t="str">
        <f>IF(VLOOKUP(Table1[[#This Row],[/* Object]],Namespace!A:J,4,FALSE)=0,"",VLOOKUP(Table1[[#This Row],[/* Object]],Namespace!A:J,4,FALSE))</f>
        <v>X</v>
      </c>
      <c r="AG306" t="str">
        <f>IF(VLOOKUP(Table1[[#This Row],[/* Object]],Namespace!A:J,5,FALSE)=0,"",VLOOKUP(Table1[[#This Row],[/* Object]],Namespace!A:J,5,FALSE))</f>
        <v>X</v>
      </c>
      <c r="AH306" t="str">
        <f>IF(VLOOKUP(Table1[[#This Row],[/* Object]],Namespace!A:J,6,FALSE)=0,"",VLOOKUP(Table1[[#This Row],[/* Object]],Namespace!A:J,6,FALSE))</f>
        <v/>
      </c>
      <c r="AI306">
        <f>IFERROR(FIND("/",Table1[[#This Row],[Final Obj Name]],1),0)</f>
        <v>0</v>
      </c>
      <c r="AJ306">
        <f>IF(Table1[[#This Row],[Position 1]]=0,0,FIND("/",Table1[[#This Row],[Final Obj Name]],Table1[[#This Row],[Position 1]]+1))</f>
        <v>0</v>
      </c>
      <c r="AK306" t="str">
        <f>IF(LEFT(Table1[[#This Row],[Final Obj Name]],1)="/",LEFT(Table1[[#This Row],[Final Obj Name]],FIND("/",Table1[[#This Row],[Final Obj Name]],2)),"/0SAP/")</f>
        <v>/0SAP/</v>
      </c>
    </row>
    <row r="307">
      <c r="A307" t="str">
        <v>DDLS</v>
      </c>
      <c r="B307" t="str">
        <v>ZSTRCDS_REPAIRQUOTE</v>
      </c>
      <c r="C307" t="str">
        <v>DDLS</v>
      </c>
      <c r="D307" t="str">
        <v>ZSTRCDS_REPAIRQUOTE</v>
      </c>
      <c r="G307" t="str">
        <v>ALL</v>
      </c>
      <c r="L307" t="str">
        <v>CST_MOHANAP</v>
      </c>
      <c r="M307">
        <v>43860</v>
      </c>
      <c r="N307">
        <v>0.33541666666667</v>
      </c>
      <c r="S307" t="str">
        <v>X</v>
      </c>
      <c r="W307" t="str">
        <v>SP1K906016</v>
      </c>
      <c r="Y307">
        <f>IF(Table1[[#This Row],[OPERATION]]="NOTE","NOTE",Table1[[#This Row],[SUB_TYPE]])</f>
        <v>0</v>
      </c>
      <c r="Z307">
        <f>IF(Table1[[#This Row],[OPERATION]]="NOTE",NUMBERVALUE(LEFT(Table1[[#This Row],[MOD_NAME]],LEN(Table1[[#This Row],[MOD_NAME]])-4)),Table1[[#This Row],[SUB_NAME]])</f>
        <v>0</v>
      </c>
      <c r="AA307" t="str">
        <f>CONCAT(Table1[[#This Row],[Final Obj Type]],"|",Table1[[#This Row],[Final Obj Name]])</f>
        <v>0|0</v>
      </c>
      <c r="AB307" t="e">
        <f>VLOOKUP(Table1[[#This Row],[Final Obj Type]],Classification!B:E,3,FALSE)</f>
        <v>#N/A</v>
      </c>
      <c r="AC307" t="e">
        <f>VLOOKUP(Table1[[#This Row],[Final Obj Type]],Classification!B:E,4,FALSE)</f>
        <v>#N/A</v>
      </c>
      <c r="AD307" t="str">
        <f>IF(Table1[[#This Row],[Position 1]]=0,"/0SAP/",MID(Table1[[#This Row],[Final Obj Name]],Table1[[#This Row],[Position 1]],Table1[[#This Row],[Position 2]]-Table1[[#This Row],[Position 1]]+1))</f>
        <v>/0SAP/</v>
      </c>
      <c r="AE307" t="str">
        <f>VLOOKUP(Table1[[#This Row],[/* Object]],Namespace!A:J,10,FALSE)</f>
        <v>SAP AG</v>
      </c>
      <c r="AF307" t="str">
        <f>IF(VLOOKUP(Table1[[#This Row],[/* Object]],Namespace!A:J,4,FALSE)=0,"",VLOOKUP(Table1[[#This Row],[/* Object]],Namespace!A:J,4,FALSE))</f>
        <v>X</v>
      </c>
      <c r="AG307" t="str">
        <f>IF(VLOOKUP(Table1[[#This Row],[/* Object]],Namespace!A:J,5,FALSE)=0,"",VLOOKUP(Table1[[#This Row],[/* Object]],Namespace!A:J,5,FALSE))</f>
        <v>X</v>
      </c>
      <c r="AH307" t="str">
        <f>IF(VLOOKUP(Table1[[#This Row],[/* Object]],Namespace!A:J,6,FALSE)=0,"",VLOOKUP(Table1[[#This Row],[/* Object]],Namespace!A:J,6,FALSE))</f>
        <v/>
      </c>
      <c r="AI307">
        <f>IFERROR(FIND("/",Table1[[#This Row],[Final Obj Name]],1),0)</f>
        <v>0</v>
      </c>
      <c r="AJ307">
        <f>IF(Table1[[#This Row],[Position 1]]=0,0,FIND("/",Table1[[#This Row],[Final Obj Name]],Table1[[#This Row],[Position 1]]+1))</f>
        <v>0</v>
      </c>
      <c r="AK307" t="str">
        <f>IF(LEFT(Table1[[#This Row],[Final Obj Name]],1)="/",LEFT(Table1[[#This Row],[Final Obj Name]],FIND("/",Table1[[#This Row],[Final Obj Name]],2)),"/0SAP/")</f>
        <v>/0SAP/</v>
      </c>
    </row>
    <row r="308">
      <c r="A308" t="str">
        <v>DDLS</v>
      </c>
      <c r="B308" t="str">
        <v>ZTRACK_PD_AGE_COMP_FINAL</v>
      </c>
      <c r="C308" t="str">
        <v>DDLS</v>
      </c>
      <c r="D308" t="str">
        <v>ZTRACK_PD_AGE_COMP_FINAL</v>
      </c>
      <c r="G308" t="str">
        <v>ALL</v>
      </c>
      <c r="L308" t="str">
        <v>DDIC_SPDD</v>
      </c>
      <c r="M308">
        <v>45337</v>
      </c>
      <c r="N308">
        <v>0.37890046296296</v>
      </c>
      <c r="S308" t="str">
        <v>X</v>
      </c>
      <c r="W308" t="str">
        <v>P01K900067</v>
      </c>
      <c r="Y308">
        <f>IF(Table1[[#This Row],[OPERATION]]="NOTE","NOTE",Table1[[#This Row],[SUB_TYPE]])</f>
        <v>0</v>
      </c>
      <c r="Z308">
        <f>IF(Table1[[#This Row],[OPERATION]]="NOTE",NUMBERVALUE(LEFT(Table1[[#This Row],[MOD_NAME]],LEN(Table1[[#This Row],[MOD_NAME]])-4)),Table1[[#This Row],[SUB_NAME]])</f>
        <v>0</v>
      </c>
      <c r="AA308" t="str">
        <f>CONCAT(Table1[[#This Row],[Final Obj Type]],"|",Table1[[#This Row],[Final Obj Name]])</f>
        <v>0|0</v>
      </c>
      <c r="AB308" t="e">
        <f>VLOOKUP(Table1[[#This Row],[Final Obj Type]],Classification!B:E,3,FALSE)</f>
        <v>#N/A</v>
      </c>
      <c r="AC308" t="e">
        <f>VLOOKUP(Table1[[#This Row],[Final Obj Type]],Classification!B:E,4,FALSE)</f>
        <v>#N/A</v>
      </c>
      <c r="AD308" t="str">
        <f>IF(Table1[[#This Row],[Position 1]]=0,"/0SAP/",MID(Table1[[#This Row],[Final Obj Name]],Table1[[#This Row],[Position 1]],Table1[[#This Row],[Position 2]]-Table1[[#This Row],[Position 1]]+1))</f>
        <v>/0SAP/</v>
      </c>
      <c r="AE308" t="str">
        <f>VLOOKUP(Table1[[#This Row],[/* Object]],Namespace!A:J,10,FALSE)</f>
        <v>SAP AG</v>
      </c>
      <c r="AF308" t="str">
        <f>IF(VLOOKUP(Table1[[#This Row],[/* Object]],Namespace!A:J,4,FALSE)=0,"",VLOOKUP(Table1[[#This Row],[/* Object]],Namespace!A:J,4,FALSE))</f>
        <v>X</v>
      </c>
      <c r="AG308" t="str">
        <f>IF(VLOOKUP(Table1[[#This Row],[/* Object]],Namespace!A:J,5,FALSE)=0,"",VLOOKUP(Table1[[#This Row],[/* Object]],Namespace!A:J,5,FALSE))</f>
        <v>X</v>
      </c>
      <c r="AH308" t="str">
        <f>IF(VLOOKUP(Table1[[#This Row],[/* Object]],Namespace!A:J,6,FALSE)=0,"",VLOOKUP(Table1[[#This Row],[/* Object]],Namespace!A:J,6,FALSE))</f>
        <v/>
      </c>
      <c r="AI308">
        <f>IFERROR(FIND("/",Table1[[#This Row],[Final Obj Name]],1),0)</f>
        <v>0</v>
      </c>
      <c r="AJ308">
        <f>IF(Table1[[#This Row],[Position 1]]=0,0,FIND("/",Table1[[#This Row],[Final Obj Name]],Table1[[#This Row],[Position 1]]+1))</f>
        <v>0</v>
      </c>
      <c r="AK308" t="str">
        <f>IF(LEFT(Table1[[#This Row],[Final Obj Name]],1)="/",LEFT(Table1[[#This Row],[Final Obj Name]],FIND("/",Table1[[#This Row],[Final Obj Name]],2)),"/0SAP/")</f>
        <v>/0SAP/</v>
      </c>
    </row>
    <row r="309">
      <c r="A309" t="str">
        <v>DDLS</v>
      </c>
      <c r="B309" t="str">
        <v>ZTRACK_PD_OPERAGE</v>
      </c>
      <c r="C309" t="str">
        <v>DDLS</v>
      </c>
      <c r="D309" t="str">
        <v>ZTRACK_PD_OPERAGE</v>
      </c>
      <c r="G309" t="str">
        <v>ALL</v>
      </c>
      <c r="L309" t="str">
        <v>DDIC_SPDD</v>
      </c>
      <c r="M309">
        <v>45337</v>
      </c>
      <c r="N309">
        <v>0.38037037037037</v>
      </c>
      <c r="S309" t="str">
        <v>X</v>
      </c>
      <c r="W309" t="str">
        <v>P01K900067</v>
      </c>
      <c r="Y309">
        <f>IF(Table1[[#This Row],[OPERATION]]="NOTE","NOTE",Table1[[#This Row],[SUB_TYPE]])</f>
        <v>0</v>
      </c>
      <c r="Z309">
        <f>IF(Table1[[#This Row],[OPERATION]]="NOTE",NUMBERVALUE(LEFT(Table1[[#This Row],[MOD_NAME]],LEN(Table1[[#This Row],[MOD_NAME]])-4)),Table1[[#This Row],[SUB_NAME]])</f>
        <v>0</v>
      </c>
      <c r="AA309" t="str">
        <f>CONCAT(Table1[[#This Row],[Final Obj Type]],"|",Table1[[#This Row],[Final Obj Name]])</f>
        <v>0|0</v>
      </c>
      <c r="AB309" t="e">
        <f>VLOOKUP(Table1[[#This Row],[Final Obj Type]],Classification!B:E,3,FALSE)</f>
        <v>#N/A</v>
      </c>
      <c r="AC309" t="e">
        <f>VLOOKUP(Table1[[#This Row],[Final Obj Type]],Classification!B:E,4,FALSE)</f>
        <v>#N/A</v>
      </c>
      <c r="AD309" t="str">
        <f>IF(Table1[[#This Row],[Position 1]]=0,"/0SAP/",MID(Table1[[#This Row],[Final Obj Name]],Table1[[#This Row],[Position 1]],Table1[[#This Row],[Position 2]]-Table1[[#This Row],[Position 1]]+1))</f>
        <v>/0SAP/</v>
      </c>
      <c r="AE309" t="str">
        <f>VLOOKUP(Table1[[#This Row],[/* Object]],Namespace!A:J,10,FALSE)</f>
        <v>SAP AG</v>
      </c>
      <c r="AF309" t="str">
        <f>IF(VLOOKUP(Table1[[#This Row],[/* Object]],Namespace!A:J,4,FALSE)=0,"",VLOOKUP(Table1[[#This Row],[/* Object]],Namespace!A:J,4,FALSE))</f>
        <v>X</v>
      </c>
      <c r="AG309" t="str">
        <f>IF(VLOOKUP(Table1[[#This Row],[/* Object]],Namespace!A:J,5,FALSE)=0,"",VLOOKUP(Table1[[#This Row],[/* Object]],Namespace!A:J,5,FALSE))</f>
        <v>X</v>
      </c>
      <c r="AH309" t="str">
        <f>IF(VLOOKUP(Table1[[#This Row],[/* Object]],Namespace!A:J,6,FALSE)=0,"",VLOOKUP(Table1[[#This Row],[/* Object]],Namespace!A:J,6,FALSE))</f>
        <v/>
      </c>
      <c r="AI309">
        <f>IFERROR(FIND("/",Table1[[#This Row],[Final Obj Name]],1),0)</f>
        <v>0</v>
      </c>
      <c r="AJ309">
        <f>IF(Table1[[#This Row],[Position 1]]=0,0,FIND("/",Table1[[#This Row],[Final Obj Name]],Table1[[#This Row],[Position 1]]+1))</f>
        <v>0</v>
      </c>
      <c r="AK309" t="str">
        <f>IF(LEFT(Table1[[#This Row],[Final Obj Name]],1)="/",LEFT(Table1[[#This Row],[Final Obj Name]],FIND("/",Table1[[#This Row],[Final Obj Name]],2)),"/0SAP/")</f>
        <v>/0SAP/</v>
      </c>
    </row>
    <row r="310">
      <c r="A310" t="str">
        <v>DDLS</v>
      </c>
      <c r="B310" t="str">
        <v>ZTRACK_PD_OPERAGE2</v>
      </c>
      <c r="C310" t="str">
        <v>DDLS</v>
      </c>
      <c r="D310" t="str">
        <v>ZTRACK_PD_OPERAGE2</v>
      </c>
      <c r="G310" t="str">
        <v>ALL</v>
      </c>
      <c r="L310" t="str">
        <v>DDIC_SPDD</v>
      </c>
      <c r="M310">
        <v>45337</v>
      </c>
      <c r="N310">
        <v>0.3815625</v>
      </c>
      <c r="S310" t="str">
        <v>X</v>
      </c>
      <c r="W310" t="str">
        <v>P01K900067</v>
      </c>
      <c r="Y310">
        <f>IF(Table1[[#This Row],[OPERATION]]="NOTE","NOTE",Table1[[#This Row],[SUB_TYPE]])</f>
        <v>0</v>
      </c>
      <c r="Z310">
        <f>IF(Table1[[#This Row],[OPERATION]]="NOTE",NUMBERVALUE(LEFT(Table1[[#This Row],[MOD_NAME]],LEN(Table1[[#This Row],[MOD_NAME]])-4)),Table1[[#This Row],[SUB_NAME]])</f>
        <v>0</v>
      </c>
      <c r="AA310" t="str">
        <f>CONCAT(Table1[[#This Row],[Final Obj Type]],"|",Table1[[#This Row],[Final Obj Name]])</f>
        <v>0|0</v>
      </c>
      <c r="AB310" t="e">
        <f>VLOOKUP(Table1[[#This Row],[Final Obj Type]],Classification!B:E,3,FALSE)</f>
        <v>#N/A</v>
      </c>
      <c r="AC310" t="e">
        <f>VLOOKUP(Table1[[#This Row],[Final Obj Type]],Classification!B:E,4,FALSE)</f>
        <v>#N/A</v>
      </c>
      <c r="AD310" t="str">
        <f>IF(Table1[[#This Row],[Position 1]]=0,"/0SAP/",MID(Table1[[#This Row],[Final Obj Name]],Table1[[#This Row],[Position 1]],Table1[[#This Row],[Position 2]]-Table1[[#This Row],[Position 1]]+1))</f>
        <v>/0SAP/</v>
      </c>
      <c r="AE310" t="str">
        <f>VLOOKUP(Table1[[#This Row],[/* Object]],Namespace!A:J,10,FALSE)</f>
        <v>SAP AG</v>
      </c>
      <c r="AF310" t="str">
        <f>IF(VLOOKUP(Table1[[#This Row],[/* Object]],Namespace!A:J,4,FALSE)=0,"",VLOOKUP(Table1[[#This Row],[/* Object]],Namespace!A:J,4,FALSE))</f>
        <v>X</v>
      </c>
      <c r="AG310" t="str">
        <f>IF(VLOOKUP(Table1[[#This Row],[/* Object]],Namespace!A:J,5,FALSE)=0,"",VLOOKUP(Table1[[#This Row],[/* Object]],Namespace!A:J,5,FALSE))</f>
        <v>X</v>
      </c>
      <c r="AH310" t="str">
        <f>IF(VLOOKUP(Table1[[#This Row],[/* Object]],Namespace!A:J,6,FALSE)=0,"",VLOOKUP(Table1[[#This Row],[/* Object]],Namespace!A:J,6,FALSE))</f>
        <v/>
      </c>
      <c r="AI310">
        <f>IFERROR(FIND("/",Table1[[#This Row],[Final Obj Name]],1),0)</f>
        <v>0</v>
      </c>
      <c r="AJ310">
        <f>IF(Table1[[#This Row],[Position 1]]=0,0,FIND("/",Table1[[#This Row],[Final Obj Name]],Table1[[#This Row],[Position 1]]+1))</f>
        <v>0</v>
      </c>
      <c r="AK310" t="str">
        <f>IF(LEFT(Table1[[#This Row],[Final Obj Name]],1)="/",LEFT(Table1[[#This Row],[Final Obj Name]],FIND("/",Table1[[#This Row],[Final Obj Name]],2)),"/0SAP/")</f>
        <v>/0SAP/</v>
      </c>
    </row>
    <row r="311">
      <c r="A311" t="str">
        <v>DDLS</v>
      </c>
      <c r="B311" t="str">
        <v>ZTRACK_PD_OPERAGE4</v>
      </c>
      <c r="C311" t="str">
        <v>DDLS</v>
      </c>
      <c r="D311" t="str">
        <v>ZTRACK_PD_OPERAGE4</v>
      </c>
      <c r="G311" t="str">
        <v>ALL</v>
      </c>
      <c r="L311" t="str">
        <v>DDIC_SPDD</v>
      </c>
      <c r="M311">
        <v>45337</v>
      </c>
      <c r="N311">
        <v>0.3821875</v>
      </c>
      <c r="S311" t="str">
        <v>X</v>
      </c>
      <c r="W311" t="str">
        <v>P01K900067</v>
      </c>
      <c r="Y311">
        <f>IF(Table1[[#This Row],[OPERATION]]="NOTE","NOTE",Table1[[#This Row],[SUB_TYPE]])</f>
        <v>0</v>
      </c>
      <c r="Z311">
        <f>IF(Table1[[#This Row],[OPERATION]]="NOTE",NUMBERVALUE(LEFT(Table1[[#This Row],[MOD_NAME]],LEN(Table1[[#This Row],[MOD_NAME]])-4)),Table1[[#This Row],[SUB_NAME]])</f>
        <v>0</v>
      </c>
      <c r="AA311" t="str">
        <f>CONCAT(Table1[[#This Row],[Final Obj Type]],"|",Table1[[#This Row],[Final Obj Name]])</f>
        <v>0|0</v>
      </c>
      <c r="AB311" t="e">
        <f>VLOOKUP(Table1[[#This Row],[Final Obj Type]],Classification!B:E,3,FALSE)</f>
        <v>#N/A</v>
      </c>
      <c r="AC311" t="e">
        <f>VLOOKUP(Table1[[#This Row],[Final Obj Type]],Classification!B:E,4,FALSE)</f>
        <v>#N/A</v>
      </c>
      <c r="AD311" t="str">
        <f>IF(Table1[[#This Row],[Position 1]]=0,"/0SAP/",MID(Table1[[#This Row],[Final Obj Name]],Table1[[#This Row],[Position 1]],Table1[[#This Row],[Position 2]]-Table1[[#This Row],[Position 1]]+1))</f>
        <v>/0SAP/</v>
      </c>
      <c r="AE311" t="str">
        <f>VLOOKUP(Table1[[#This Row],[/* Object]],Namespace!A:J,10,FALSE)</f>
        <v>SAP AG</v>
      </c>
      <c r="AF311" t="str">
        <f>IF(VLOOKUP(Table1[[#This Row],[/* Object]],Namespace!A:J,4,FALSE)=0,"",VLOOKUP(Table1[[#This Row],[/* Object]],Namespace!A:J,4,FALSE))</f>
        <v>X</v>
      </c>
      <c r="AG311" t="str">
        <f>IF(VLOOKUP(Table1[[#This Row],[/* Object]],Namespace!A:J,5,FALSE)=0,"",VLOOKUP(Table1[[#This Row],[/* Object]],Namespace!A:J,5,FALSE))</f>
        <v>X</v>
      </c>
      <c r="AH311" t="str">
        <f>IF(VLOOKUP(Table1[[#This Row],[/* Object]],Namespace!A:J,6,FALSE)=0,"",VLOOKUP(Table1[[#This Row],[/* Object]],Namespace!A:J,6,FALSE))</f>
        <v/>
      </c>
      <c r="AI311">
        <f>IFERROR(FIND("/",Table1[[#This Row],[Final Obj Name]],1),0)</f>
        <v>0</v>
      </c>
      <c r="AJ311">
        <f>IF(Table1[[#This Row],[Position 1]]=0,0,FIND("/",Table1[[#This Row],[Final Obj Name]],Table1[[#This Row],[Position 1]]+1))</f>
        <v>0</v>
      </c>
      <c r="AK311" t="str">
        <f>IF(LEFT(Table1[[#This Row],[Final Obj Name]],1)="/",LEFT(Table1[[#This Row],[Final Obj Name]],FIND("/",Table1[[#This Row],[Final Obj Name]],2)),"/0SAP/")</f>
        <v>/0SAP/</v>
      </c>
    </row>
    <row r="312">
      <c r="A312" t="str">
        <v>DDLS</v>
      </c>
      <c r="B312" t="str">
        <v>ZTRACK_PD_OPERAGE5</v>
      </c>
      <c r="C312" t="str">
        <v>DDLS</v>
      </c>
      <c r="D312" t="str">
        <v>ZTRACK_PD_OPERAGE5</v>
      </c>
      <c r="G312" t="str">
        <v>ALL</v>
      </c>
      <c r="L312" t="str">
        <v>DDIC_SPDD</v>
      </c>
      <c r="M312">
        <v>45337</v>
      </c>
      <c r="N312">
        <v>0.38358796296296</v>
      </c>
      <c r="S312" t="str">
        <v>X</v>
      </c>
      <c r="W312" t="str">
        <v>P01K900067</v>
      </c>
      <c r="Y312">
        <f>IF(Table1[[#This Row],[OPERATION]]="NOTE","NOTE",Table1[[#This Row],[SUB_TYPE]])</f>
        <v>0</v>
      </c>
      <c r="Z312">
        <f>IF(Table1[[#This Row],[OPERATION]]="NOTE",NUMBERVALUE(LEFT(Table1[[#This Row],[MOD_NAME]],LEN(Table1[[#This Row],[MOD_NAME]])-4)),Table1[[#This Row],[SUB_NAME]])</f>
        <v>0</v>
      </c>
      <c r="AA312" t="str">
        <f>CONCAT(Table1[[#This Row],[Final Obj Type]],"|",Table1[[#This Row],[Final Obj Name]])</f>
        <v>0|0</v>
      </c>
      <c r="AB312" t="e">
        <f>VLOOKUP(Table1[[#This Row],[Final Obj Type]],Classification!B:E,3,FALSE)</f>
        <v>#N/A</v>
      </c>
      <c r="AC312" t="e">
        <f>VLOOKUP(Table1[[#This Row],[Final Obj Type]],Classification!B:E,4,FALSE)</f>
        <v>#N/A</v>
      </c>
      <c r="AD312" t="str">
        <f>IF(Table1[[#This Row],[Position 1]]=0,"/0SAP/",MID(Table1[[#This Row],[Final Obj Name]],Table1[[#This Row],[Position 1]],Table1[[#This Row],[Position 2]]-Table1[[#This Row],[Position 1]]+1))</f>
        <v>/0SAP/</v>
      </c>
      <c r="AE312" t="str">
        <f>VLOOKUP(Table1[[#This Row],[/* Object]],Namespace!A:J,10,FALSE)</f>
        <v>SAP AG</v>
      </c>
      <c r="AF312" t="str">
        <f>IF(VLOOKUP(Table1[[#This Row],[/* Object]],Namespace!A:J,4,FALSE)=0,"",VLOOKUP(Table1[[#This Row],[/* Object]],Namespace!A:J,4,FALSE))</f>
        <v>X</v>
      </c>
      <c r="AG312" t="str">
        <f>IF(VLOOKUP(Table1[[#This Row],[/* Object]],Namespace!A:J,5,FALSE)=0,"",VLOOKUP(Table1[[#This Row],[/* Object]],Namespace!A:J,5,FALSE))</f>
        <v>X</v>
      </c>
      <c r="AH312" t="str">
        <f>IF(VLOOKUP(Table1[[#This Row],[/* Object]],Namespace!A:J,6,FALSE)=0,"",VLOOKUP(Table1[[#This Row],[/* Object]],Namespace!A:J,6,FALSE))</f>
        <v/>
      </c>
      <c r="AI312">
        <f>IFERROR(FIND("/",Table1[[#This Row],[Final Obj Name]],1),0)</f>
        <v>0</v>
      </c>
      <c r="AJ312">
        <f>IF(Table1[[#This Row],[Position 1]]=0,0,FIND("/",Table1[[#This Row],[Final Obj Name]],Table1[[#This Row],[Position 1]]+1))</f>
        <v>0</v>
      </c>
      <c r="AK312" t="str">
        <f>IF(LEFT(Table1[[#This Row],[Final Obj Name]],1)="/",LEFT(Table1[[#This Row],[Final Obj Name]],FIND("/",Table1[[#This Row],[Final Obj Name]],2)),"/0SAP/")</f>
        <v>/0SAP/</v>
      </c>
    </row>
    <row r="313">
      <c r="A313" t="str">
        <v>DDLS</v>
      </c>
      <c r="B313" t="str">
        <v>ZTRACK_PD_OPERAGE6</v>
      </c>
      <c r="C313" t="str">
        <v>DDLS</v>
      </c>
      <c r="D313" t="str">
        <v>ZTRACK_PD_OPERAGE6</v>
      </c>
      <c r="G313" t="str">
        <v>ALL</v>
      </c>
      <c r="L313" t="str">
        <v>DDIC_SPDD</v>
      </c>
      <c r="M313">
        <v>45337</v>
      </c>
      <c r="N313">
        <v>0.38456018518519</v>
      </c>
      <c r="S313" t="str">
        <v>X</v>
      </c>
      <c r="W313" t="str">
        <v>P01K900067</v>
      </c>
      <c r="Y313">
        <f>IF(Table1[[#This Row],[OPERATION]]="NOTE","NOTE",Table1[[#This Row],[SUB_TYPE]])</f>
        <v>0</v>
      </c>
      <c r="Z313">
        <f>IF(Table1[[#This Row],[OPERATION]]="NOTE",NUMBERVALUE(LEFT(Table1[[#This Row],[MOD_NAME]],LEN(Table1[[#This Row],[MOD_NAME]])-4)),Table1[[#This Row],[SUB_NAME]])</f>
        <v>0</v>
      </c>
      <c r="AA313" t="str">
        <f>CONCAT(Table1[[#This Row],[Final Obj Type]],"|",Table1[[#This Row],[Final Obj Name]])</f>
        <v>0|0</v>
      </c>
      <c r="AB313" t="e">
        <f>VLOOKUP(Table1[[#This Row],[Final Obj Type]],Classification!B:E,3,FALSE)</f>
        <v>#N/A</v>
      </c>
      <c r="AC313" t="e">
        <f>VLOOKUP(Table1[[#This Row],[Final Obj Type]],Classification!B:E,4,FALSE)</f>
        <v>#N/A</v>
      </c>
      <c r="AD313" t="str">
        <f>IF(Table1[[#This Row],[Position 1]]=0,"/0SAP/",MID(Table1[[#This Row],[Final Obj Name]],Table1[[#This Row],[Position 1]],Table1[[#This Row],[Position 2]]-Table1[[#This Row],[Position 1]]+1))</f>
        <v>/0SAP/</v>
      </c>
      <c r="AE313" t="str">
        <f>VLOOKUP(Table1[[#This Row],[/* Object]],Namespace!A:J,10,FALSE)</f>
        <v>SAP AG</v>
      </c>
      <c r="AF313" t="str">
        <f>IF(VLOOKUP(Table1[[#This Row],[/* Object]],Namespace!A:J,4,FALSE)=0,"",VLOOKUP(Table1[[#This Row],[/* Object]],Namespace!A:J,4,FALSE))</f>
        <v>X</v>
      </c>
      <c r="AG313" t="str">
        <f>IF(VLOOKUP(Table1[[#This Row],[/* Object]],Namespace!A:J,5,FALSE)=0,"",VLOOKUP(Table1[[#This Row],[/* Object]],Namespace!A:J,5,FALSE))</f>
        <v>X</v>
      </c>
      <c r="AH313" t="str">
        <f>IF(VLOOKUP(Table1[[#This Row],[/* Object]],Namespace!A:J,6,FALSE)=0,"",VLOOKUP(Table1[[#This Row],[/* Object]],Namespace!A:J,6,FALSE))</f>
        <v/>
      </c>
      <c r="AI313">
        <f>IFERROR(FIND("/",Table1[[#This Row],[Final Obj Name]],1),0)</f>
        <v>0</v>
      </c>
      <c r="AJ313">
        <f>IF(Table1[[#This Row],[Position 1]]=0,0,FIND("/",Table1[[#This Row],[Final Obj Name]],Table1[[#This Row],[Position 1]]+1))</f>
        <v>0</v>
      </c>
      <c r="AK313" t="str">
        <f>IF(LEFT(Table1[[#This Row],[Final Obj Name]],1)="/",LEFT(Table1[[#This Row],[Final Obj Name]],FIND("/",Table1[[#This Row],[Final Obj Name]],2)),"/0SAP/")</f>
        <v>/0SAP/</v>
      </c>
    </row>
    <row r="314">
      <c r="A314" t="str">
        <v>DDLS</v>
      </c>
      <c r="B314" t="str">
        <v>ZTRACK_PD_OPOVERDUE</v>
      </c>
      <c r="C314" t="str">
        <v>DDLS</v>
      </c>
      <c r="D314" t="str">
        <v>ZTRACK_PD_OPOVERDUE</v>
      </c>
      <c r="G314" t="str">
        <v>ALL</v>
      </c>
      <c r="L314" t="str">
        <v>DDIC_SPDD</v>
      </c>
      <c r="M314">
        <v>45337</v>
      </c>
      <c r="N314">
        <v>0.38611111111111</v>
      </c>
      <c r="S314" t="str">
        <v>X</v>
      </c>
      <c r="W314" t="str">
        <v>P01K900067</v>
      </c>
      <c r="Y314">
        <f>IF(Table1[[#This Row],[OPERATION]]="NOTE","NOTE",Table1[[#This Row],[SUB_TYPE]])</f>
        <v>0</v>
      </c>
      <c r="Z314">
        <f>IF(Table1[[#This Row],[OPERATION]]="NOTE",NUMBERVALUE(LEFT(Table1[[#This Row],[MOD_NAME]],LEN(Table1[[#This Row],[MOD_NAME]])-4)),Table1[[#This Row],[SUB_NAME]])</f>
        <v>0</v>
      </c>
      <c r="AA314" t="str">
        <f>CONCAT(Table1[[#This Row],[Final Obj Type]],"|",Table1[[#This Row],[Final Obj Name]])</f>
        <v>0|0</v>
      </c>
      <c r="AB314" t="e">
        <f>VLOOKUP(Table1[[#This Row],[Final Obj Type]],Classification!B:E,3,FALSE)</f>
        <v>#N/A</v>
      </c>
      <c r="AC314" t="e">
        <f>VLOOKUP(Table1[[#This Row],[Final Obj Type]],Classification!B:E,4,FALSE)</f>
        <v>#N/A</v>
      </c>
      <c r="AD314" t="str">
        <f>IF(Table1[[#This Row],[Position 1]]=0,"/0SAP/",MID(Table1[[#This Row],[Final Obj Name]],Table1[[#This Row],[Position 1]],Table1[[#This Row],[Position 2]]-Table1[[#This Row],[Position 1]]+1))</f>
        <v>/0SAP/</v>
      </c>
      <c r="AE314" t="str">
        <f>VLOOKUP(Table1[[#This Row],[/* Object]],Namespace!A:J,10,FALSE)</f>
        <v>SAP AG</v>
      </c>
      <c r="AF314" t="str">
        <f>IF(VLOOKUP(Table1[[#This Row],[/* Object]],Namespace!A:J,4,FALSE)=0,"",VLOOKUP(Table1[[#This Row],[/* Object]],Namespace!A:J,4,FALSE))</f>
        <v>X</v>
      </c>
      <c r="AG314" t="str">
        <f>IF(VLOOKUP(Table1[[#This Row],[/* Object]],Namespace!A:J,5,FALSE)=0,"",VLOOKUP(Table1[[#This Row],[/* Object]],Namespace!A:J,5,FALSE))</f>
        <v>X</v>
      </c>
      <c r="AH314" t="str">
        <f>IF(VLOOKUP(Table1[[#This Row],[/* Object]],Namespace!A:J,6,FALSE)=0,"",VLOOKUP(Table1[[#This Row],[/* Object]],Namespace!A:J,6,FALSE))</f>
        <v/>
      </c>
      <c r="AI314">
        <f>IFERROR(FIND("/",Table1[[#This Row],[Final Obj Name]],1),0)</f>
        <v>0</v>
      </c>
      <c r="AJ314">
        <f>IF(Table1[[#This Row],[Position 1]]=0,0,FIND("/",Table1[[#This Row],[Final Obj Name]],Table1[[#This Row],[Position 1]]+1))</f>
        <v>0</v>
      </c>
      <c r="AK314" t="str">
        <f>IF(LEFT(Table1[[#This Row],[Final Obj Name]],1)="/",LEFT(Table1[[#This Row],[Final Obj Name]],FIND("/",Table1[[#This Row],[Final Obj Name]],2)),"/0SAP/")</f>
        <v>/0SAP/</v>
      </c>
    </row>
    <row r="315">
      <c r="A315" t="str">
        <v>DDLS</v>
      </c>
      <c r="B315" t="str">
        <v>ZTRACK_PD_OPOVERDUE2</v>
      </c>
      <c r="C315" t="str">
        <v>DDLS</v>
      </c>
      <c r="D315" t="str">
        <v>ZTRACK_PD_OPOVERDUE2</v>
      </c>
      <c r="G315" t="str">
        <v>ALL</v>
      </c>
      <c r="L315" t="str">
        <v>DDIC_SPDD</v>
      </c>
      <c r="M315">
        <v>45337</v>
      </c>
      <c r="N315">
        <v>0.38659722222222</v>
      </c>
      <c r="S315" t="str">
        <v>X</v>
      </c>
      <c r="W315" t="str">
        <v>P01K900067</v>
      </c>
      <c r="Y315">
        <f>IF(Table1[[#This Row],[OPERATION]]="NOTE","NOTE",Table1[[#This Row],[SUB_TYPE]])</f>
        <v>0</v>
      </c>
      <c r="Z315">
        <f>IF(Table1[[#This Row],[OPERATION]]="NOTE",NUMBERVALUE(LEFT(Table1[[#This Row],[MOD_NAME]],LEN(Table1[[#This Row],[MOD_NAME]])-4)),Table1[[#This Row],[SUB_NAME]])</f>
        <v>0</v>
      </c>
      <c r="AA315" t="str">
        <f>CONCAT(Table1[[#This Row],[Final Obj Type]],"|",Table1[[#This Row],[Final Obj Name]])</f>
        <v>0|0</v>
      </c>
      <c r="AB315" t="e">
        <f>VLOOKUP(Table1[[#This Row],[Final Obj Type]],Classification!B:E,3,FALSE)</f>
        <v>#N/A</v>
      </c>
      <c r="AC315" t="e">
        <f>VLOOKUP(Table1[[#This Row],[Final Obj Type]],Classification!B:E,4,FALSE)</f>
        <v>#N/A</v>
      </c>
      <c r="AD315" t="str">
        <f>IF(Table1[[#This Row],[Position 1]]=0,"/0SAP/",MID(Table1[[#This Row],[Final Obj Name]],Table1[[#This Row],[Position 1]],Table1[[#This Row],[Position 2]]-Table1[[#This Row],[Position 1]]+1))</f>
        <v>/0SAP/</v>
      </c>
      <c r="AE315" t="str">
        <f>VLOOKUP(Table1[[#This Row],[/* Object]],Namespace!A:J,10,FALSE)</f>
        <v>SAP AG</v>
      </c>
      <c r="AF315" t="str">
        <f>IF(VLOOKUP(Table1[[#This Row],[/* Object]],Namespace!A:J,4,FALSE)=0,"",VLOOKUP(Table1[[#This Row],[/* Object]],Namespace!A:J,4,FALSE))</f>
        <v>X</v>
      </c>
      <c r="AG315" t="str">
        <f>IF(VLOOKUP(Table1[[#This Row],[/* Object]],Namespace!A:J,5,FALSE)=0,"",VLOOKUP(Table1[[#This Row],[/* Object]],Namespace!A:J,5,FALSE))</f>
        <v>X</v>
      </c>
      <c r="AH315" t="str">
        <f>IF(VLOOKUP(Table1[[#This Row],[/* Object]],Namespace!A:J,6,FALSE)=0,"",VLOOKUP(Table1[[#This Row],[/* Object]],Namespace!A:J,6,FALSE))</f>
        <v/>
      </c>
      <c r="AI315">
        <f>IFERROR(FIND("/",Table1[[#This Row],[Final Obj Name]],1),0)</f>
        <v>0</v>
      </c>
      <c r="AJ315">
        <f>IF(Table1[[#This Row],[Position 1]]=0,0,FIND("/",Table1[[#This Row],[Final Obj Name]],Table1[[#This Row],[Position 1]]+1))</f>
        <v>0</v>
      </c>
      <c r="AK315" t="str">
        <f>IF(LEFT(Table1[[#This Row],[Final Obj Name]],1)="/",LEFT(Table1[[#This Row],[Final Obj Name]],FIND("/",Table1[[#This Row],[Final Obj Name]],2)),"/0SAP/")</f>
        <v>/0SAP/</v>
      </c>
    </row>
    <row r="316">
      <c r="A316" t="str">
        <v>DDLS</v>
      </c>
      <c r="B316" t="str">
        <v>ZTRACK_PD_OPOVERDUE2_1</v>
      </c>
      <c r="C316" t="str">
        <v>DDLS</v>
      </c>
      <c r="D316" t="str">
        <v>ZTRACK_PD_OPOVERDUE2_1</v>
      </c>
      <c r="G316" t="str">
        <v>ALL</v>
      </c>
      <c r="L316" t="str">
        <v>DDIC_SPDD</v>
      </c>
      <c r="M316">
        <v>45337</v>
      </c>
      <c r="N316">
        <v>0.38827546296296</v>
      </c>
      <c r="S316" t="str">
        <v>X</v>
      </c>
      <c r="W316" t="str">
        <v>P01K900067</v>
      </c>
      <c r="Y316">
        <f>IF(Table1[[#This Row],[OPERATION]]="NOTE","NOTE",Table1[[#This Row],[SUB_TYPE]])</f>
        <v>0</v>
      </c>
      <c r="Z316">
        <f>IF(Table1[[#This Row],[OPERATION]]="NOTE",NUMBERVALUE(LEFT(Table1[[#This Row],[MOD_NAME]],LEN(Table1[[#This Row],[MOD_NAME]])-4)),Table1[[#This Row],[SUB_NAME]])</f>
        <v>0</v>
      </c>
      <c r="AA316" t="str">
        <f>CONCAT(Table1[[#This Row],[Final Obj Type]],"|",Table1[[#This Row],[Final Obj Name]])</f>
        <v>0|0</v>
      </c>
      <c r="AB316" t="e">
        <f>VLOOKUP(Table1[[#This Row],[Final Obj Type]],Classification!B:E,3,FALSE)</f>
        <v>#N/A</v>
      </c>
      <c r="AC316" t="e">
        <f>VLOOKUP(Table1[[#This Row],[Final Obj Type]],Classification!B:E,4,FALSE)</f>
        <v>#N/A</v>
      </c>
      <c r="AD316" t="str">
        <f>IF(Table1[[#This Row],[Position 1]]=0,"/0SAP/",MID(Table1[[#This Row],[Final Obj Name]],Table1[[#This Row],[Position 1]],Table1[[#This Row],[Position 2]]-Table1[[#This Row],[Position 1]]+1))</f>
        <v>/0SAP/</v>
      </c>
      <c r="AE316" t="str">
        <f>VLOOKUP(Table1[[#This Row],[/* Object]],Namespace!A:J,10,FALSE)</f>
        <v>SAP AG</v>
      </c>
      <c r="AF316" t="str">
        <f>IF(VLOOKUP(Table1[[#This Row],[/* Object]],Namespace!A:J,4,FALSE)=0,"",VLOOKUP(Table1[[#This Row],[/* Object]],Namespace!A:J,4,FALSE))</f>
        <v>X</v>
      </c>
      <c r="AG316" t="str">
        <f>IF(VLOOKUP(Table1[[#This Row],[/* Object]],Namespace!A:J,5,FALSE)=0,"",VLOOKUP(Table1[[#This Row],[/* Object]],Namespace!A:J,5,FALSE))</f>
        <v>X</v>
      </c>
      <c r="AH316" t="str">
        <f>IF(VLOOKUP(Table1[[#This Row],[/* Object]],Namespace!A:J,6,FALSE)=0,"",VLOOKUP(Table1[[#This Row],[/* Object]],Namespace!A:J,6,FALSE))</f>
        <v/>
      </c>
      <c r="AI316">
        <f>IFERROR(FIND("/",Table1[[#This Row],[Final Obj Name]],1),0)</f>
        <v>0</v>
      </c>
      <c r="AJ316">
        <f>IF(Table1[[#This Row],[Position 1]]=0,0,FIND("/",Table1[[#This Row],[Final Obj Name]],Table1[[#This Row],[Position 1]]+1))</f>
        <v>0</v>
      </c>
      <c r="AK316" t="str">
        <f>IF(LEFT(Table1[[#This Row],[Final Obj Name]],1)="/",LEFT(Table1[[#This Row],[Final Obj Name]],FIND("/",Table1[[#This Row],[Final Obj Name]],2)),"/0SAP/")</f>
        <v>/0SAP/</v>
      </c>
    </row>
    <row r="317">
      <c r="A317" t="str">
        <v>DDLS</v>
      </c>
      <c r="B317" t="str">
        <v>ZTRACK_PROD_EXT</v>
      </c>
      <c r="C317" t="str">
        <v>DDLS</v>
      </c>
      <c r="D317" t="str">
        <v>ZTRACK_PROD_EXT</v>
      </c>
      <c r="G317" t="str">
        <v>ALL</v>
      </c>
      <c r="L317" t="str">
        <v>DDIC_SPDD</v>
      </c>
      <c r="M317">
        <v>45337</v>
      </c>
      <c r="N317">
        <v>0.38907407407407</v>
      </c>
      <c r="S317" t="str">
        <v>X</v>
      </c>
      <c r="W317" t="str">
        <v>P01K900067</v>
      </c>
      <c r="Y317">
        <f>IF(Table1[[#This Row],[OPERATION]]="NOTE","NOTE",Table1[[#This Row],[SUB_TYPE]])</f>
        <v>0</v>
      </c>
      <c r="Z317">
        <f>IF(Table1[[#This Row],[OPERATION]]="NOTE",NUMBERVALUE(LEFT(Table1[[#This Row],[MOD_NAME]],LEN(Table1[[#This Row],[MOD_NAME]])-4)),Table1[[#This Row],[SUB_NAME]])</f>
        <v>0</v>
      </c>
      <c r="AA317" t="str">
        <f>CONCAT(Table1[[#This Row],[Final Obj Type]],"|",Table1[[#This Row],[Final Obj Name]])</f>
        <v>0|0</v>
      </c>
      <c r="AB317" t="e">
        <f>VLOOKUP(Table1[[#This Row],[Final Obj Type]],Classification!B:E,3,FALSE)</f>
        <v>#N/A</v>
      </c>
      <c r="AC317" t="e">
        <f>VLOOKUP(Table1[[#This Row],[Final Obj Type]],Classification!B:E,4,FALSE)</f>
        <v>#N/A</v>
      </c>
      <c r="AD317" t="str">
        <f>IF(Table1[[#This Row],[Position 1]]=0,"/0SAP/",MID(Table1[[#This Row],[Final Obj Name]],Table1[[#This Row],[Position 1]],Table1[[#This Row],[Position 2]]-Table1[[#This Row],[Position 1]]+1))</f>
        <v>/0SAP/</v>
      </c>
      <c r="AE317" t="str">
        <f>VLOOKUP(Table1[[#This Row],[/* Object]],Namespace!A:J,10,FALSE)</f>
        <v>SAP AG</v>
      </c>
      <c r="AF317" t="str">
        <f>IF(VLOOKUP(Table1[[#This Row],[/* Object]],Namespace!A:J,4,FALSE)=0,"",VLOOKUP(Table1[[#This Row],[/* Object]],Namespace!A:J,4,FALSE))</f>
        <v>X</v>
      </c>
      <c r="AG317" t="str">
        <f>IF(VLOOKUP(Table1[[#This Row],[/* Object]],Namespace!A:J,5,FALSE)=0,"",VLOOKUP(Table1[[#This Row],[/* Object]],Namespace!A:J,5,FALSE))</f>
        <v>X</v>
      </c>
      <c r="AH317" t="str">
        <f>IF(VLOOKUP(Table1[[#This Row],[/* Object]],Namespace!A:J,6,FALSE)=0,"",VLOOKUP(Table1[[#This Row],[/* Object]],Namespace!A:J,6,FALSE))</f>
        <v/>
      </c>
      <c r="AI317">
        <f>IFERROR(FIND("/",Table1[[#This Row],[Final Obj Name]],1),0)</f>
        <v>0</v>
      </c>
      <c r="AJ317">
        <f>IF(Table1[[#This Row],[Position 1]]=0,0,FIND("/",Table1[[#This Row],[Final Obj Name]],Table1[[#This Row],[Position 1]]+1))</f>
        <v>0</v>
      </c>
      <c r="AK317" t="str">
        <f>IF(LEFT(Table1[[#This Row],[Final Obj Name]],1)="/",LEFT(Table1[[#This Row],[Final Obj Name]],FIND("/",Table1[[#This Row],[Final Obj Name]],2)),"/0SAP/")</f>
        <v>/0SAP/</v>
      </c>
    </row>
    <row r="318">
      <c r="A318" t="str">
        <v>DDLS</v>
      </c>
      <c r="B318" t="str">
        <v>ZTRACK_PROD_ORDER_GM</v>
      </c>
      <c r="C318" t="str">
        <v>DDLS</v>
      </c>
      <c r="D318" t="str">
        <v>ZTRACK_PROD_ORDER_GM</v>
      </c>
      <c r="G318" t="str">
        <v>ALL</v>
      </c>
      <c r="L318" t="str">
        <v>DDIC_SPDD</v>
      </c>
      <c r="M318">
        <v>45337</v>
      </c>
      <c r="N318">
        <v>0.41050925925926</v>
      </c>
      <c r="S318" t="str">
        <v>X</v>
      </c>
      <c r="W318" t="str">
        <v>P01K900067</v>
      </c>
      <c r="Y318">
        <f>IF(Table1[[#This Row],[OPERATION]]="NOTE","NOTE",Table1[[#This Row],[SUB_TYPE]])</f>
        <v>0</v>
      </c>
      <c r="Z318">
        <f>IF(Table1[[#This Row],[OPERATION]]="NOTE",NUMBERVALUE(LEFT(Table1[[#This Row],[MOD_NAME]],LEN(Table1[[#This Row],[MOD_NAME]])-4)),Table1[[#This Row],[SUB_NAME]])</f>
        <v>0</v>
      </c>
      <c r="AA318" t="str">
        <f>CONCAT(Table1[[#This Row],[Final Obj Type]],"|",Table1[[#This Row],[Final Obj Name]])</f>
        <v>0|0</v>
      </c>
      <c r="AB318" t="e">
        <f>VLOOKUP(Table1[[#This Row],[Final Obj Type]],Classification!B:E,3,FALSE)</f>
        <v>#N/A</v>
      </c>
      <c r="AC318" t="e">
        <f>VLOOKUP(Table1[[#This Row],[Final Obj Type]],Classification!B:E,4,FALSE)</f>
        <v>#N/A</v>
      </c>
      <c r="AD318" t="str">
        <f>IF(Table1[[#This Row],[Position 1]]=0,"/0SAP/",MID(Table1[[#This Row],[Final Obj Name]],Table1[[#This Row],[Position 1]],Table1[[#This Row],[Position 2]]-Table1[[#This Row],[Position 1]]+1))</f>
        <v>/0SAP/</v>
      </c>
      <c r="AE318" t="str">
        <f>VLOOKUP(Table1[[#This Row],[/* Object]],Namespace!A:J,10,FALSE)</f>
        <v>SAP AG</v>
      </c>
      <c r="AF318" t="str">
        <f>IF(VLOOKUP(Table1[[#This Row],[/* Object]],Namespace!A:J,4,FALSE)=0,"",VLOOKUP(Table1[[#This Row],[/* Object]],Namespace!A:J,4,FALSE))</f>
        <v>X</v>
      </c>
      <c r="AG318" t="str">
        <f>IF(VLOOKUP(Table1[[#This Row],[/* Object]],Namespace!A:J,5,FALSE)=0,"",VLOOKUP(Table1[[#This Row],[/* Object]],Namespace!A:J,5,FALSE))</f>
        <v>X</v>
      </c>
      <c r="AH318" t="str">
        <f>IF(VLOOKUP(Table1[[#This Row],[/* Object]],Namespace!A:J,6,FALSE)=0,"",VLOOKUP(Table1[[#This Row],[/* Object]],Namespace!A:J,6,FALSE))</f>
        <v/>
      </c>
      <c r="AI318">
        <f>IFERROR(FIND("/",Table1[[#This Row],[Final Obj Name]],1),0)</f>
        <v>0</v>
      </c>
      <c r="AJ318">
        <f>IF(Table1[[#This Row],[Position 1]]=0,0,FIND("/",Table1[[#This Row],[Final Obj Name]],Table1[[#This Row],[Position 1]]+1))</f>
        <v>0</v>
      </c>
      <c r="AK318" t="str">
        <f>IF(LEFT(Table1[[#This Row],[Final Obj Name]],1)="/",LEFT(Table1[[#This Row],[Final Obj Name]],FIND("/",Table1[[#This Row],[Final Obj Name]],2)),"/0SAP/")</f>
        <v>/0SAP/</v>
      </c>
    </row>
    <row r="319">
      <c r="A319" t="str">
        <v>DDLS</v>
      </c>
      <c r="B319" t="str">
        <v>ZTRACK_PROD_ORD_VIEW</v>
      </c>
      <c r="C319" t="str">
        <v>DDLS</v>
      </c>
      <c r="D319" t="str">
        <v>ZTRACK_PROD_ORD_VIEW</v>
      </c>
      <c r="G319" t="str">
        <v>ALL</v>
      </c>
      <c r="L319" t="str">
        <v>DDIC_SPDD</v>
      </c>
      <c r="M319">
        <v>45337</v>
      </c>
      <c r="N319">
        <v>0.39199074074074</v>
      </c>
      <c r="S319" t="str">
        <v>X</v>
      </c>
      <c r="W319" t="str">
        <v>P01K900067</v>
      </c>
      <c r="Y319">
        <f>IF(Table1[[#This Row],[OPERATION]]="NOTE","NOTE",Table1[[#This Row],[SUB_TYPE]])</f>
        <v>0</v>
      </c>
      <c r="Z319">
        <f>IF(Table1[[#This Row],[OPERATION]]="NOTE",NUMBERVALUE(LEFT(Table1[[#This Row],[MOD_NAME]],LEN(Table1[[#This Row],[MOD_NAME]])-4)),Table1[[#This Row],[SUB_NAME]])</f>
        <v>0</v>
      </c>
      <c r="AA319" t="str">
        <f>CONCAT(Table1[[#This Row],[Final Obj Type]],"|",Table1[[#This Row],[Final Obj Name]])</f>
        <v>0|0</v>
      </c>
      <c r="AB319" t="e">
        <f>VLOOKUP(Table1[[#This Row],[Final Obj Type]],Classification!B:E,3,FALSE)</f>
        <v>#N/A</v>
      </c>
      <c r="AC319" t="e">
        <f>VLOOKUP(Table1[[#This Row],[Final Obj Type]],Classification!B:E,4,FALSE)</f>
        <v>#N/A</v>
      </c>
      <c r="AD319" t="str">
        <f>IF(Table1[[#This Row],[Position 1]]=0,"/0SAP/",MID(Table1[[#This Row],[Final Obj Name]],Table1[[#This Row],[Position 1]],Table1[[#This Row],[Position 2]]-Table1[[#This Row],[Position 1]]+1))</f>
        <v>/0SAP/</v>
      </c>
      <c r="AE319" t="str">
        <f>VLOOKUP(Table1[[#This Row],[/* Object]],Namespace!A:J,10,FALSE)</f>
        <v>SAP AG</v>
      </c>
      <c r="AF319" t="str">
        <f>IF(VLOOKUP(Table1[[#This Row],[/* Object]],Namespace!A:J,4,FALSE)=0,"",VLOOKUP(Table1[[#This Row],[/* Object]],Namespace!A:J,4,FALSE))</f>
        <v>X</v>
      </c>
      <c r="AG319" t="str">
        <f>IF(VLOOKUP(Table1[[#This Row],[/* Object]],Namespace!A:J,5,FALSE)=0,"",VLOOKUP(Table1[[#This Row],[/* Object]],Namespace!A:J,5,FALSE))</f>
        <v>X</v>
      </c>
      <c r="AH319" t="str">
        <f>IF(VLOOKUP(Table1[[#This Row],[/* Object]],Namespace!A:J,6,FALSE)=0,"",VLOOKUP(Table1[[#This Row],[/* Object]],Namespace!A:J,6,FALSE))</f>
        <v/>
      </c>
      <c r="AI319">
        <f>IFERROR(FIND("/",Table1[[#This Row],[Final Obj Name]],1),0)</f>
        <v>0</v>
      </c>
      <c r="AJ319">
        <f>IF(Table1[[#This Row],[Position 1]]=0,0,FIND("/",Table1[[#This Row],[Final Obj Name]],Table1[[#This Row],[Position 1]]+1))</f>
        <v>0</v>
      </c>
      <c r="AK319" t="str">
        <f>IF(LEFT(Table1[[#This Row],[Final Obj Name]],1)="/",LEFT(Table1[[#This Row],[Final Obj Name]],FIND("/",Table1[[#This Row],[Final Obj Name]],2)),"/0SAP/")</f>
        <v>/0SAP/</v>
      </c>
    </row>
    <row r="320">
      <c r="A320" t="str">
        <v>DDLS</v>
      </c>
      <c r="B320" t="str">
        <v>ZTRACK_SERVICE_ORDER</v>
      </c>
      <c r="C320" t="str">
        <v>DDLS</v>
      </c>
      <c r="D320" t="str">
        <v>ZTRACK_SERVICE_ORDER</v>
      </c>
      <c r="G320" t="str">
        <v>ALL</v>
      </c>
      <c r="L320">
        <v>50095444</v>
      </c>
      <c r="M320">
        <v>44196</v>
      </c>
      <c r="N320">
        <v>0.60237268518519</v>
      </c>
      <c r="S320" t="str">
        <v>X</v>
      </c>
      <c r="W320" t="str">
        <v>S01K910373</v>
      </c>
      <c r="Y320">
        <f>IF(Table1[[#This Row],[OPERATION]]="NOTE","NOTE",Table1[[#This Row],[SUB_TYPE]])</f>
        <v>0</v>
      </c>
      <c r="Z320">
        <f>IF(Table1[[#This Row],[OPERATION]]="NOTE",NUMBERVALUE(LEFT(Table1[[#This Row],[MOD_NAME]],LEN(Table1[[#This Row],[MOD_NAME]])-4)),Table1[[#This Row],[SUB_NAME]])</f>
        <v>0</v>
      </c>
      <c r="AA320" t="str">
        <f>CONCAT(Table1[[#This Row],[Final Obj Type]],"|",Table1[[#This Row],[Final Obj Name]])</f>
        <v>0|0</v>
      </c>
      <c r="AB320" t="e">
        <f>VLOOKUP(Table1[[#This Row],[Final Obj Type]],Classification!B:E,3,FALSE)</f>
        <v>#N/A</v>
      </c>
      <c r="AC320" t="e">
        <f>VLOOKUP(Table1[[#This Row],[Final Obj Type]],Classification!B:E,4,FALSE)</f>
        <v>#N/A</v>
      </c>
      <c r="AD320" t="str">
        <f>IF(Table1[[#This Row],[Position 1]]=0,"/0SAP/",MID(Table1[[#This Row],[Final Obj Name]],Table1[[#This Row],[Position 1]],Table1[[#This Row],[Position 2]]-Table1[[#This Row],[Position 1]]+1))</f>
        <v>/0SAP/</v>
      </c>
      <c r="AE320" t="str">
        <f>VLOOKUP(Table1[[#This Row],[/* Object]],Namespace!A:J,10,FALSE)</f>
        <v>SAP AG</v>
      </c>
      <c r="AF320" t="str">
        <f>IF(VLOOKUP(Table1[[#This Row],[/* Object]],Namespace!A:J,4,FALSE)=0,"",VLOOKUP(Table1[[#This Row],[/* Object]],Namespace!A:J,4,FALSE))</f>
        <v>X</v>
      </c>
      <c r="AG320" t="str">
        <f>IF(VLOOKUP(Table1[[#This Row],[/* Object]],Namespace!A:J,5,FALSE)=0,"",VLOOKUP(Table1[[#This Row],[/* Object]],Namespace!A:J,5,FALSE))</f>
        <v>X</v>
      </c>
      <c r="AH320" t="str">
        <f>IF(VLOOKUP(Table1[[#This Row],[/* Object]],Namespace!A:J,6,FALSE)=0,"",VLOOKUP(Table1[[#This Row],[/* Object]],Namespace!A:J,6,FALSE))</f>
        <v/>
      </c>
      <c r="AI320">
        <f>IFERROR(FIND("/",Table1[[#This Row],[Final Obj Name]],1),0)</f>
        <v>0</v>
      </c>
      <c r="AJ320">
        <f>IF(Table1[[#This Row],[Position 1]]=0,0,FIND("/",Table1[[#This Row],[Final Obj Name]],Table1[[#This Row],[Position 1]]+1))</f>
        <v>0</v>
      </c>
      <c r="AK320" t="str">
        <f>IF(LEFT(Table1[[#This Row],[Final Obj Name]],1)="/",LEFT(Table1[[#This Row],[Final Obj Name]],FIND("/",Table1[[#This Row],[Final Obj Name]],2)),"/0SAP/")</f>
        <v>/0SAP/</v>
      </c>
    </row>
    <row r="321">
      <c r="A321" t="str">
        <v>DDLS</v>
      </c>
      <c r="B321" t="str">
        <v>Z_CDS_WIP_REPORT_V1</v>
      </c>
      <c r="C321" t="str">
        <v>DDLS</v>
      </c>
      <c r="D321" t="str">
        <v>Z_CDS_WIP_REPORT_V1</v>
      </c>
      <c r="G321" t="str">
        <v>ALL</v>
      </c>
      <c r="L321">
        <v>50095444</v>
      </c>
      <c r="M321">
        <v>44081</v>
      </c>
      <c r="N321">
        <v>0.60584490740741</v>
      </c>
      <c r="S321" t="str">
        <v>X</v>
      </c>
      <c r="W321" t="str">
        <v>S01K909059</v>
      </c>
      <c r="Y321">
        <f>IF(Table1[[#This Row],[OPERATION]]="NOTE","NOTE",Table1[[#This Row],[SUB_TYPE]])</f>
        <v>0</v>
      </c>
      <c r="Z321">
        <f>IF(Table1[[#This Row],[OPERATION]]="NOTE",NUMBERVALUE(LEFT(Table1[[#This Row],[MOD_NAME]],LEN(Table1[[#This Row],[MOD_NAME]])-4)),Table1[[#This Row],[SUB_NAME]])</f>
        <v>0</v>
      </c>
      <c r="AA321" t="str">
        <f>CONCAT(Table1[[#This Row],[Final Obj Type]],"|",Table1[[#This Row],[Final Obj Name]])</f>
        <v>0|0</v>
      </c>
      <c r="AB321" t="e">
        <f>VLOOKUP(Table1[[#This Row],[Final Obj Type]],Classification!B:E,3,FALSE)</f>
        <v>#N/A</v>
      </c>
      <c r="AC321" t="e">
        <f>VLOOKUP(Table1[[#This Row],[Final Obj Type]],Classification!B:E,4,FALSE)</f>
        <v>#N/A</v>
      </c>
      <c r="AD321" t="str">
        <f>IF(Table1[[#This Row],[Position 1]]=0,"/0SAP/",MID(Table1[[#This Row],[Final Obj Name]],Table1[[#This Row],[Position 1]],Table1[[#This Row],[Position 2]]-Table1[[#This Row],[Position 1]]+1))</f>
        <v>/0SAP/</v>
      </c>
      <c r="AE321" t="str">
        <f>VLOOKUP(Table1[[#This Row],[/* Object]],Namespace!A:J,10,FALSE)</f>
        <v>SAP AG</v>
      </c>
      <c r="AF321" t="str">
        <f>IF(VLOOKUP(Table1[[#This Row],[/* Object]],Namespace!A:J,4,FALSE)=0,"",VLOOKUP(Table1[[#This Row],[/* Object]],Namespace!A:J,4,FALSE))</f>
        <v>X</v>
      </c>
      <c r="AG321" t="str">
        <f>IF(VLOOKUP(Table1[[#This Row],[/* Object]],Namespace!A:J,5,FALSE)=0,"",VLOOKUP(Table1[[#This Row],[/* Object]],Namespace!A:J,5,FALSE))</f>
        <v>X</v>
      </c>
      <c r="AH321" t="str">
        <f>IF(VLOOKUP(Table1[[#This Row],[/* Object]],Namespace!A:J,6,FALSE)=0,"",VLOOKUP(Table1[[#This Row],[/* Object]],Namespace!A:J,6,FALSE))</f>
        <v/>
      </c>
      <c r="AI321">
        <f>IFERROR(FIND("/",Table1[[#This Row],[Final Obj Name]],1),0)</f>
        <v>0</v>
      </c>
      <c r="AJ321">
        <f>IF(Table1[[#This Row],[Position 1]]=0,0,FIND("/",Table1[[#This Row],[Final Obj Name]],Table1[[#This Row],[Position 1]]+1))</f>
        <v>0</v>
      </c>
      <c r="AK321" t="str">
        <f>IF(LEFT(Table1[[#This Row],[Final Obj Name]],1)="/",LEFT(Table1[[#This Row],[Final Obj Name]],FIND("/",Table1[[#This Row],[Final Obj Name]],2)),"/0SAP/")</f>
        <v>/0SAP/</v>
      </c>
    </row>
    <row r="322">
      <c r="A322" t="str">
        <v>DDLS</v>
      </c>
      <c r="B322" t="str">
        <v>Z_CDS_WIP_REPORT_V2</v>
      </c>
      <c r="C322" t="str">
        <v>DDLS</v>
      </c>
      <c r="D322" t="str">
        <v>Z_CDS_WIP_REPORT_V2</v>
      </c>
      <c r="G322" t="str">
        <v>ALL</v>
      </c>
      <c r="L322">
        <v>50095444</v>
      </c>
      <c r="M322">
        <v>44081</v>
      </c>
      <c r="N322">
        <v>0.60671296296296</v>
      </c>
      <c r="S322" t="str">
        <v>X</v>
      </c>
      <c r="W322" t="str">
        <v>S01K909059</v>
      </c>
      <c r="Y322">
        <f>IF(Table1[[#This Row],[OPERATION]]="NOTE","NOTE",Table1[[#This Row],[SUB_TYPE]])</f>
        <v>0</v>
      </c>
      <c r="Z322">
        <f>IF(Table1[[#This Row],[OPERATION]]="NOTE",NUMBERVALUE(LEFT(Table1[[#This Row],[MOD_NAME]],LEN(Table1[[#This Row],[MOD_NAME]])-4)),Table1[[#This Row],[SUB_NAME]])</f>
        <v>0</v>
      </c>
      <c r="AA322" t="str">
        <f>CONCAT(Table1[[#This Row],[Final Obj Type]],"|",Table1[[#This Row],[Final Obj Name]])</f>
        <v>0|0</v>
      </c>
      <c r="AB322" t="e">
        <f>VLOOKUP(Table1[[#This Row],[Final Obj Type]],Classification!B:E,3,FALSE)</f>
        <v>#N/A</v>
      </c>
      <c r="AC322" t="e">
        <f>VLOOKUP(Table1[[#This Row],[Final Obj Type]],Classification!B:E,4,FALSE)</f>
        <v>#N/A</v>
      </c>
      <c r="AD322" t="str">
        <f>IF(Table1[[#This Row],[Position 1]]=0,"/0SAP/",MID(Table1[[#This Row],[Final Obj Name]],Table1[[#This Row],[Position 1]],Table1[[#This Row],[Position 2]]-Table1[[#This Row],[Position 1]]+1))</f>
        <v>/0SAP/</v>
      </c>
      <c r="AE322" t="str">
        <f>VLOOKUP(Table1[[#This Row],[/* Object]],Namespace!A:J,10,FALSE)</f>
        <v>SAP AG</v>
      </c>
      <c r="AF322" t="str">
        <f>IF(VLOOKUP(Table1[[#This Row],[/* Object]],Namespace!A:J,4,FALSE)=0,"",VLOOKUP(Table1[[#This Row],[/* Object]],Namespace!A:J,4,FALSE))</f>
        <v>X</v>
      </c>
      <c r="AG322" t="str">
        <f>IF(VLOOKUP(Table1[[#This Row],[/* Object]],Namespace!A:J,5,FALSE)=0,"",VLOOKUP(Table1[[#This Row],[/* Object]],Namespace!A:J,5,FALSE))</f>
        <v>X</v>
      </c>
      <c r="AH322" t="str">
        <f>IF(VLOOKUP(Table1[[#This Row],[/* Object]],Namespace!A:J,6,FALSE)=0,"",VLOOKUP(Table1[[#This Row],[/* Object]],Namespace!A:J,6,FALSE))</f>
        <v/>
      </c>
      <c r="AI322">
        <f>IFERROR(FIND("/",Table1[[#This Row],[Final Obj Name]],1),0)</f>
        <v>0</v>
      </c>
      <c r="AJ322">
        <f>IF(Table1[[#This Row],[Position 1]]=0,0,FIND("/",Table1[[#This Row],[Final Obj Name]],Table1[[#This Row],[Position 1]]+1))</f>
        <v>0</v>
      </c>
      <c r="AK322" t="str">
        <f>IF(LEFT(Table1[[#This Row],[Final Obj Name]],1)="/",LEFT(Table1[[#This Row],[Final Obj Name]],FIND("/",Table1[[#This Row],[Final Obj Name]],2)),"/0SAP/")</f>
        <v>/0SAP/</v>
      </c>
    </row>
    <row r="323">
      <c r="A323" t="str">
        <v>DDLS</v>
      </c>
      <c r="B323" t="str">
        <v>Z_CDS_WIP_REPORT_V3</v>
      </c>
      <c r="C323" t="str">
        <v>DDLS</v>
      </c>
      <c r="D323" t="str">
        <v>Z_CDS_WIP_REPORT_V3</v>
      </c>
      <c r="G323" t="str">
        <v>ALL</v>
      </c>
      <c r="L323">
        <v>50095444</v>
      </c>
      <c r="M323">
        <v>44081</v>
      </c>
      <c r="N323">
        <v>0.60898148148148</v>
      </c>
      <c r="S323" t="str">
        <v>X</v>
      </c>
      <c r="W323" t="str">
        <v>S01K909059</v>
      </c>
      <c r="Y323">
        <f>IF(Table1[[#This Row],[OPERATION]]="NOTE","NOTE",Table1[[#This Row],[SUB_TYPE]])</f>
        <v>0</v>
      </c>
      <c r="Z323">
        <f>IF(Table1[[#This Row],[OPERATION]]="NOTE",NUMBERVALUE(LEFT(Table1[[#This Row],[MOD_NAME]],LEN(Table1[[#This Row],[MOD_NAME]])-4)),Table1[[#This Row],[SUB_NAME]])</f>
        <v>0</v>
      </c>
      <c r="AA323" t="str">
        <f>CONCAT(Table1[[#This Row],[Final Obj Type]],"|",Table1[[#This Row],[Final Obj Name]])</f>
        <v>0|0</v>
      </c>
      <c r="AB323" t="e">
        <f>VLOOKUP(Table1[[#This Row],[Final Obj Type]],Classification!B:E,3,FALSE)</f>
        <v>#N/A</v>
      </c>
      <c r="AC323" t="e">
        <f>VLOOKUP(Table1[[#This Row],[Final Obj Type]],Classification!B:E,4,FALSE)</f>
        <v>#N/A</v>
      </c>
      <c r="AD323" t="str">
        <f>IF(Table1[[#This Row],[Position 1]]=0,"/0SAP/",MID(Table1[[#This Row],[Final Obj Name]],Table1[[#This Row],[Position 1]],Table1[[#This Row],[Position 2]]-Table1[[#This Row],[Position 1]]+1))</f>
        <v>/0SAP/</v>
      </c>
      <c r="AE323" t="str">
        <f>VLOOKUP(Table1[[#This Row],[/* Object]],Namespace!A:J,10,FALSE)</f>
        <v>SAP AG</v>
      </c>
      <c r="AF323" t="str">
        <f>IF(VLOOKUP(Table1[[#This Row],[/* Object]],Namespace!A:J,4,FALSE)=0,"",VLOOKUP(Table1[[#This Row],[/* Object]],Namespace!A:J,4,FALSE))</f>
        <v>X</v>
      </c>
      <c r="AG323" t="str">
        <f>IF(VLOOKUP(Table1[[#This Row],[/* Object]],Namespace!A:J,5,FALSE)=0,"",VLOOKUP(Table1[[#This Row],[/* Object]],Namespace!A:J,5,FALSE))</f>
        <v>X</v>
      </c>
      <c r="AH323" t="str">
        <f>IF(VLOOKUP(Table1[[#This Row],[/* Object]],Namespace!A:J,6,FALSE)=0,"",VLOOKUP(Table1[[#This Row],[/* Object]],Namespace!A:J,6,FALSE))</f>
        <v/>
      </c>
      <c r="AI323">
        <f>IFERROR(FIND("/",Table1[[#This Row],[Final Obj Name]],1),0)</f>
        <v>0</v>
      </c>
      <c r="AJ323">
        <f>IF(Table1[[#This Row],[Position 1]]=0,0,FIND("/",Table1[[#This Row],[Final Obj Name]],Table1[[#This Row],[Position 1]]+1))</f>
        <v>0</v>
      </c>
      <c r="AK323" t="str">
        <f>IF(LEFT(Table1[[#This Row],[Final Obj Name]],1)="/",LEFT(Table1[[#This Row],[Final Obj Name]],FIND("/",Table1[[#This Row],[Final Obj Name]],2)),"/0SAP/")</f>
        <v>/0SAP/</v>
      </c>
    </row>
    <row r="324">
      <c r="A324" t="str">
        <v>DDLS</v>
      </c>
      <c r="B324" t="str">
        <v>Z_CDS_WIP_REPORT_V4</v>
      </c>
      <c r="C324" t="str">
        <v>DDLS</v>
      </c>
      <c r="D324" t="str">
        <v>Z_CDS_WIP_REPORT_V4</v>
      </c>
      <c r="G324" t="str">
        <v>ALL</v>
      </c>
      <c r="L324">
        <v>50095444</v>
      </c>
      <c r="M324">
        <v>44081</v>
      </c>
      <c r="N324">
        <v>0.60962962962963</v>
      </c>
      <c r="S324" t="str">
        <v>X</v>
      </c>
      <c r="W324" t="str">
        <v>S01K909059</v>
      </c>
      <c r="Y324">
        <f>IF(Table1[[#This Row],[OPERATION]]="NOTE","NOTE",Table1[[#This Row],[SUB_TYPE]])</f>
        <v>0</v>
      </c>
      <c r="Z324">
        <f>IF(Table1[[#This Row],[OPERATION]]="NOTE",NUMBERVALUE(LEFT(Table1[[#This Row],[MOD_NAME]],LEN(Table1[[#This Row],[MOD_NAME]])-4)),Table1[[#This Row],[SUB_NAME]])</f>
        <v>0</v>
      </c>
      <c r="AA324" t="str">
        <f>CONCAT(Table1[[#This Row],[Final Obj Type]],"|",Table1[[#This Row],[Final Obj Name]])</f>
        <v>0|0</v>
      </c>
      <c r="AB324" t="e">
        <f>VLOOKUP(Table1[[#This Row],[Final Obj Type]],Classification!B:E,3,FALSE)</f>
        <v>#N/A</v>
      </c>
      <c r="AC324" t="e">
        <f>VLOOKUP(Table1[[#This Row],[Final Obj Type]],Classification!B:E,4,FALSE)</f>
        <v>#N/A</v>
      </c>
      <c r="AD324" t="str">
        <f>IF(Table1[[#This Row],[Position 1]]=0,"/0SAP/",MID(Table1[[#This Row],[Final Obj Name]],Table1[[#This Row],[Position 1]],Table1[[#This Row],[Position 2]]-Table1[[#This Row],[Position 1]]+1))</f>
        <v>/0SAP/</v>
      </c>
      <c r="AE324" t="str">
        <f>VLOOKUP(Table1[[#This Row],[/* Object]],Namespace!A:J,10,FALSE)</f>
        <v>SAP AG</v>
      </c>
      <c r="AF324" t="str">
        <f>IF(VLOOKUP(Table1[[#This Row],[/* Object]],Namespace!A:J,4,FALSE)=0,"",VLOOKUP(Table1[[#This Row],[/* Object]],Namespace!A:J,4,FALSE))</f>
        <v>X</v>
      </c>
      <c r="AG324" t="str">
        <f>IF(VLOOKUP(Table1[[#This Row],[/* Object]],Namespace!A:J,5,FALSE)=0,"",VLOOKUP(Table1[[#This Row],[/* Object]],Namespace!A:J,5,FALSE))</f>
        <v>X</v>
      </c>
      <c r="AH324" t="str">
        <f>IF(VLOOKUP(Table1[[#This Row],[/* Object]],Namespace!A:J,6,FALSE)=0,"",VLOOKUP(Table1[[#This Row],[/* Object]],Namespace!A:J,6,FALSE))</f>
        <v/>
      </c>
      <c r="AI324">
        <f>IFERROR(FIND("/",Table1[[#This Row],[Final Obj Name]],1),0)</f>
        <v>0</v>
      </c>
      <c r="AJ324">
        <f>IF(Table1[[#This Row],[Position 1]]=0,0,FIND("/",Table1[[#This Row],[Final Obj Name]],Table1[[#This Row],[Position 1]]+1))</f>
        <v>0</v>
      </c>
      <c r="AK324" t="str">
        <f>IF(LEFT(Table1[[#This Row],[Final Obj Name]],1)="/",LEFT(Table1[[#This Row],[Final Obj Name]],FIND("/",Table1[[#This Row],[Final Obj Name]],2)),"/0SAP/")</f>
        <v>/0SAP/</v>
      </c>
    </row>
    <row r="325">
      <c r="A325" t="str">
        <v>DDLS</v>
      </c>
      <c r="B325" t="str">
        <v>Z_CDS_WIP_REPORT_V5</v>
      </c>
      <c r="C325" t="str">
        <v>DDLS</v>
      </c>
      <c r="D325" t="str">
        <v>Z_CDS_WIP_REPORT_V5</v>
      </c>
      <c r="G325" t="str">
        <v>ALL</v>
      </c>
      <c r="L325">
        <v>50095444</v>
      </c>
      <c r="M325">
        <v>44081</v>
      </c>
      <c r="N325">
        <v>0.6115625</v>
      </c>
      <c r="S325" t="str">
        <v>X</v>
      </c>
      <c r="W325" t="str">
        <v>S01K909059</v>
      </c>
      <c r="Y325">
        <f>IF(Table1[[#This Row],[OPERATION]]="NOTE","NOTE",Table1[[#This Row],[SUB_TYPE]])</f>
        <v>0</v>
      </c>
      <c r="Z325">
        <f>IF(Table1[[#This Row],[OPERATION]]="NOTE",NUMBERVALUE(LEFT(Table1[[#This Row],[MOD_NAME]],LEN(Table1[[#This Row],[MOD_NAME]])-4)),Table1[[#This Row],[SUB_NAME]])</f>
        <v>0</v>
      </c>
      <c r="AA325" t="str">
        <f>CONCAT(Table1[[#This Row],[Final Obj Type]],"|",Table1[[#This Row],[Final Obj Name]])</f>
        <v>0|0</v>
      </c>
      <c r="AB325" t="e">
        <f>VLOOKUP(Table1[[#This Row],[Final Obj Type]],Classification!B:E,3,FALSE)</f>
        <v>#N/A</v>
      </c>
      <c r="AC325" t="e">
        <f>VLOOKUP(Table1[[#This Row],[Final Obj Type]],Classification!B:E,4,FALSE)</f>
        <v>#N/A</v>
      </c>
      <c r="AD325" t="str">
        <f>IF(Table1[[#This Row],[Position 1]]=0,"/0SAP/",MID(Table1[[#This Row],[Final Obj Name]],Table1[[#This Row],[Position 1]],Table1[[#This Row],[Position 2]]-Table1[[#This Row],[Position 1]]+1))</f>
        <v>/0SAP/</v>
      </c>
      <c r="AE325" t="str">
        <f>VLOOKUP(Table1[[#This Row],[/* Object]],Namespace!A:J,10,FALSE)</f>
        <v>SAP AG</v>
      </c>
      <c r="AF325" t="str">
        <f>IF(VLOOKUP(Table1[[#This Row],[/* Object]],Namespace!A:J,4,FALSE)=0,"",VLOOKUP(Table1[[#This Row],[/* Object]],Namespace!A:J,4,FALSE))</f>
        <v>X</v>
      </c>
      <c r="AG325" t="str">
        <f>IF(VLOOKUP(Table1[[#This Row],[/* Object]],Namespace!A:J,5,FALSE)=0,"",VLOOKUP(Table1[[#This Row],[/* Object]],Namespace!A:J,5,FALSE))</f>
        <v>X</v>
      </c>
      <c r="AH325" t="str">
        <f>IF(VLOOKUP(Table1[[#This Row],[/* Object]],Namespace!A:J,6,FALSE)=0,"",VLOOKUP(Table1[[#This Row],[/* Object]],Namespace!A:J,6,FALSE))</f>
        <v/>
      </c>
      <c r="AI325">
        <f>IFERROR(FIND("/",Table1[[#This Row],[Final Obj Name]],1),0)</f>
        <v>0</v>
      </c>
      <c r="AJ325">
        <f>IF(Table1[[#This Row],[Position 1]]=0,0,FIND("/",Table1[[#This Row],[Final Obj Name]],Table1[[#This Row],[Position 1]]+1))</f>
        <v>0</v>
      </c>
      <c r="AK325" t="str">
        <f>IF(LEFT(Table1[[#This Row],[Final Obj Name]],1)="/",LEFT(Table1[[#This Row],[Final Obj Name]],FIND("/",Table1[[#This Row],[Final Obj Name]],2)),"/0SAP/")</f>
        <v>/0SAP/</v>
      </c>
    </row>
    <row r="326">
      <c r="A326" t="str">
        <v>DDLS</v>
      </c>
      <c r="B326" t="str">
        <v>Z_OPT_BL_DOA_USERMAP_ADDR_UN</v>
      </c>
      <c r="C326" t="str">
        <v>DDLS</v>
      </c>
      <c r="D326" t="str">
        <v>Z_OPT_BL_DOA_USERMAP_ADDR_UN</v>
      </c>
      <c r="G326" t="str">
        <v>ALL</v>
      </c>
      <c r="L326" t="str">
        <v>APC</v>
      </c>
      <c r="M326">
        <v>44159</v>
      </c>
      <c r="N326">
        <v>0.48644675925926</v>
      </c>
      <c r="S326" t="str">
        <v>X</v>
      </c>
      <c r="W326" t="str">
        <v>S01K910232</v>
      </c>
      <c r="Y326">
        <f>IF(Table1[[#This Row],[OPERATION]]="NOTE","NOTE",Table1[[#This Row],[SUB_TYPE]])</f>
        <v>0</v>
      </c>
      <c r="Z326">
        <f>IF(Table1[[#This Row],[OPERATION]]="NOTE",NUMBERVALUE(LEFT(Table1[[#This Row],[MOD_NAME]],LEN(Table1[[#This Row],[MOD_NAME]])-4)),Table1[[#This Row],[SUB_NAME]])</f>
        <v>0</v>
      </c>
      <c r="AA326" t="str">
        <f>CONCAT(Table1[[#This Row],[Final Obj Type]],"|",Table1[[#This Row],[Final Obj Name]])</f>
        <v>0|0</v>
      </c>
      <c r="AB326" t="e">
        <f>VLOOKUP(Table1[[#This Row],[Final Obj Type]],Classification!B:E,3,FALSE)</f>
        <v>#N/A</v>
      </c>
      <c r="AC326" t="e">
        <f>VLOOKUP(Table1[[#This Row],[Final Obj Type]],Classification!B:E,4,FALSE)</f>
        <v>#N/A</v>
      </c>
      <c r="AD326" t="str">
        <f>IF(Table1[[#This Row],[Position 1]]=0,"/0SAP/",MID(Table1[[#This Row],[Final Obj Name]],Table1[[#This Row],[Position 1]],Table1[[#This Row],[Position 2]]-Table1[[#This Row],[Position 1]]+1))</f>
        <v>/0SAP/</v>
      </c>
      <c r="AE326" t="str">
        <f>VLOOKUP(Table1[[#This Row],[/* Object]],Namespace!A:J,10,FALSE)</f>
        <v>SAP AG</v>
      </c>
      <c r="AF326" t="str">
        <f>IF(VLOOKUP(Table1[[#This Row],[/* Object]],Namespace!A:J,4,FALSE)=0,"",VLOOKUP(Table1[[#This Row],[/* Object]],Namespace!A:J,4,FALSE))</f>
        <v>X</v>
      </c>
      <c r="AG326" t="str">
        <f>IF(VLOOKUP(Table1[[#This Row],[/* Object]],Namespace!A:J,5,FALSE)=0,"",VLOOKUP(Table1[[#This Row],[/* Object]],Namespace!A:J,5,FALSE))</f>
        <v>X</v>
      </c>
      <c r="AH326" t="str">
        <f>IF(VLOOKUP(Table1[[#This Row],[/* Object]],Namespace!A:J,6,FALSE)=0,"",VLOOKUP(Table1[[#This Row],[/* Object]],Namespace!A:J,6,FALSE))</f>
        <v/>
      </c>
      <c r="AI326">
        <f>IFERROR(FIND("/",Table1[[#This Row],[Final Obj Name]],1),0)</f>
        <v>0</v>
      </c>
      <c r="AJ326">
        <f>IF(Table1[[#This Row],[Position 1]]=0,0,FIND("/",Table1[[#This Row],[Final Obj Name]],Table1[[#This Row],[Position 1]]+1))</f>
        <v>0</v>
      </c>
      <c r="AK326" t="str">
        <f>IF(LEFT(Table1[[#This Row],[Final Obj Name]],1)="/",LEFT(Table1[[#This Row],[Final Obj Name]],FIND("/",Table1[[#This Row],[Final Obj Name]],2)),"/0SAP/")</f>
        <v>/0SAP/</v>
      </c>
    </row>
    <row r="327">
      <c r="A327" t="str">
        <v>DDLS</v>
      </c>
      <c r="B327" t="str">
        <v>Z_OPT_BL_DOA_USERMAP_CONTROL</v>
      </c>
      <c r="C327" t="str">
        <v>DDLS</v>
      </c>
      <c r="D327" t="str">
        <v>Z_OPT_BL_DOA_USERMAP_CONTROL</v>
      </c>
      <c r="G327" t="str">
        <v>ALL</v>
      </c>
      <c r="L327" t="str">
        <v>APC</v>
      </c>
      <c r="M327">
        <v>44159</v>
      </c>
      <c r="N327">
        <v>0.28136574074074</v>
      </c>
      <c r="S327" t="str">
        <v>X</v>
      </c>
      <c r="W327" t="str">
        <v>S01K910232</v>
      </c>
      <c r="Y327">
        <f>IF(Table1[[#This Row],[OPERATION]]="NOTE","NOTE",Table1[[#This Row],[SUB_TYPE]])</f>
        <v>0</v>
      </c>
      <c r="Z327">
        <f>IF(Table1[[#This Row],[OPERATION]]="NOTE",NUMBERVALUE(LEFT(Table1[[#This Row],[MOD_NAME]],LEN(Table1[[#This Row],[MOD_NAME]])-4)),Table1[[#This Row],[SUB_NAME]])</f>
        <v>0</v>
      </c>
      <c r="AA327" t="str">
        <f>CONCAT(Table1[[#This Row],[Final Obj Type]],"|",Table1[[#This Row],[Final Obj Name]])</f>
        <v>0|0</v>
      </c>
      <c r="AB327" t="e">
        <f>VLOOKUP(Table1[[#This Row],[Final Obj Type]],Classification!B:E,3,FALSE)</f>
        <v>#N/A</v>
      </c>
      <c r="AC327" t="e">
        <f>VLOOKUP(Table1[[#This Row],[Final Obj Type]],Classification!B:E,4,FALSE)</f>
        <v>#N/A</v>
      </c>
      <c r="AD327" t="str">
        <f>IF(Table1[[#This Row],[Position 1]]=0,"/0SAP/",MID(Table1[[#This Row],[Final Obj Name]],Table1[[#This Row],[Position 1]],Table1[[#This Row],[Position 2]]-Table1[[#This Row],[Position 1]]+1))</f>
        <v>/0SAP/</v>
      </c>
      <c r="AE327" t="str">
        <f>VLOOKUP(Table1[[#This Row],[/* Object]],Namespace!A:J,10,FALSE)</f>
        <v>SAP AG</v>
      </c>
      <c r="AF327" t="str">
        <f>IF(VLOOKUP(Table1[[#This Row],[/* Object]],Namespace!A:J,4,FALSE)=0,"",VLOOKUP(Table1[[#This Row],[/* Object]],Namespace!A:J,4,FALSE))</f>
        <v>X</v>
      </c>
      <c r="AG327" t="str">
        <f>IF(VLOOKUP(Table1[[#This Row],[/* Object]],Namespace!A:J,5,FALSE)=0,"",VLOOKUP(Table1[[#This Row],[/* Object]],Namespace!A:J,5,FALSE))</f>
        <v>X</v>
      </c>
      <c r="AH327" t="str">
        <f>IF(VLOOKUP(Table1[[#This Row],[/* Object]],Namespace!A:J,6,FALSE)=0,"",VLOOKUP(Table1[[#This Row],[/* Object]],Namespace!A:J,6,FALSE))</f>
        <v/>
      </c>
      <c r="AI327">
        <f>IFERROR(FIND("/",Table1[[#This Row],[Final Obj Name]],1),0)</f>
        <v>0</v>
      </c>
      <c r="AJ327">
        <f>IF(Table1[[#This Row],[Position 1]]=0,0,FIND("/",Table1[[#This Row],[Final Obj Name]],Table1[[#This Row],[Position 1]]+1))</f>
        <v>0</v>
      </c>
      <c r="AK327" t="str">
        <f>IF(LEFT(Table1[[#This Row],[Final Obj Name]],1)="/",LEFT(Table1[[#This Row],[Final Obj Name]],FIND("/",Table1[[#This Row],[Final Obj Name]],2)),"/0SAP/")</f>
        <v>/0SAP/</v>
      </c>
    </row>
    <row r="328">
      <c r="A328" t="str">
        <v>DEVC</v>
      </c>
      <c r="B328" t="str">
        <v>ZCONV_PROG</v>
      </c>
      <c r="C328" t="str">
        <v>DEVC</v>
      </c>
      <c r="D328" t="str">
        <v>ZCONV_PROG</v>
      </c>
      <c r="G328" t="str">
        <v>ALL</v>
      </c>
      <c r="L328" t="str">
        <v>CST_AMINNEMA</v>
      </c>
      <c r="M328">
        <v>43724</v>
      </c>
      <c r="N328">
        <v>0.53697916666667</v>
      </c>
      <c r="S328" t="str">
        <v>X</v>
      </c>
      <c r="W328" t="str">
        <v>X01K900782</v>
      </c>
      <c r="Y328">
        <f>IF(Table1[[#This Row],[OPERATION]]="NOTE","NOTE",Table1[[#This Row],[SUB_TYPE]])</f>
        <v>0</v>
      </c>
      <c r="Z328">
        <f>IF(Table1[[#This Row],[OPERATION]]="NOTE",NUMBERVALUE(LEFT(Table1[[#This Row],[MOD_NAME]],LEN(Table1[[#This Row],[MOD_NAME]])-4)),Table1[[#This Row],[SUB_NAME]])</f>
        <v>0</v>
      </c>
      <c r="AA328" t="str">
        <f>CONCAT(Table1[[#This Row],[Final Obj Type]],"|",Table1[[#This Row],[Final Obj Name]])</f>
        <v>0|0</v>
      </c>
      <c r="AB328" t="e">
        <f>VLOOKUP(Table1[[#This Row],[Final Obj Type]],Classification!B:E,3,FALSE)</f>
        <v>#N/A</v>
      </c>
      <c r="AC328" t="e">
        <f>VLOOKUP(Table1[[#This Row],[Final Obj Type]],Classification!B:E,4,FALSE)</f>
        <v>#N/A</v>
      </c>
      <c r="AD328" t="str">
        <f>IF(Table1[[#This Row],[Position 1]]=0,"/0SAP/",MID(Table1[[#This Row],[Final Obj Name]],Table1[[#This Row],[Position 1]],Table1[[#This Row],[Position 2]]-Table1[[#This Row],[Position 1]]+1))</f>
        <v>/0SAP/</v>
      </c>
      <c r="AE328" t="str">
        <f>VLOOKUP(Table1[[#This Row],[/* Object]],Namespace!A:J,10,FALSE)</f>
        <v>SAP AG</v>
      </c>
      <c r="AF328" t="str">
        <f>IF(VLOOKUP(Table1[[#This Row],[/* Object]],Namespace!A:J,4,FALSE)=0,"",VLOOKUP(Table1[[#This Row],[/* Object]],Namespace!A:J,4,FALSE))</f>
        <v>X</v>
      </c>
      <c r="AG328" t="str">
        <f>IF(VLOOKUP(Table1[[#This Row],[/* Object]],Namespace!A:J,5,FALSE)=0,"",VLOOKUP(Table1[[#This Row],[/* Object]],Namespace!A:J,5,FALSE))</f>
        <v>X</v>
      </c>
      <c r="AH328" t="str">
        <f>IF(VLOOKUP(Table1[[#This Row],[/* Object]],Namespace!A:J,6,FALSE)=0,"",VLOOKUP(Table1[[#This Row],[/* Object]],Namespace!A:J,6,FALSE))</f>
        <v/>
      </c>
      <c r="AI328">
        <f>IFERROR(FIND("/",Table1[[#This Row],[Final Obj Name]],1),0)</f>
        <v>0</v>
      </c>
      <c r="AJ328">
        <f>IF(Table1[[#This Row],[Position 1]]=0,0,FIND("/",Table1[[#This Row],[Final Obj Name]],Table1[[#This Row],[Position 1]]+1))</f>
        <v>0</v>
      </c>
      <c r="AK328" t="str">
        <f>IF(LEFT(Table1[[#This Row],[Final Obj Name]],1)="/",LEFT(Table1[[#This Row],[Final Obj Name]],FIND("/",Table1[[#This Row],[Final Obj Name]],2)),"/0SAP/")</f>
        <v>/0SAP/</v>
      </c>
    </row>
    <row r="329">
      <c r="A329" t="str">
        <v>DEVC</v>
      </c>
      <c r="B329" t="str">
        <v>ZCONV_TOOL</v>
      </c>
      <c r="C329" t="str">
        <v>DEVC</v>
      </c>
      <c r="D329" t="str">
        <v>ZCONV_TOOL</v>
      </c>
      <c r="G329" t="str">
        <v>ALL</v>
      </c>
      <c r="L329" t="str">
        <v>CST_AMINNEMA</v>
      </c>
      <c r="M329">
        <v>43724</v>
      </c>
      <c r="N329">
        <v>0.53959490740741</v>
      </c>
      <c r="S329" t="str">
        <v>X</v>
      </c>
      <c r="W329" t="str">
        <v>X01K900782</v>
      </c>
      <c r="Y329">
        <f>IF(Table1[[#This Row],[OPERATION]]="NOTE","NOTE",Table1[[#This Row],[SUB_TYPE]])</f>
        <v>0</v>
      </c>
      <c r="Z329">
        <f>IF(Table1[[#This Row],[OPERATION]]="NOTE",NUMBERVALUE(LEFT(Table1[[#This Row],[MOD_NAME]],LEN(Table1[[#This Row],[MOD_NAME]])-4)),Table1[[#This Row],[SUB_NAME]])</f>
        <v>0</v>
      </c>
      <c r="AA329" t="str">
        <f>CONCAT(Table1[[#This Row],[Final Obj Type]],"|",Table1[[#This Row],[Final Obj Name]])</f>
        <v>0|0</v>
      </c>
      <c r="AB329" t="e">
        <f>VLOOKUP(Table1[[#This Row],[Final Obj Type]],Classification!B:E,3,FALSE)</f>
        <v>#N/A</v>
      </c>
      <c r="AC329" t="e">
        <f>VLOOKUP(Table1[[#This Row],[Final Obj Type]],Classification!B:E,4,FALSE)</f>
        <v>#N/A</v>
      </c>
      <c r="AD329" t="str">
        <f>IF(Table1[[#This Row],[Position 1]]=0,"/0SAP/",MID(Table1[[#This Row],[Final Obj Name]],Table1[[#This Row],[Position 1]],Table1[[#This Row],[Position 2]]-Table1[[#This Row],[Position 1]]+1))</f>
        <v>/0SAP/</v>
      </c>
      <c r="AE329" t="str">
        <f>VLOOKUP(Table1[[#This Row],[/* Object]],Namespace!A:J,10,FALSE)</f>
        <v>SAP AG</v>
      </c>
      <c r="AF329" t="str">
        <f>IF(VLOOKUP(Table1[[#This Row],[/* Object]],Namespace!A:J,4,FALSE)=0,"",VLOOKUP(Table1[[#This Row],[/* Object]],Namespace!A:J,4,FALSE))</f>
        <v>X</v>
      </c>
      <c r="AG329" t="str">
        <f>IF(VLOOKUP(Table1[[#This Row],[/* Object]],Namespace!A:J,5,FALSE)=0,"",VLOOKUP(Table1[[#This Row],[/* Object]],Namespace!A:J,5,FALSE))</f>
        <v>X</v>
      </c>
      <c r="AH329" t="str">
        <f>IF(VLOOKUP(Table1[[#This Row],[/* Object]],Namespace!A:J,6,FALSE)=0,"",VLOOKUP(Table1[[#This Row],[/* Object]],Namespace!A:J,6,FALSE))</f>
        <v/>
      </c>
      <c r="AI329">
        <f>IFERROR(FIND("/",Table1[[#This Row],[Final Obj Name]],1),0)</f>
        <v>0</v>
      </c>
      <c r="AJ329">
        <f>IF(Table1[[#This Row],[Position 1]]=0,0,FIND("/",Table1[[#This Row],[Final Obj Name]],Table1[[#This Row],[Position 1]]+1))</f>
        <v>0</v>
      </c>
      <c r="AK329" t="str">
        <f>IF(LEFT(Table1[[#This Row],[Final Obj Name]],1)="/",LEFT(Table1[[#This Row],[Final Obj Name]],FIND("/",Table1[[#This Row],[Final Obj Name]],2)),"/0SAP/")</f>
        <v>/0SAP/</v>
      </c>
    </row>
    <row r="330">
      <c r="A330" t="str">
        <v>DEVC</v>
      </c>
      <c r="B330" t="str">
        <v>ZDMIG</v>
      </c>
      <c r="C330" t="str">
        <v>DEVC</v>
      </c>
      <c r="D330" t="str">
        <v>ZDMIG</v>
      </c>
      <c r="G330" t="str">
        <v>ALL</v>
      </c>
      <c r="L330" t="str">
        <v>NSHAIK</v>
      </c>
      <c r="M330">
        <v>46009</v>
      </c>
      <c r="N330">
        <v>0.28391203703704</v>
      </c>
      <c r="S330" t="str">
        <v>X</v>
      </c>
      <c r="W330" t="str">
        <v>SP1K961217</v>
      </c>
      <c r="Y330">
        <f>IF(Table1[[#This Row],[OPERATION]]="NOTE","NOTE",Table1[[#This Row],[SUB_TYPE]])</f>
        <v>0</v>
      </c>
      <c r="Z330">
        <f>IF(Table1[[#This Row],[OPERATION]]="NOTE",NUMBERVALUE(LEFT(Table1[[#This Row],[MOD_NAME]],LEN(Table1[[#This Row],[MOD_NAME]])-4)),Table1[[#This Row],[SUB_NAME]])</f>
        <v>0</v>
      </c>
      <c r="AA330" t="str">
        <f>CONCAT(Table1[[#This Row],[Final Obj Type]],"|",Table1[[#This Row],[Final Obj Name]])</f>
        <v>0|0</v>
      </c>
      <c r="AB330" t="e">
        <f>VLOOKUP(Table1[[#This Row],[Final Obj Type]],Classification!B:E,3,FALSE)</f>
        <v>#N/A</v>
      </c>
      <c r="AC330" t="e">
        <f>VLOOKUP(Table1[[#This Row],[Final Obj Type]],Classification!B:E,4,FALSE)</f>
        <v>#N/A</v>
      </c>
      <c r="AD330" t="str">
        <f>IF(Table1[[#This Row],[Position 1]]=0,"/0SAP/",MID(Table1[[#This Row],[Final Obj Name]],Table1[[#This Row],[Position 1]],Table1[[#This Row],[Position 2]]-Table1[[#This Row],[Position 1]]+1))</f>
        <v>/0SAP/</v>
      </c>
      <c r="AE330" t="str">
        <f>VLOOKUP(Table1[[#This Row],[/* Object]],Namespace!A:J,10,FALSE)</f>
        <v>SAP AG</v>
      </c>
      <c r="AF330" t="str">
        <f>IF(VLOOKUP(Table1[[#This Row],[/* Object]],Namespace!A:J,4,FALSE)=0,"",VLOOKUP(Table1[[#This Row],[/* Object]],Namespace!A:J,4,FALSE))</f>
        <v>X</v>
      </c>
      <c r="AG330" t="str">
        <f>IF(VLOOKUP(Table1[[#This Row],[/* Object]],Namespace!A:J,5,FALSE)=0,"",VLOOKUP(Table1[[#This Row],[/* Object]],Namespace!A:J,5,FALSE))</f>
        <v>X</v>
      </c>
      <c r="AH330" t="str">
        <f>IF(VLOOKUP(Table1[[#This Row],[/* Object]],Namespace!A:J,6,FALSE)=0,"",VLOOKUP(Table1[[#This Row],[/* Object]],Namespace!A:J,6,FALSE))</f>
        <v/>
      </c>
      <c r="AI330">
        <f>IFERROR(FIND("/",Table1[[#This Row],[Final Obj Name]],1),0)</f>
        <v>0</v>
      </c>
      <c r="AJ330">
        <f>IF(Table1[[#This Row],[Position 1]]=0,0,FIND("/",Table1[[#This Row],[Final Obj Name]],Table1[[#This Row],[Position 1]]+1))</f>
        <v>0</v>
      </c>
      <c r="AK330" t="str">
        <f>IF(LEFT(Table1[[#This Row],[Final Obj Name]],1)="/",LEFT(Table1[[#This Row],[Final Obj Name]],FIND("/",Table1[[#This Row],[Final Obj Name]],2)),"/0SAP/")</f>
        <v>/0SAP/</v>
      </c>
    </row>
    <row r="331">
      <c r="A331" t="str">
        <v>DEVC</v>
      </c>
      <c r="B331" t="str">
        <v>ZIDT_FS</v>
      </c>
      <c r="C331" t="str">
        <v>DEVC</v>
      </c>
      <c r="D331" t="str">
        <v>ZIDT_FS</v>
      </c>
      <c r="G331" t="str">
        <v>ALL</v>
      </c>
      <c r="L331" t="str">
        <v>JVITER</v>
      </c>
      <c r="M331">
        <v>43561</v>
      </c>
      <c r="N331">
        <v>0.16427083333333</v>
      </c>
      <c r="S331" t="str">
        <v>X</v>
      </c>
      <c r="W331" t="str">
        <v>SP1K900494</v>
      </c>
      <c r="Y331">
        <f>IF(Table1[[#This Row],[OPERATION]]="NOTE","NOTE",Table1[[#This Row],[SUB_TYPE]])</f>
        <v>0</v>
      </c>
      <c r="Z331">
        <f>IF(Table1[[#This Row],[OPERATION]]="NOTE",NUMBERVALUE(LEFT(Table1[[#This Row],[MOD_NAME]],LEN(Table1[[#This Row],[MOD_NAME]])-4)),Table1[[#This Row],[SUB_NAME]])</f>
        <v>0</v>
      </c>
      <c r="AA331" t="str">
        <f>CONCAT(Table1[[#This Row],[Final Obj Type]],"|",Table1[[#This Row],[Final Obj Name]])</f>
        <v>0|0</v>
      </c>
      <c r="AB331" t="e">
        <f>VLOOKUP(Table1[[#This Row],[Final Obj Type]],Classification!B:E,3,FALSE)</f>
        <v>#N/A</v>
      </c>
      <c r="AC331" t="e">
        <f>VLOOKUP(Table1[[#This Row],[Final Obj Type]],Classification!B:E,4,FALSE)</f>
        <v>#N/A</v>
      </c>
      <c r="AD331" t="str">
        <f>IF(Table1[[#This Row],[Position 1]]=0,"/0SAP/",MID(Table1[[#This Row],[Final Obj Name]],Table1[[#This Row],[Position 1]],Table1[[#This Row],[Position 2]]-Table1[[#This Row],[Position 1]]+1))</f>
        <v>/0SAP/</v>
      </c>
      <c r="AE331" t="str">
        <f>VLOOKUP(Table1[[#This Row],[/* Object]],Namespace!A:J,10,FALSE)</f>
        <v>SAP AG</v>
      </c>
      <c r="AF331" t="str">
        <f>IF(VLOOKUP(Table1[[#This Row],[/* Object]],Namespace!A:J,4,FALSE)=0,"",VLOOKUP(Table1[[#This Row],[/* Object]],Namespace!A:J,4,FALSE))</f>
        <v>X</v>
      </c>
      <c r="AG331" t="str">
        <f>IF(VLOOKUP(Table1[[#This Row],[/* Object]],Namespace!A:J,5,FALSE)=0,"",VLOOKUP(Table1[[#This Row],[/* Object]],Namespace!A:J,5,FALSE))</f>
        <v>X</v>
      </c>
      <c r="AH331" t="str">
        <f>IF(VLOOKUP(Table1[[#This Row],[/* Object]],Namespace!A:J,6,FALSE)=0,"",VLOOKUP(Table1[[#This Row],[/* Object]],Namespace!A:J,6,FALSE))</f>
        <v/>
      </c>
      <c r="AI331">
        <f>IFERROR(FIND("/",Table1[[#This Row],[Final Obj Name]],1),0)</f>
        <v>0</v>
      </c>
      <c r="AJ331">
        <f>IF(Table1[[#This Row],[Position 1]]=0,0,FIND("/",Table1[[#This Row],[Final Obj Name]],Table1[[#This Row],[Position 1]]+1))</f>
        <v>0</v>
      </c>
      <c r="AK331" t="str">
        <f>IF(LEFT(Table1[[#This Row],[Final Obj Name]],1)="/",LEFT(Table1[[#This Row],[Final Obj Name]],FIND("/",Table1[[#This Row],[Final Obj Name]],2)),"/0SAP/")</f>
        <v>/0SAP/</v>
      </c>
    </row>
    <row r="332">
      <c r="A332" t="str">
        <v>DEVC</v>
      </c>
      <c r="B332" t="str">
        <v>ZMDG_C</v>
      </c>
      <c r="C332" t="str">
        <v>DEVC</v>
      </c>
      <c r="D332" t="str">
        <v>ZMDG_C</v>
      </c>
      <c r="G332" t="str">
        <v>ALL</v>
      </c>
      <c r="L332" t="str">
        <v>NSHAIK</v>
      </c>
      <c r="M332">
        <v>46009</v>
      </c>
      <c r="N332">
        <v>0.28428240740741</v>
      </c>
      <c r="S332" t="str">
        <v>X</v>
      </c>
      <c r="W332" t="str">
        <v>SP1K961217</v>
      </c>
      <c r="Y332">
        <f>IF(Table1[[#This Row],[OPERATION]]="NOTE","NOTE",Table1[[#This Row],[SUB_TYPE]])</f>
        <v>0</v>
      </c>
      <c r="Z332">
        <f>IF(Table1[[#This Row],[OPERATION]]="NOTE",NUMBERVALUE(LEFT(Table1[[#This Row],[MOD_NAME]],LEN(Table1[[#This Row],[MOD_NAME]])-4)),Table1[[#This Row],[SUB_NAME]])</f>
        <v>0</v>
      </c>
      <c r="AA332" t="str">
        <f>CONCAT(Table1[[#This Row],[Final Obj Type]],"|",Table1[[#This Row],[Final Obj Name]])</f>
        <v>0|0</v>
      </c>
      <c r="AB332" t="e">
        <f>VLOOKUP(Table1[[#This Row],[Final Obj Type]],Classification!B:E,3,FALSE)</f>
        <v>#N/A</v>
      </c>
      <c r="AC332" t="e">
        <f>VLOOKUP(Table1[[#This Row],[Final Obj Type]],Classification!B:E,4,FALSE)</f>
        <v>#N/A</v>
      </c>
      <c r="AD332" t="str">
        <f>IF(Table1[[#This Row],[Position 1]]=0,"/0SAP/",MID(Table1[[#This Row],[Final Obj Name]],Table1[[#This Row],[Position 1]],Table1[[#This Row],[Position 2]]-Table1[[#This Row],[Position 1]]+1))</f>
        <v>/0SAP/</v>
      </c>
      <c r="AE332" t="str">
        <f>VLOOKUP(Table1[[#This Row],[/* Object]],Namespace!A:J,10,FALSE)</f>
        <v>SAP AG</v>
      </c>
      <c r="AF332" t="str">
        <f>IF(VLOOKUP(Table1[[#This Row],[/* Object]],Namespace!A:J,4,FALSE)=0,"",VLOOKUP(Table1[[#This Row],[/* Object]],Namespace!A:J,4,FALSE))</f>
        <v>X</v>
      </c>
      <c r="AG332" t="str">
        <f>IF(VLOOKUP(Table1[[#This Row],[/* Object]],Namespace!A:J,5,FALSE)=0,"",VLOOKUP(Table1[[#This Row],[/* Object]],Namespace!A:J,5,FALSE))</f>
        <v>X</v>
      </c>
      <c r="AH332" t="str">
        <f>IF(VLOOKUP(Table1[[#This Row],[/* Object]],Namespace!A:J,6,FALSE)=0,"",VLOOKUP(Table1[[#This Row],[/* Object]],Namespace!A:J,6,FALSE))</f>
        <v/>
      </c>
      <c r="AI332">
        <f>IFERROR(FIND("/",Table1[[#This Row],[Final Obj Name]],1),0)</f>
        <v>0</v>
      </c>
      <c r="AJ332">
        <f>IF(Table1[[#This Row],[Position 1]]=0,0,FIND("/",Table1[[#This Row],[Final Obj Name]],Table1[[#This Row],[Position 1]]+1))</f>
        <v>0</v>
      </c>
      <c r="AK332" t="str">
        <f>IF(LEFT(Table1[[#This Row],[Final Obj Name]],1)="/",LEFT(Table1[[#This Row],[Final Obj Name]],FIND("/",Table1[[#This Row],[Final Obj Name]],2)),"/0SAP/")</f>
        <v>/0SAP/</v>
      </c>
    </row>
    <row r="333">
      <c r="A333" t="str">
        <v>DEVC</v>
      </c>
      <c r="B333" t="str">
        <v>ZMDG_C_E</v>
      </c>
      <c r="C333" t="str">
        <v>DEVC</v>
      </c>
      <c r="D333" t="str">
        <v>ZMDG_C_E</v>
      </c>
      <c r="G333" t="str">
        <v>ALL</v>
      </c>
      <c r="L333" t="str">
        <v>NSHAIK</v>
      </c>
      <c r="M333">
        <v>46009</v>
      </c>
      <c r="N333">
        <v>0.28443287037037</v>
      </c>
      <c r="S333" t="str">
        <v>X</v>
      </c>
      <c r="W333" t="str">
        <v>SP1K961217</v>
      </c>
      <c r="Y333">
        <f>IF(Table1[[#This Row],[OPERATION]]="NOTE","NOTE",Table1[[#This Row],[SUB_TYPE]])</f>
        <v>0</v>
      </c>
      <c r="Z333">
        <f>IF(Table1[[#This Row],[OPERATION]]="NOTE",NUMBERVALUE(LEFT(Table1[[#This Row],[MOD_NAME]],LEN(Table1[[#This Row],[MOD_NAME]])-4)),Table1[[#This Row],[SUB_NAME]])</f>
        <v>0</v>
      </c>
      <c r="AA333" t="str">
        <f>CONCAT(Table1[[#This Row],[Final Obj Type]],"|",Table1[[#This Row],[Final Obj Name]])</f>
        <v>0|0</v>
      </c>
      <c r="AB333" t="e">
        <f>VLOOKUP(Table1[[#This Row],[Final Obj Type]],Classification!B:E,3,FALSE)</f>
        <v>#N/A</v>
      </c>
      <c r="AC333" t="e">
        <f>VLOOKUP(Table1[[#This Row],[Final Obj Type]],Classification!B:E,4,FALSE)</f>
        <v>#N/A</v>
      </c>
      <c r="AD333" t="str">
        <f>IF(Table1[[#This Row],[Position 1]]=0,"/0SAP/",MID(Table1[[#This Row],[Final Obj Name]],Table1[[#This Row],[Position 1]],Table1[[#This Row],[Position 2]]-Table1[[#This Row],[Position 1]]+1))</f>
        <v>/0SAP/</v>
      </c>
      <c r="AE333" t="str">
        <f>VLOOKUP(Table1[[#This Row],[/* Object]],Namespace!A:J,10,FALSE)</f>
        <v>SAP AG</v>
      </c>
      <c r="AF333" t="str">
        <f>IF(VLOOKUP(Table1[[#This Row],[/* Object]],Namespace!A:J,4,FALSE)=0,"",VLOOKUP(Table1[[#This Row],[/* Object]],Namespace!A:J,4,FALSE))</f>
        <v>X</v>
      </c>
      <c r="AG333" t="str">
        <f>IF(VLOOKUP(Table1[[#This Row],[/* Object]],Namespace!A:J,5,FALSE)=0,"",VLOOKUP(Table1[[#This Row],[/* Object]],Namespace!A:J,5,FALSE))</f>
        <v>X</v>
      </c>
      <c r="AH333" t="str">
        <f>IF(VLOOKUP(Table1[[#This Row],[/* Object]],Namespace!A:J,6,FALSE)=0,"",VLOOKUP(Table1[[#This Row],[/* Object]],Namespace!A:J,6,FALSE))</f>
        <v/>
      </c>
      <c r="AI333">
        <f>IFERROR(FIND("/",Table1[[#This Row],[Final Obj Name]],1),0)</f>
        <v>0</v>
      </c>
      <c r="AJ333">
        <f>IF(Table1[[#This Row],[Position 1]]=0,0,FIND("/",Table1[[#This Row],[Final Obj Name]],Table1[[#This Row],[Position 1]]+1))</f>
        <v>0</v>
      </c>
      <c r="AK333" t="str">
        <f>IF(LEFT(Table1[[#This Row],[Final Obj Name]],1)="/",LEFT(Table1[[#This Row],[Final Obj Name]],FIND("/",Table1[[#This Row],[Final Obj Name]],2)),"/0SAP/")</f>
        <v>/0SAP/</v>
      </c>
    </row>
    <row r="334">
      <c r="A334" t="str">
        <v>DEVC</v>
      </c>
      <c r="B334" t="str">
        <v>ZMDG_C_E_0102</v>
      </c>
      <c r="C334" t="str">
        <v>DEVC</v>
      </c>
      <c r="D334" t="str">
        <v>ZMDG_C_E_0102</v>
      </c>
      <c r="G334" t="str">
        <v>ALL</v>
      </c>
      <c r="L334" t="str">
        <v>NSHAIK</v>
      </c>
      <c r="M334">
        <v>46009</v>
      </c>
      <c r="N334">
        <v>0.28456018518519</v>
      </c>
      <c r="S334" t="str">
        <v>X</v>
      </c>
      <c r="W334" t="str">
        <v>SP1K961217</v>
      </c>
      <c r="Y334">
        <f>IF(Table1[[#This Row],[OPERATION]]="NOTE","NOTE",Table1[[#This Row],[SUB_TYPE]])</f>
        <v>0</v>
      </c>
      <c r="Z334">
        <f>IF(Table1[[#This Row],[OPERATION]]="NOTE",NUMBERVALUE(LEFT(Table1[[#This Row],[MOD_NAME]],LEN(Table1[[#This Row],[MOD_NAME]])-4)),Table1[[#This Row],[SUB_NAME]])</f>
        <v>0</v>
      </c>
      <c r="AA334" t="str">
        <f>CONCAT(Table1[[#This Row],[Final Obj Type]],"|",Table1[[#This Row],[Final Obj Name]])</f>
        <v>0|0</v>
      </c>
      <c r="AB334" t="e">
        <f>VLOOKUP(Table1[[#This Row],[Final Obj Type]],Classification!B:E,3,FALSE)</f>
        <v>#N/A</v>
      </c>
      <c r="AC334" t="e">
        <f>VLOOKUP(Table1[[#This Row],[Final Obj Type]],Classification!B:E,4,FALSE)</f>
        <v>#N/A</v>
      </c>
      <c r="AD334" t="str">
        <f>IF(Table1[[#This Row],[Position 1]]=0,"/0SAP/",MID(Table1[[#This Row],[Final Obj Name]],Table1[[#This Row],[Position 1]],Table1[[#This Row],[Position 2]]-Table1[[#This Row],[Position 1]]+1))</f>
        <v>/0SAP/</v>
      </c>
      <c r="AE334" t="str">
        <f>VLOOKUP(Table1[[#This Row],[/* Object]],Namespace!A:J,10,FALSE)</f>
        <v>SAP AG</v>
      </c>
      <c r="AF334" t="str">
        <f>IF(VLOOKUP(Table1[[#This Row],[/* Object]],Namespace!A:J,4,FALSE)=0,"",VLOOKUP(Table1[[#This Row],[/* Object]],Namespace!A:J,4,FALSE))</f>
        <v>X</v>
      </c>
      <c r="AG334" t="str">
        <f>IF(VLOOKUP(Table1[[#This Row],[/* Object]],Namespace!A:J,5,FALSE)=0,"",VLOOKUP(Table1[[#This Row],[/* Object]],Namespace!A:J,5,FALSE))</f>
        <v>X</v>
      </c>
      <c r="AH334" t="str">
        <f>IF(VLOOKUP(Table1[[#This Row],[/* Object]],Namespace!A:J,6,FALSE)=0,"",VLOOKUP(Table1[[#This Row],[/* Object]],Namespace!A:J,6,FALSE))</f>
        <v/>
      </c>
      <c r="AI334">
        <f>IFERROR(FIND("/",Table1[[#This Row],[Final Obj Name]],1),0)</f>
        <v>0</v>
      </c>
      <c r="AJ334">
        <f>IF(Table1[[#This Row],[Position 1]]=0,0,FIND("/",Table1[[#This Row],[Final Obj Name]],Table1[[#This Row],[Position 1]]+1))</f>
        <v>0</v>
      </c>
      <c r="AK334" t="str">
        <f>IF(LEFT(Table1[[#This Row],[Final Obj Name]],1)="/",LEFT(Table1[[#This Row],[Final Obj Name]],FIND("/",Table1[[#This Row],[Final Obj Name]],2)),"/0SAP/")</f>
        <v>/0SAP/</v>
      </c>
    </row>
    <row r="335">
      <c r="A335" t="str">
        <v>DEVC</v>
      </c>
      <c r="B335" t="str">
        <v>ZMDG_C_E_0103</v>
      </c>
      <c r="C335" t="str">
        <v>DEVC</v>
      </c>
      <c r="D335" t="str">
        <v>ZMDG_C_E_0103</v>
      </c>
      <c r="G335" t="str">
        <v>ALL</v>
      </c>
      <c r="L335" t="str">
        <v>NSHAIK</v>
      </c>
      <c r="M335">
        <v>46009</v>
      </c>
      <c r="N335">
        <v>0.28476851851852</v>
      </c>
      <c r="S335" t="str">
        <v>X</v>
      </c>
      <c r="W335" t="str">
        <v>SP1K961217</v>
      </c>
      <c r="Y335">
        <f>IF(Table1[[#This Row],[OPERATION]]="NOTE","NOTE",Table1[[#This Row],[SUB_TYPE]])</f>
        <v>0</v>
      </c>
      <c r="Z335">
        <f>IF(Table1[[#This Row],[OPERATION]]="NOTE",NUMBERVALUE(LEFT(Table1[[#This Row],[MOD_NAME]],LEN(Table1[[#This Row],[MOD_NAME]])-4)),Table1[[#This Row],[SUB_NAME]])</f>
        <v>0</v>
      </c>
      <c r="AA335" t="str">
        <f>CONCAT(Table1[[#This Row],[Final Obj Type]],"|",Table1[[#This Row],[Final Obj Name]])</f>
        <v>0|0</v>
      </c>
      <c r="AB335" t="e">
        <f>VLOOKUP(Table1[[#This Row],[Final Obj Type]],Classification!B:E,3,FALSE)</f>
        <v>#N/A</v>
      </c>
      <c r="AC335" t="e">
        <f>VLOOKUP(Table1[[#This Row],[Final Obj Type]],Classification!B:E,4,FALSE)</f>
        <v>#N/A</v>
      </c>
      <c r="AD335" t="str">
        <f>IF(Table1[[#This Row],[Position 1]]=0,"/0SAP/",MID(Table1[[#This Row],[Final Obj Name]],Table1[[#This Row],[Position 1]],Table1[[#This Row],[Position 2]]-Table1[[#This Row],[Position 1]]+1))</f>
        <v>/0SAP/</v>
      </c>
      <c r="AE335" t="str">
        <f>VLOOKUP(Table1[[#This Row],[/* Object]],Namespace!A:J,10,FALSE)</f>
        <v>SAP AG</v>
      </c>
      <c r="AF335" t="str">
        <f>IF(VLOOKUP(Table1[[#This Row],[/* Object]],Namespace!A:J,4,FALSE)=0,"",VLOOKUP(Table1[[#This Row],[/* Object]],Namespace!A:J,4,FALSE))</f>
        <v>X</v>
      </c>
      <c r="AG335" t="str">
        <f>IF(VLOOKUP(Table1[[#This Row],[/* Object]],Namespace!A:J,5,FALSE)=0,"",VLOOKUP(Table1[[#This Row],[/* Object]],Namespace!A:J,5,FALSE))</f>
        <v>X</v>
      </c>
      <c r="AH335" t="str">
        <f>IF(VLOOKUP(Table1[[#This Row],[/* Object]],Namespace!A:J,6,FALSE)=0,"",VLOOKUP(Table1[[#This Row],[/* Object]],Namespace!A:J,6,FALSE))</f>
        <v/>
      </c>
      <c r="AI335">
        <f>IFERROR(FIND("/",Table1[[#This Row],[Final Obj Name]],1),0)</f>
        <v>0</v>
      </c>
      <c r="AJ335">
        <f>IF(Table1[[#This Row],[Position 1]]=0,0,FIND("/",Table1[[#This Row],[Final Obj Name]],Table1[[#This Row],[Position 1]]+1))</f>
        <v>0</v>
      </c>
      <c r="AK335" t="str">
        <f>IF(LEFT(Table1[[#This Row],[Final Obj Name]],1)="/",LEFT(Table1[[#This Row],[Final Obj Name]],FIND("/",Table1[[#This Row],[Final Obj Name]],2)),"/0SAP/")</f>
        <v>/0SAP/</v>
      </c>
    </row>
    <row r="336">
      <c r="A336" t="str">
        <v>DEVC</v>
      </c>
      <c r="B336" t="str">
        <v>ZMDG_C_E_0111</v>
      </c>
      <c r="C336" t="str">
        <v>DEVC</v>
      </c>
      <c r="D336" t="str">
        <v>ZMDG_C_E_0111</v>
      </c>
      <c r="G336" t="str">
        <v>ALL</v>
      </c>
      <c r="L336" t="str">
        <v>NSHAIK</v>
      </c>
      <c r="M336">
        <v>46009</v>
      </c>
      <c r="N336">
        <v>0.28491898148148</v>
      </c>
      <c r="S336" t="str">
        <v>X</v>
      </c>
      <c r="W336" t="str">
        <v>SP1K961217</v>
      </c>
      <c r="Y336">
        <f>IF(Table1[[#This Row],[OPERATION]]="NOTE","NOTE",Table1[[#This Row],[SUB_TYPE]])</f>
        <v>0</v>
      </c>
      <c r="Z336">
        <f>IF(Table1[[#This Row],[OPERATION]]="NOTE",NUMBERVALUE(LEFT(Table1[[#This Row],[MOD_NAME]],LEN(Table1[[#This Row],[MOD_NAME]])-4)),Table1[[#This Row],[SUB_NAME]])</f>
        <v>0</v>
      </c>
      <c r="AA336" t="str">
        <f>CONCAT(Table1[[#This Row],[Final Obj Type]],"|",Table1[[#This Row],[Final Obj Name]])</f>
        <v>0|0</v>
      </c>
      <c r="AB336" t="e">
        <f>VLOOKUP(Table1[[#This Row],[Final Obj Type]],Classification!B:E,3,FALSE)</f>
        <v>#N/A</v>
      </c>
      <c r="AC336" t="e">
        <f>VLOOKUP(Table1[[#This Row],[Final Obj Type]],Classification!B:E,4,FALSE)</f>
        <v>#N/A</v>
      </c>
      <c r="AD336" t="str">
        <f>IF(Table1[[#This Row],[Position 1]]=0,"/0SAP/",MID(Table1[[#This Row],[Final Obj Name]],Table1[[#This Row],[Position 1]],Table1[[#This Row],[Position 2]]-Table1[[#This Row],[Position 1]]+1))</f>
        <v>/0SAP/</v>
      </c>
      <c r="AE336" t="str">
        <f>VLOOKUP(Table1[[#This Row],[/* Object]],Namespace!A:J,10,FALSE)</f>
        <v>SAP AG</v>
      </c>
      <c r="AF336" t="str">
        <f>IF(VLOOKUP(Table1[[#This Row],[/* Object]],Namespace!A:J,4,FALSE)=0,"",VLOOKUP(Table1[[#This Row],[/* Object]],Namespace!A:J,4,FALSE))</f>
        <v>X</v>
      </c>
      <c r="AG336" t="str">
        <f>IF(VLOOKUP(Table1[[#This Row],[/* Object]],Namespace!A:J,5,FALSE)=0,"",VLOOKUP(Table1[[#This Row],[/* Object]],Namespace!A:J,5,FALSE))</f>
        <v>X</v>
      </c>
      <c r="AH336" t="str">
        <f>IF(VLOOKUP(Table1[[#This Row],[/* Object]],Namespace!A:J,6,FALSE)=0,"",VLOOKUP(Table1[[#This Row],[/* Object]],Namespace!A:J,6,FALSE))</f>
        <v/>
      </c>
      <c r="AI336">
        <f>IFERROR(FIND("/",Table1[[#This Row],[Final Obj Name]],1),0)</f>
        <v>0</v>
      </c>
      <c r="AJ336">
        <f>IF(Table1[[#This Row],[Position 1]]=0,0,FIND("/",Table1[[#This Row],[Final Obj Name]],Table1[[#This Row],[Position 1]]+1))</f>
        <v>0</v>
      </c>
      <c r="AK336" t="str">
        <f>IF(LEFT(Table1[[#This Row],[Final Obj Name]],1)="/",LEFT(Table1[[#This Row],[Final Obj Name]],FIND("/",Table1[[#This Row],[Final Obj Name]],2)),"/0SAP/")</f>
        <v>/0SAP/</v>
      </c>
    </row>
    <row r="337">
      <c r="A337" t="str">
        <v>DEVC</v>
      </c>
      <c r="B337" t="str">
        <v>ZMDG_C_E_0123</v>
      </c>
      <c r="C337" t="str">
        <v>DEVC</v>
      </c>
      <c r="D337" t="str">
        <v>ZMDG_C_E_0123</v>
      </c>
      <c r="G337" t="str">
        <v>ALL</v>
      </c>
      <c r="L337" t="str">
        <v>NSHAIK</v>
      </c>
      <c r="M337">
        <v>46009</v>
      </c>
      <c r="N337">
        <v>0.28505787037037</v>
      </c>
      <c r="S337" t="str">
        <v>X</v>
      </c>
      <c r="W337" t="str">
        <v>SP1K961217</v>
      </c>
      <c r="Y337">
        <f>IF(Table1[[#This Row],[OPERATION]]="NOTE","NOTE",Table1[[#This Row],[SUB_TYPE]])</f>
        <v>0</v>
      </c>
      <c r="Z337">
        <f>IF(Table1[[#This Row],[OPERATION]]="NOTE",NUMBERVALUE(LEFT(Table1[[#This Row],[MOD_NAME]],LEN(Table1[[#This Row],[MOD_NAME]])-4)),Table1[[#This Row],[SUB_NAME]])</f>
        <v>0</v>
      </c>
      <c r="AA337" t="str">
        <f>CONCAT(Table1[[#This Row],[Final Obj Type]],"|",Table1[[#This Row],[Final Obj Name]])</f>
        <v>0|0</v>
      </c>
      <c r="AB337" t="e">
        <f>VLOOKUP(Table1[[#This Row],[Final Obj Type]],Classification!B:E,3,FALSE)</f>
        <v>#N/A</v>
      </c>
      <c r="AC337" t="e">
        <f>VLOOKUP(Table1[[#This Row],[Final Obj Type]],Classification!B:E,4,FALSE)</f>
        <v>#N/A</v>
      </c>
      <c r="AD337" t="str">
        <f>IF(Table1[[#This Row],[Position 1]]=0,"/0SAP/",MID(Table1[[#This Row],[Final Obj Name]],Table1[[#This Row],[Position 1]],Table1[[#This Row],[Position 2]]-Table1[[#This Row],[Position 1]]+1))</f>
        <v>/0SAP/</v>
      </c>
      <c r="AE337" t="str">
        <f>VLOOKUP(Table1[[#This Row],[/* Object]],Namespace!A:J,10,FALSE)</f>
        <v>SAP AG</v>
      </c>
      <c r="AF337" t="str">
        <f>IF(VLOOKUP(Table1[[#This Row],[/* Object]],Namespace!A:J,4,FALSE)=0,"",VLOOKUP(Table1[[#This Row],[/* Object]],Namespace!A:J,4,FALSE))</f>
        <v>X</v>
      </c>
      <c r="AG337" t="str">
        <f>IF(VLOOKUP(Table1[[#This Row],[/* Object]],Namespace!A:J,5,FALSE)=0,"",VLOOKUP(Table1[[#This Row],[/* Object]],Namespace!A:J,5,FALSE))</f>
        <v>X</v>
      </c>
      <c r="AH337" t="str">
        <f>IF(VLOOKUP(Table1[[#This Row],[/* Object]],Namespace!A:J,6,FALSE)=0,"",VLOOKUP(Table1[[#This Row],[/* Object]],Namespace!A:J,6,FALSE))</f>
        <v/>
      </c>
      <c r="AI337">
        <f>IFERROR(FIND("/",Table1[[#This Row],[Final Obj Name]],1),0)</f>
        <v>0</v>
      </c>
      <c r="AJ337">
        <f>IF(Table1[[#This Row],[Position 1]]=0,0,FIND("/",Table1[[#This Row],[Final Obj Name]],Table1[[#This Row],[Position 1]]+1))</f>
        <v>0</v>
      </c>
      <c r="AK337" t="str">
        <f>IF(LEFT(Table1[[#This Row],[Final Obj Name]],1)="/",LEFT(Table1[[#This Row],[Final Obj Name]],FIND("/",Table1[[#This Row],[Final Obj Name]],2)),"/0SAP/")</f>
        <v>/0SAP/</v>
      </c>
    </row>
    <row r="338">
      <c r="A338" t="str">
        <v>DEVC</v>
      </c>
      <c r="B338" t="str">
        <v>ZMDG_C_E_2</v>
      </c>
      <c r="C338" t="str">
        <v>DEVC</v>
      </c>
      <c r="D338" t="str">
        <v>ZMDG_C_E_2</v>
      </c>
      <c r="G338" t="str">
        <v>ALL</v>
      </c>
      <c r="L338" t="str">
        <v>NSHAIK</v>
      </c>
      <c r="M338">
        <v>46009</v>
      </c>
      <c r="N338">
        <v>0.28521990740741</v>
      </c>
      <c r="S338" t="str">
        <v>X</v>
      </c>
      <c r="W338" t="str">
        <v>SP1K961217</v>
      </c>
      <c r="Y338">
        <f>IF(Table1[[#This Row],[OPERATION]]="NOTE","NOTE",Table1[[#This Row],[SUB_TYPE]])</f>
        <v>0</v>
      </c>
      <c r="Z338">
        <f>IF(Table1[[#This Row],[OPERATION]]="NOTE",NUMBERVALUE(LEFT(Table1[[#This Row],[MOD_NAME]],LEN(Table1[[#This Row],[MOD_NAME]])-4)),Table1[[#This Row],[SUB_NAME]])</f>
        <v>0</v>
      </c>
      <c r="AA338" t="str">
        <f>CONCAT(Table1[[#This Row],[Final Obj Type]],"|",Table1[[#This Row],[Final Obj Name]])</f>
        <v>0|0</v>
      </c>
      <c r="AB338" t="e">
        <f>VLOOKUP(Table1[[#This Row],[Final Obj Type]],Classification!B:E,3,FALSE)</f>
        <v>#N/A</v>
      </c>
      <c r="AC338" t="e">
        <f>VLOOKUP(Table1[[#This Row],[Final Obj Type]],Classification!B:E,4,FALSE)</f>
        <v>#N/A</v>
      </c>
      <c r="AD338" t="str">
        <f>IF(Table1[[#This Row],[Position 1]]=0,"/0SAP/",MID(Table1[[#This Row],[Final Obj Name]],Table1[[#This Row],[Position 1]],Table1[[#This Row],[Position 2]]-Table1[[#This Row],[Position 1]]+1))</f>
        <v>/0SAP/</v>
      </c>
      <c r="AE338" t="str">
        <f>VLOOKUP(Table1[[#This Row],[/* Object]],Namespace!A:J,10,FALSE)</f>
        <v>SAP AG</v>
      </c>
      <c r="AF338" t="str">
        <f>IF(VLOOKUP(Table1[[#This Row],[/* Object]],Namespace!A:J,4,FALSE)=0,"",VLOOKUP(Table1[[#This Row],[/* Object]],Namespace!A:J,4,FALSE))</f>
        <v>X</v>
      </c>
      <c r="AG338" t="str">
        <f>IF(VLOOKUP(Table1[[#This Row],[/* Object]],Namespace!A:J,5,FALSE)=0,"",VLOOKUP(Table1[[#This Row],[/* Object]],Namespace!A:J,5,FALSE))</f>
        <v>X</v>
      </c>
      <c r="AH338" t="str">
        <f>IF(VLOOKUP(Table1[[#This Row],[/* Object]],Namespace!A:J,6,FALSE)=0,"",VLOOKUP(Table1[[#This Row],[/* Object]],Namespace!A:J,6,FALSE))</f>
        <v/>
      </c>
      <c r="AI338">
        <f>IFERROR(FIND("/",Table1[[#This Row],[Final Obj Name]],1),0)</f>
        <v>0</v>
      </c>
      <c r="AJ338">
        <f>IF(Table1[[#This Row],[Position 1]]=0,0,FIND("/",Table1[[#This Row],[Final Obj Name]],Table1[[#This Row],[Position 1]]+1))</f>
        <v>0</v>
      </c>
      <c r="AK338" t="str">
        <f>IF(LEFT(Table1[[#This Row],[Final Obj Name]],1)="/",LEFT(Table1[[#This Row],[Final Obj Name]],FIND("/",Table1[[#This Row],[Final Obj Name]],2)),"/0SAP/")</f>
        <v>/0SAP/</v>
      </c>
    </row>
    <row r="339">
      <c r="A339" t="str">
        <v>DEVC</v>
      </c>
      <c r="B339" t="str">
        <v>ZMDG_C_E_2108</v>
      </c>
      <c r="C339" t="str">
        <v>DEVC</v>
      </c>
      <c r="D339" t="str">
        <v>ZMDG_C_E_2108</v>
      </c>
      <c r="G339" t="str">
        <v>ALL</v>
      </c>
      <c r="L339" t="str">
        <v>NSHAIK</v>
      </c>
      <c r="M339">
        <v>46009</v>
      </c>
      <c r="N339">
        <v>0.28534722222222</v>
      </c>
      <c r="S339" t="str">
        <v>X</v>
      </c>
      <c r="W339" t="str">
        <v>SP1K961217</v>
      </c>
      <c r="Y339">
        <f>IF(Table1[[#This Row],[OPERATION]]="NOTE","NOTE",Table1[[#This Row],[SUB_TYPE]])</f>
        <v>0</v>
      </c>
      <c r="Z339">
        <f>IF(Table1[[#This Row],[OPERATION]]="NOTE",NUMBERVALUE(LEFT(Table1[[#This Row],[MOD_NAME]],LEN(Table1[[#This Row],[MOD_NAME]])-4)),Table1[[#This Row],[SUB_NAME]])</f>
        <v>0</v>
      </c>
      <c r="AA339" t="str">
        <f>CONCAT(Table1[[#This Row],[Final Obj Type]],"|",Table1[[#This Row],[Final Obj Name]])</f>
        <v>0|0</v>
      </c>
      <c r="AB339" t="e">
        <f>VLOOKUP(Table1[[#This Row],[Final Obj Type]],Classification!B:E,3,FALSE)</f>
        <v>#N/A</v>
      </c>
      <c r="AC339" t="e">
        <f>VLOOKUP(Table1[[#This Row],[Final Obj Type]],Classification!B:E,4,FALSE)</f>
        <v>#N/A</v>
      </c>
      <c r="AD339" t="str">
        <f>IF(Table1[[#This Row],[Position 1]]=0,"/0SAP/",MID(Table1[[#This Row],[Final Obj Name]],Table1[[#This Row],[Position 1]],Table1[[#This Row],[Position 2]]-Table1[[#This Row],[Position 1]]+1))</f>
        <v>/0SAP/</v>
      </c>
      <c r="AE339" t="str">
        <f>VLOOKUP(Table1[[#This Row],[/* Object]],Namespace!A:J,10,FALSE)</f>
        <v>SAP AG</v>
      </c>
      <c r="AF339" t="str">
        <f>IF(VLOOKUP(Table1[[#This Row],[/* Object]],Namespace!A:J,4,FALSE)=0,"",VLOOKUP(Table1[[#This Row],[/* Object]],Namespace!A:J,4,FALSE))</f>
        <v>X</v>
      </c>
      <c r="AG339" t="str">
        <f>IF(VLOOKUP(Table1[[#This Row],[/* Object]],Namespace!A:J,5,FALSE)=0,"",VLOOKUP(Table1[[#This Row],[/* Object]],Namespace!A:J,5,FALSE))</f>
        <v>X</v>
      </c>
      <c r="AH339" t="str">
        <f>IF(VLOOKUP(Table1[[#This Row],[/* Object]],Namespace!A:J,6,FALSE)=0,"",VLOOKUP(Table1[[#This Row],[/* Object]],Namespace!A:J,6,FALSE))</f>
        <v/>
      </c>
      <c r="AI339">
        <f>IFERROR(FIND("/",Table1[[#This Row],[Final Obj Name]],1),0)</f>
        <v>0</v>
      </c>
      <c r="AJ339">
        <f>IF(Table1[[#This Row],[Position 1]]=0,0,FIND("/",Table1[[#This Row],[Final Obj Name]],Table1[[#This Row],[Position 1]]+1))</f>
        <v>0</v>
      </c>
      <c r="AK339" t="str">
        <f>IF(LEFT(Table1[[#This Row],[Final Obj Name]],1)="/",LEFT(Table1[[#This Row],[Final Obj Name]],FIND("/",Table1[[#This Row],[Final Obj Name]],2)),"/0SAP/")</f>
        <v>/0SAP/</v>
      </c>
    </row>
    <row r="340">
      <c r="A340" t="str">
        <v>DEVC</v>
      </c>
      <c r="B340" t="str">
        <v>ZMDG_C_E_2123</v>
      </c>
      <c r="C340" t="str">
        <v>DEVC</v>
      </c>
      <c r="D340" t="str">
        <v>ZMDG_C_E_2123</v>
      </c>
      <c r="G340" t="str">
        <v>ALL</v>
      </c>
      <c r="L340" t="str">
        <v>NSHAIK</v>
      </c>
      <c r="M340">
        <v>46009</v>
      </c>
      <c r="N340">
        <v>0.28547453703704</v>
      </c>
      <c r="S340" t="str">
        <v>X</v>
      </c>
      <c r="W340" t="str">
        <v>SP1K961217</v>
      </c>
      <c r="Y340">
        <f>IF(Table1[[#This Row],[OPERATION]]="NOTE","NOTE",Table1[[#This Row],[SUB_TYPE]])</f>
        <v>0</v>
      </c>
      <c r="Z340">
        <f>IF(Table1[[#This Row],[OPERATION]]="NOTE",NUMBERVALUE(LEFT(Table1[[#This Row],[MOD_NAME]],LEN(Table1[[#This Row],[MOD_NAME]])-4)),Table1[[#This Row],[SUB_NAME]])</f>
        <v>0</v>
      </c>
      <c r="AA340" t="str">
        <f>CONCAT(Table1[[#This Row],[Final Obj Type]],"|",Table1[[#This Row],[Final Obj Name]])</f>
        <v>0|0</v>
      </c>
      <c r="AB340" t="e">
        <f>VLOOKUP(Table1[[#This Row],[Final Obj Type]],Classification!B:E,3,FALSE)</f>
        <v>#N/A</v>
      </c>
      <c r="AC340" t="e">
        <f>VLOOKUP(Table1[[#This Row],[Final Obj Type]],Classification!B:E,4,FALSE)</f>
        <v>#N/A</v>
      </c>
      <c r="AD340" t="str">
        <f>IF(Table1[[#This Row],[Position 1]]=0,"/0SAP/",MID(Table1[[#This Row],[Final Obj Name]],Table1[[#This Row],[Position 1]],Table1[[#This Row],[Position 2]]-Table1[[#This Row],[Position 1]]+1))</f>
        <v>/0SAP/</v>
      </c>
      <c r="AE340" t="str">
        <f>VLOOKUP(Table1[[#This Row],[/* Object]],Namespace!A:J,10,FALSE)</f>
        <v>SAP AG</v>
      </c>
      <c r="AF340" t="str">
        <f>IF(VLOOKUP(Table1[[#This Row],[/* Object]],Namespace!A:J,4,FALSE)=0,"",VLOOKUP(Table1[[#This Row],[/* Object]],Namespace!A:J,4,FALSE))</f>
        <v>X</v>
      </c>
      <c r="AG340" t="str">
        <f>IF(VLOOKUP(Table1[[#This Row],[/* Object]],Namespace!A:J,5,FALSE)=0,"",VLOOKUP(Table1[[#This Row],[/* Object]],Namespace!A:J,5,FALSE))</f>
        <v>X</v>
      </c>
      <c r="AH340" t="str">
        <f>IF(VLOOKUP(Table1[[#This Row],[/* Object]],Namespace!A:J,6,FALSE)=0,"",VLOOKUP(Table1[[#This Row],[/* Object]],Namespace!A:J,6,FALSE))</f>
        <v/>
      </c>
      <c r="AI340">
        <f>IFERROR(FIND("/",Table1[[#This Row],[Final Obj Name]],1),0)</f>
        <v>0</v>
      </c>
      <c r="AJ340">
        <f>IF(Table1[[#This Row],[Position 1]]=0,0,FIND("/",Table1[[#This Row],[Final Obj Name]],Table1[[#This Row],[Position 1]]+1))</f>
        <v>0</v>
      </c>
      <c r="AK340" t="str">
        <f>IF(LEFT(Table1[[#This Row],[Final Obj Name]],1)="/",LEFT(Table1[[#This Row],[Final Obj Name]],FIND("/",Table1[[#This Row],[Final Obj Name]],2)),"/0SAP/")</f>
        <v>/0SAP/</v>
      </c>
    </row>
    <row r="341">
      <c r="A341" t="str">
        <v>DEVC</v>
      </c>
      <c r="B341" t="str">
        <v>ZMDG_C_E_2208</v>
      </c>
      <c r="C341" t="str">
        <v>DEVC</v>
      </c>
      <c r="D341" t="str">
        <v>ZMDG_C_E_2208</v>
      </c>
      <c r="G341" t="str">
        <v>ALL</v>
      </c>
      <c r="L341" t="str">
        <v>NSHAIK</v>
      </c>
      <c r="M341">
        <v>46009</v>
      </c>
      <c r="N341">
        <v>0.28561342592593</v>
      </c>
      <c r="S341" t="str">
        <v>X</v>
      </c>
      <c r="W341" t="str">
        <v>SP1K961217</v>
      </c>
      <c r="Y341">
        <f>IF(Table1[[#This Row],[OPERATION]]="NOTE","NOTE",Table1[[#This Row],[SUB_TYPE]])</f>
        <v>0</v>
      </c>
      <c r="Z341">
        <f>IF(Table1[[#This Row],[OPERATION]]="NOTE",NUMBERVALUE(LEFT(Table1[[#This Row],[MOD_NAME]],LEN(Table1[[#This Row],[MOD_NAME]])-4)),Table1[[#This Row],[SUB_NAME]])</f>
        <v>0</v>
      </c>
      <c r="AA341" t="str">
        <f>CONCAT(Table1[[#This Row],[Final Obj Type]],"|",Table1[[#This Row],[Final Obj Name]])</f>
        <v>0|0</v>
      </c>
      <c r="AB341" t="e">
        <f>VLOOKUP(Table1[[#This Row],[Final Obj Type]],Classification!B:E,3,FALSE)</f>
        <v>#N/A</v>
      </c>
      <c r="AC341" t="e">
        <f>VLOOKUP(Table1[[#This Row],[Final Obj Type]],Classification!B:E,4,FALSE)</f>
        <v>#N/A</v>
      </c>
      <c r="AD341" t="str">
        <f>IF(Table1[[#This Row],[Position 1]]=0,"/0SAP/",MID(Table1[[#This Row],[Final Obj Name]],Table1[[#This Row],[Position 1]],Table1[[#This Row],[Position 2]]-Table1[[#This Row],[Position 1]]+1))</f>
        <v>/0SAP/</v>
      </c>
      <c r="AE341" t="str">
        <f>VLOOKUP(Table1[[#This Row],[/* Object]],Namespace!A:J,10,FALSE)</f>
        <v>SAP AG</v>
      </c>
      <c r="AF341" t="str">
        <f>IF(VLOOKUP(Table1[[#This Row],[/* Object]],Namespace!A:J,4,FALSE)=0,"",VLOOKUP(Table1[[#This Row],[/* Object]],Namespace!A:J,4,FALSE))</f>
        <v>X</v>
      </c>
      <c r="AG341" t="str">
        <f>IF(VLOOKUP(Table1[[#This Row],[/* Object]],Namespace!A:J,5,FALSE)=0,"",VLOOKUP(Table1[[#This Row],[/* Object]],Namespace!A:J,5,FALSE))</f>
        <v>X</v>
      </c>
      <c r="AH341" t="str">
        <f>IF(VLOOKUP(Table1[[#This Row],[/* Object]],Namespace!A:J,6,FALSE)=0,"",VLOOKUP(Table1[[#This Row],[/* Object]],Namespace!A:J,6,FALSE))</f>
        <v/>
      </c>
      <c r="AI341">
        <f>IFERROR(FIND("/",Table1[[#This Row],[Final Obj Name]],1),0)</f>
        <v>0</v>
      </c>
      <c r="AJ341">
        <f>IF(Table1[[#This Row],[Position 1]]=0,0,FIND("/",Table1[[#This Row],[Final Obj Name]],Table1[[#This Row],[Position 1]]+1))</f>
        <v>0</v>
      </c>
      <c r="AK341" t="str">
        <f>IF(LEFT(Table1[[#This Row],[Final Obj Name]],1)="/",LEFT(Table1[[#This Row],[Final Obj Name]],FIND("/",Table1[[#This Row],[Final Obj Name]],2)),"/0SAP/")</f>
        <v>/0SAP/</v>
      </c>
    </row>
    <row r="342">
      <c r="A342" t="str">
        <v>DEVC</v>
      </c>
      <c r="B342" t="str">
        <v>ZMDG_C_I</v>
      </c>
      <c r="C342" t="str">
        <v>DEVC</v>
      </c>
      <c r="D342" t="str">
        <v>ZMDG_C_I</v>
      </c>
      <c r="G342" t="str">
        <v>ALL</v>
      </c>
      <c r="L342" t="str">
        <v>NSHAIK</v>
      </c>
      <c r="M342">
        <v>46009</v>
      </c>
      <c r="N342">
        <v>0.28574074074074</v>
      </c>
      <c r="S342" t="str">
        <v>X</v>
      </c>
      <c r="W342" t="str">
        <v>SP1K961217</v>
      </c>
      <c r="Y342">
        <f>IF(Table1[[#This Row],[OPERATION]]="NOTE","NOTE",Table1[[#This Row],[SUB_TYPE]])</f>
        <v>0</v>
      </c>
      <c r="Z342">
        <f>IF(Table1[[#This Row],[OPERATION]]="NOTE",NUMBERVALUE(LEFT(Table1[[#This Row],[MOD_NAME]],LEN(Table1[[#This Row],[MOD_NAME]])-4)),Table1[[#This Row],[SUB_NAME]])</f>
        <v>0</v>
      </c>
      <c r="AA342" t="str">
        <f>CONCAT(Table1[[#This Row],[Final Obj Type]],"|",Table1[[#This Row],[Final Obj Name]])</f>
        <v>0|0</v>
      </c>
      <c r="AB342" t="e">
        <f>VLOOKUP(Table1[[#This Row],[Final Obj Type]],Classification!B:E,3,FALSE)</f>
        <v>#N/A</v>
      </c>
      <c r="AC342" t="e">
        <f>VLOOKUP(Table1[[#This Row],[Final Obj Type]],Classification!B:E,4,FALSE)</f>
        <v>#N/A</v>
      </c>
      <c r="AD342" t="str">
        <f>IF(Table1[[#This Row],[Position 1]]=0,"/0SAP/",MID(Table1[[#This Row],[Final Obj Name]],Table1[[#This Row],[Position 1]],Table1[[#This Row],[Position 2]]-Table1[[#This Row],[Position 1]]+1))</f>
        <v>/0SAP/</v>
      </c>
      <c r="AE342" t="str">
        <f>VLOOKUP(Table1[[#This Row],[/* Object]],Namespace!A:J,10,FALSE)</f>
        <v>SAP AG</v>
      </c>
      <c r="AF342" t="str">
        <f>IF(VLOOKUP(Table1[[#This Row],[/* Object]],Namespace!A:J,4,FALSE)=0,"",VLOOKUP(Table1[[#This Row],[/* Object]],Namespace!A:J,4,FALSE))</f>
        <v>X</v>
      </c>
      <c r="AG342" t="str">
        <f>IF(VLOOKUP(Table1[[#This Row],[/* Object]],Namespace!A:J,5,FALSE)=0,"",VLOOKUP(Table1[[#This Row],[/* Object]],Namespace!A:J,5,FALSE))</f>
        <v>X</v>
      </c>
      <c r="AH342" t="str">
        <f>IF(VLOOKUP(Table1[[#This Row],[/* Object]],Namespace!A:J,6,FALSE)=0,"",VLOOKUP(Table1[[#This Row],[/* Object]],Namespace!A:J,6,FALSE))</f>
        <v/>
      </c>
      <c r="AI342">
        <f>IFERROR(FIND("/",Table1[[#This Row],[Final Obj Name]],1),0)</f>
        <v>0</v>
      </c>
      <c r="AJ342">
        <f>IF(Table1[[#This Row],[Position 1]]=0,0,FIND("/",Table1[[#This Row],[Final Obj Name]],Table1[[#This Row],[Position 1]]+1))</f>
        <v>0</v>
      </c>
      <c r="AK342" t="str">
        <f>IF(LEFT(Table1[[#This Row],[Final Obj Name]],1)="/",LEFT(Table1[[#This Row],[Final Obj Name]],FIND("/",Table1[[#This Row],[Final Obj Name]],2)),"/0SAP/")</f>
        <v>/0SAP/</v>
      </c>
    </row>
    <row r="343">
      <c r="A343" t="str">
        <v>DEVC</v>
      </c>
      <c r="B343" t="str">
        <v>ZMDG_C_I_0101</v>
      </c>
      <c r="C343" t="str">
        <v>DEVC</v>
      </c>
      <c r="D343" t="str">
        <v>ZMDG_C_I_0101</v>
      </c>
      <c r="G343" t="str">
        <v>ALL</v>
      </c>
      <c r="L343" t="str">
        <v>NSHAIK</v>
      </c>
      <c r="M343">
        <v>46009</v>
      </c>
      <c r="N343">
        <v>0.28586805555556</v>
      </c>
      <c r="S343" t="str">
        <v>X</v>
      </c>
      <c r="W343" t="str">
        <v>SP1K961217</v>
      </c>
      <c r="Y343">
        <f>IF(Table1[[#This Row],[OPERATION]]="NOTE","NOTE",Table1[[#This Row],[SUB_TYPE]])</f>
        <v>0</v>
      </c>
      <c r="Z343">
        <f>IF(Table1[[#This Row],[OPERATION]]="NOTE",NUMBERVALUE(LEFT(Table1[[#This Row],[MOD_NAME]],LEN(Table1[[#This Row],[MOD_NAME]])-4)),Table1[[#This Row],[SUB_NAME]])</f>
        <v>0</v>
      </c>
      <c r="AA343" t="str">
        <f>CONCAT(Table1[[#This Row],[Final Obj Type]],"|",Table1[[#This Row],[Final Obj Name]])</f>
        <v>0|0</v>
      </c>
      <c r="AB343" t="e">
        <f>VLOOKUP(Table1[[#This Row],[Final Obj Type]],Classification!B:E,3,FALSE)</f>
        <v>#N/A</v>
      </c>
      <c r="AC343" t="e">
        <f>VLOOKUP(Table1[[#This Row],[Final Obj Type]],Classification!B:E,4,FALSE)</f>
        <v>#N/A</v>
      </c>
      <c r="AD343" t="str">
        <f>IF(Table1[[#This Row],[Position 1]]=0,"/0SAP/",MID(Table1[[#This Row],[Final Obj Name]],Table1[[#This Row],[Position 1]],Table1[[#This Row],[Position 2]]-Table1[[#This Row],[Position 1]]+1))</f>
        <v>/0SAP/</v>
      </c>
      <c r="AE343" t="str">
        <f>VLOOKUP(Table1[[#This Row],[/* Object]],Namespace!A:J,10,FALSE)</f>
        <v>SAP AG</v>
      </c>
      <c r="AF343" t="str">
        <f>IF(VLOOKUP(Table1[[#This Row],[/* Object]],Namespace!A:J,4,FALSE)=0,"",VLOOKUP(Table1[[#This Row],[/* Object]],Namespace!A:J,4,FALSE))</f>
        <v>X</v>
      </c>
      <c r="AG343" t="str">
        <f>IF(VLOOKUP(Table1[[#This Row],[/* Object]],Namespace!A:J,5,FALSE)=0,"",VLOOKUP(Table1[[#This Row],[/* Object]],Namespace!A:J,5,FALSE))</f>
        <v>X</v>
      </c>
      <c r="AH343" t="str">
        <f>IF(VLOOKUP(Table1[[#This Row],[/* Object]],Namespace!A:J,6,FALSE)=0,"",VLOOKUP(Table1[[#This Row],[/* Object]],Namespace!A:J,6,FALSE))</f>
        <v/>
      </c>
      <c r="AI343">
        <f>IFERROR(FIND("/",Table1[[#This Row],[Final Obj Name]],1),0)</f>
        <v>0</v>
      </c>
      <c r="AJ343">
        <f>IF(Table1[[#This Row],[Position 1]]=0,0,FIND("/",Table1[[#This Row],[Final Obj Name]],Table1[[#This Row],[Position 1]]+1))</f>
        <v>0</v>
      </c>
      <c r="AK343" t="str">
        <f>IF(LEFT(Table1[[#This Row],[Final Obj Name]],1)="/",LEFT(Table1[[#This Row],[Final Obj Name]],FIND("/",Table1[[#This Row],[Final Obj Name]],2)),"/0SAP/")</f>
        <v>/0SAP/</v>
      </c>
    </row>
    <row r="344">
      <c r="A344" t="str">
        <v>DEVC</v>
      </c>
      <c r="B344" t="str">
        <v>ZMDG_C_I_0107</v>
      </c>
      <c r="C344" t="str">
        <v>DEVC</v>
      </c>
      <c r="D344" t="str">
        <v>ZMDG_C_I_0107</v>
      </c>
      <c r="G344" t="str">
        <v>ALL</v>
      </c>
      <c r="L344" t="str">
        <v>NSHAIK</v>
      </c>
      <c r="M344">
        <v>46009</v>
      </c>
      <c r="N344">
        <v>0.28600694444444</v>
      </c>
      <c r="S344" t="str">
        <v>X</v>
      </c>
      <c r="W344" t="str">
        <v>SP1K961217</v>
      </c>
      <c r="Y344">
        <f>IF(Table1[[#This Row],[OPERATION]]="NOTE","NOTE",Table1[[#This Row],[SUB_TYPE]])</f>
        <v>0</v>
      </c>
      <c r="Z344">
        <f>IF(Table1[[#This Row],[OPERATION]]="NOTE",NUMBERVALUE(LEFT(Table1[[#This Row],[MOD_NAME]],LEN(Table1[[#This Row],[MOD_NAME]])-4)),Table1[[#This Row],[SUB_NAME]])</f>
        <v>0</v>
      </c>
      <c r="AA344" t="str">
        <f>CONCAT(Table1[[#This Row],[Final Obj Type]],"|",Table1[[#This Row],[Final Obj Name]])</f>
        <v>0|0</v>
      </c>
      <c r="AB344" t="e">
        <f>VLOOKUP(Table1[[#This Row],[Final Obj Type]],Classification!B:E,3,FALSE)</f>
        <v>#N/A</v>
      </c>
      <c r="AC344" t="e">
        <f>VLOOKUP(Table1[[#This Row],[Final Obj Type]],Classification!B:E,4,FALSE)</f>
        <v>#N/A</v>
      </c>
      <c r="AD344" t="str">
        <f>IF(Table1[[#This Row],[Position 1]]=0,"/0SAP/",MID(Table1[[#This Row],[Final Obj Name]],Table1[[#This Row],[Position 1]],Table1[[#This Row],[Position 2]]-Table1[[#This Row],[Position 1]]+1))</f>
        <v>/0SAP/</v>
      </c>
      <c r="AE344" t="str">
        <f>VLOOKUP(Table1[[#This Row],[/* Object]],Namespace!A:J,10,FALSE)</f>
        <v>SAP AG</v>
      </c>
      <c r="AF344" t="str">
        <f>IF(VLOOKUP(Table1[[#This Row],[/* Object]],Namespace!A:J,4,FALSE)=0,"",VLOOKUP(Table1[[#This Row],[/* Object]],Namespace!A:J,4,FALSE))</f>
        <v>X</v>
      </c>
      <c r="AG344" t="str">
        <f>IF(VLOOKUP(Table1[[#This Row],[/* Object]],Namespace!A:J,5,FALSE)=0,"",VLOOKUP(Table1[[#This Row],[/* Object]],Namespace!A:J,5,FALSE))</f>
        <v>X</v>
      </c>
      <c r="AH344" t="str">
        <f>IF(VLOOKUP(Table1[[#This Row],[/* Object]],Namespace!A:J,6,FALSE)=0,"",VLOOKUP(Table1[[#This Row],[/* Object]],Namespace!A:J,6,FALSE))</f>
        <v/>
      </c>
      <c r="AI344">
        <f>IFERROR(FIND("/",Table1[[#This Row],[Final Obj Name]],1),0)</f>
        <v>0</v>
      </c>
      <c r="AJ344">
        <f>IF(Table1[[#This Row],[Position 1]]=0,0,FIND("/",Table1[[#This Row],[Final Obj Name]],Table1[[#This Row],[Position 1]]+1))</f>
        <v>0</v>
      </c>
      <c r="AK344" t="str">
        <f>IF(LEFT(Table1[[#This Row],[Final Obj Name]],1)="/",LEFT(Table1[[#This Row],[Final Obj Name]],FIND("/",Table1[[#This Row],[Final Obj Name]],2)),"/0SAP/")</f>
        <v>/0SAP/</v>
      </c>
    </row>
    <row r="345">
      <c r="A345" t="str">
        <v>DEVC</v>
      </c>
      <c r="B345" t="str">
        <v>ZMDG_C_I_0108</v>
      </c>
      <c r="C345" t="str">
        <v>DEVC</v>
      </c>
      <c r="D345" t="str">
        <v>ZMDG_C_I_0108</v>
      </c>
      <c r="G345" t="str">
        <v>ALL</v>
      </c>
      <c r="L345" t="str">
        <v>NSHAIK</v>
      </c>
      <c r="M345">
        <v>46009</v>
      </c>
      <c r="N345">
        <v>0.28613425925926</v>
      </c>
      <c r="S345" t="str">
        <v>X</v>
      </c>
      <c r="W345" t="str">
        <v>SP1K961217</v>
      </c>
      <c r="Y345">
        <f>IF(Table1[[#This Row],[OPERATION]]="NOTE","NOTE",Table1[[#This Row],[SUB_TYPE]])</f>
        <v>0</v>
      </c>
      <c r="Z345">
        <f>IF(Table1[[#This Row],[OPERATION]]="NOTE",NUMBERVALUE(LEFT(Table1[[#This Row],[MOD_NAME]],LEN(Table1[[#This Row],[MOD_NAME]])-4)),Table1[[#This Row],[SUB_NAME]])</f>
        <v>0</v>
      </c>
      <c r="AA345" t="str">
        <f>CONCAT(Table1[[#This Row],[Final Obj Type]],"|",Table1[[#This Row],[Final Obj Name]])</f>
        <v>0|0</v>
      </c>
      <c r="AB345" t="e">
        <f>VLOOKUP(Table1[[#This Row],[Final Obj Type]],Classification!B:E,3,FALSE)</f>
        <v>#N/A</v>
      </c>
      <c r="AC345" t="e">
        <f>VLOOKUP(Table1[[#This Row],[Final Obj Type]],Classification!B:E,4,FALSE)</f>
        <v>#N/A</v>
      </c>
      <c r="AD345" t="str">
        <f>IF(Table1[[#This Row],[Position 1]]=0,"/0SAP/",MID(Table1[[#This Row],[Final Obj Name]],Table1[[#This Row],[Position 1]],Table1[[#This Row],[Position 2]]-Table1[[#This Row],[Position 1]]+1))</f>
        <v>/0SAP/</v>
      </c>
      <c r="AE345" t="str">
        <f>VLOOKUP(Table1[[#This Row],[/* Object]],Namespace!A:J,10,FALSE)</f>
        <v>SAP AG</v>
      </c>
      <c r="AF345" t="str">
        <f>IF(VLOOKUP(Table1[[#This Row],[/* Object]],Namespace!A:J,4,FALSE)=0,"",VLOOKUP(Table1[[#This Row],[/* Object]],Namespace!A:J,4,FALSE))</f>
        <v>X</v>
      </c>
      <c r="AG345" t="str">
        <f>IF(VLOOKUP(Table1[[#This Row],[/* Object]],Namespace!A:J,5,FALSE)=0,"",VLOOKUP(Table1[[#This Row],[/* Object]],Namespace!A:J,5,FALSE))</f>
        <v>X</v>
      </c>
      <c r="AH345" t="str">
        <f>IF(VLOOKUP(Table1[[#This Row],[/* Object]],Namespace!A:J,6,FALSE)=0,"",VLOOKUP(Table1[[#This Row],[/* Object]],Namespace!A:J,6,FALSE))</f>
        <v/>
      </c>
      <c r="AI345">
        <f>IFERROR(FIND("/",Table1[[#This Row],[Final Obj Name]],1),0)</f>
        <v>0</v>
      </c>
      <c r="AJ345">
        <f>IF(Table1[[#This Row],[Position 1]]=0,0,FIND("/",Table1[[#This Row],[Final Obj Name]],Table1[[#This Row],[Position 1]]+1))</f>
        <v>0</v>
      </c>
      <c r="AK345" t="str">
        <f>IF(LEFT(Table1[[#This Row],[Final Obj Name]],1)="/",LEFT(Table1[[#This Row],[Final Obj Name]],FIND("/",Table1[[#This Row],[Final Obj Name]],2)),"/0SAP/")</f>
        <v>/0SAP/</v>
      </c>
    </row>
    <row r="346">
      <c r="A346" t="str">
        <v>DEVC</v>
      </c>
      <c r="B346" t="str">
        <v>ZMDG_C_I_0109</v>
      </c>
      <c r="C346" t="str">
        <v>DEVC</v>
      </c>
      <c r="D346" t="str">
        <v>ZMDG_C_I_0109</v>
      </c>
      <c r="G346" t="str">
        <v>ALL</v>
      </c>
      <c r="L346" t="str">
        <v>NSHAIK</v>
      </c>
      <c r="M346">
        <v>46009</v>
      </c>
      <c r="N346">
        <v>0.28638888888889</v>
      </c>
      <c r="S346" t="str">
        <v>X</v>
      </c>
      <c r="W346" t="str">
        <v>SP1K961217</v>
      </c>
      <c r="Y346">
        <f>IF(Table1[[#This Row],[OPERATION]]="NOTE","NOTE",Table1[[#This Row],[SUB_TYPE]])</f>
        <v>0</v>
      </c>
      <c r="Z346">
        <f>IF(Table1[[#This Row],[OPERATION]]="NOTE",NUMBERVALUE(LEFT(Table1[[#This Row],[MOD_NAME]],LEN(Table1[[#This Row],[MOD_NAME]])-4)),Table1[[#This Row],[SUB_NAME]])</f>
        <v>0</v>
      </c>
      <c r="AA346" t="str">
        <f>CONCAT(Table1[[#This Row],[Final Obj Type]],"|",Table1[[#This Row],[Final Obj Name]])</f>
        <v>0|0</v>
      </c>
      <c r="AB346" t="e">
        <f>VLOOKUP(Table1[[#This Row],[Final Obj Type]],Classification!B:E,3,FALSE)</f>
        <v>#N/A</v>
      </c>
      <c r="AC346" t="e">
        <f>VLOOKUP(Table1[[#This Row],[Final Obj Type]],Classification!B:E,4,FALSE)</f>
        <v>#N/A</v>
      </c>
      <c r="AD346" t="str">
        <f>IF(Table1[[#This Row],[Position 1]]=0,"/0SAP/",MID(Table1[[#This Row],[Final Obj Name]],Table1[[#This Row],[Position 1]],Table1[[#This Row],[Position 2]]-Table1[[#This Row],[Position 1]]+1))</f>
        <v>/0SAP/</v>
      </c>
      <c r="AE346" t="str">
        <f>VLOOKUP(Table1[[#This Row],[/* Object]],Namespace!A:J,10,FALSE)</f>
        <v>SAP AG</v>
      </c>
      <c r="AF346" t="str">
        <f>IF(VLOOKUP(Table1[[#This Row],[/* Object]],Namespace!A:J,4,FALSE)=0,"",VLOOKUP(Table1[[#This Row],[/* Object]],Namespace!A:J,4,FALSE))</f>
        <v>X</v>
      </c>
      <c r="AG346" t="str">
        <f>IF(VLOOKUP(Table1[[#This Row],[/* Object]],Namespace!A:J,5,FALSE)=0,"",VLOOKUP(Table1[[#This Row],[/* Object]],Namespace!A:J,5,FALSE))</f>
        <v>X</v>
      </c>
      <c r="AH346" t="str">
        <f>IF(VLOOKUP(Table1[[#This Row],[/* Object]],Namespace!A:J,6,FALSE)=0,"",VLOOKUP(Table1[[#This Row],[/* Object]],Namespace!A:J,6,FALSE))</f>
        <v/>
      </c>
      <c r="AI346">
        <f>IFERROR(FIND("/",Table1[[#This Row],[Final Obj Name]],1),0)</f>
        <v>0</v>
      </c>
      <c r="AJ346">
        <f>IF(Table1[[#This Row],[Position 1]]=0,0,FIND("/",Table1[[#This Row],[Final Obj Name]],Table1[[#This Row],[Position 1]]+1))</f>
        <v>0</v>
      </c>
      <c r="AK346" t="str">
        <f>IF(LEFT(Table1[[#This Row],[Final Obj Name]],1)="/",LEFT(Table1[[#This Row],[Final Obj Name]],FIND("/",Table1[[#This Row],[Final Obj Name]],2)),"/0SAP/")</f>
        <v>/0SAP/</v>
      </c>
    </row>
    <row r="347">
      <c r="A347" t="str">
        <v>DEVC</v>
      </c>
      <c r="B347" t="str">
        <v>ZMDG_C_I_0114</v>
      </c>
      <c r="C347" t="str">
        <v>DEVC</v>
      </c>
      <c r="D347" t="str">
        <v>ZMDG_C_I_0114</v>
      </c>
      <c r="G347" t="str">
        <v>ALL</v>
      </c>
      <c r="L347" t="str">
        <v>NSHAIK</v>
      </c>
      <c r="M347">
        <v>46009</v>
      </c>
      <c r="N347">
        <v>0.2865162037037</v>
      </c>
      <c r="S347" t="str">
        <v>X</v>
      </c>
      <c r="W347" t="str">
        <v>SP1K961217</v>
      </c>
      <c r="Y347">
        <f>IF(Table1[[#This Row],[OPERATION]]="NOTE","NOTE",Table1[[#This Row],[SUB_TYPE]])</f>
        <v>0</v>
      </c>
      <c r="Z347">
        <f>IF(Table1[[#This Row],[OPERATION]]="NOTE",NUMBERVALUE(LEFT(Table1[[#This Row],[MOD_NAME]],LEN(Table1[[#This Row],[MOD_NAME]])-4)),Table1[[#This Row],[SUB_NAME]])</f>
        <v>0</v>
      </c>
      <c r="AA347" t="str">
        <f>CONCAT(Table1[[#This Row],[Final Obj Type]],"|",Table1[[#This Row],[Final Obj Name]])</f>
        <v>0|0</v>
      </c>
      <c r="AB347" t="e">
        <f>VLOOKUP(Table1[[#This Row],[Final Obj Type]],Classification!B:E,3,FALSE)</f>
        <v>#N/A</v>
      </c>
      <c r="AC347" t="e">
        <f>VLOOKUP(Table1[[#This Row],[Final Obj Type]],Classification!B:E,4,FALSE)</f>
        <v>#N/A</v>
      </c>
      <c r="AD347" t="str">
        <f>IF(Table1[[#This Row],[Position 1]]=0,"/0SAP/",MID(Table1[[#This Row],[Final Obj Name]],Table1[[#This Row],[Position 1]],Table1[[#This Row],[Position 2]]-Table1[[#This Row],[Position 1]]+1))</f>
        <v>/0SAP/</v>
      </c>
      <c r="AE347" t="str">
        <f>VLOOKUP(Table1[[#This Row],[/* Object]],Namespace!A:J,10,FALSE)</f>
        <v>SAP AG</v>
      </c>
      <c r="AF347" t="str">
        <f>IF(VLOOKUP(Table1[[#This Row],[/* Object]],Namespace!A:J,4,FALSE)=0,"",VLOOKUP(Table1[[#This Row],[/* Object]],Namespace!A:J,4,FALSE))</f>
        <v>X</v>
      </c>
      <c r="AG347" t="str">
        <f>IF(VLOOKUP(Table1[[#This Row],[/* Object]],Namespace!A:J,5,FALSE)=0,"",VLOOKUP(Table1[[#This Row],[/* Object]],Namespace!A:J,5,FALSE))</f>
        <v>X</v>
      </c>
      <c r="AH347" t="str">
        <f>IF(VLOOKUP(Table1[[#This Row],[/* Object]],Namespace!A:J,6,FALSE)=0,"",VLOOKUP(Table1[[#This Row],[/* Object]],Namespace!A:J,6,FALSE))</f>
        <v/>
      </c>
      <c r="AI347">
        <f>IFERROR(FIND("/",Table1[[#This Row],[Final Obj Name]],1),0)</f>
        <v>0</v>
      </c>
      <c r="AJ347">
        <f>IF(Table1[[#This Row],[Position 1]]=0,0,FIND("/",Table1[[#This Row],[Final Obj Name]],Table1[[#This Row],[Position 1]]+1))</f>
        <v>0</v>
      </c>
      <c r="AK347" t="str">
        <f>IF(LEFT(Table1[[#This Row],[Final Obj Name]],1)="/",LEFT(Table1[[#This Row],[Final Obj Name]],FIND("/",Table1[[#This Row],[Final Obj Name]],2)),"/0SAP/")</f>
        <v>/0SAP/</v>
      </c>
    </row>
    <row r="348">
      <c r="A348" t="str">
        <v>DEVC</v>
      </c>
      <c r="B348" t="str">
        <v>ZMDG_C_I_0116</v>
      </c>
      <c r="C348" t="str">
        <v>DEVC</v>
      </c>
      <c r="D348" t="str">
        <v>ZMDG_C_I_0116</v>
      </c>
      <c r="G348" t="str">
        <v>ALL</v>
      </c>
      <c r="L348" t="str">
        <v>NSHAIK</v>
      </c>
      <c r="M348">
        <v>46009</v>
      </c>
      <c r="N348">
        <v>0.28664351851852</v>
      </c>
      <c r="S348" t="str">
        <v>X</v>
      </c>
      <c r="W348" t="str">
        <v>SP1K961217</v>
      </c>
      <c r="Y348">
        <f>IF(Table1[[#This Row],[OPERATION]]="NOTE","NOTE",Table1[[#This Row],[SUB_TYPE]])</f>
        <v>0</v>
      </c>
      <c r="Z348">
        <f>IF(Table1[[#This Row],[OPERATION]]="NOTE",NUMBERVALUE(LEFT(Table1[[#This Row],[MOD_NAME]],LEN(Table1[[#This Row],[MOD_NAME]])-4)),Table1[[#This Row],[SUB_NAME]])</f>
        <v>0</v>
      </c>
      <c r="AA348" t="str">
        <f>CONCAT(Table1[[#This Row],[Final Obj Type]],"|",Table1[[#This Row],[Final Obj Name]])</f>
        <v>0|0</v>
      </c>
      <c r="AB348" t="e">
        <f>VLOOKUP(Table1[[#This Row],[Final Obj Type]],Classification!B:E,3,FALSE)</f>
        <v>#N/A</v>
      </c>
      <c r="AC348" t="e">
        <f>VLOOKUP(Table1[[#This Row],[Final Obj Type]],Classification!B:E,4,FALSE)</f>
        <v>#N/A</v>
      </c>
      <c r="AD348" t="str">
        <f>IF(Table1[[#This Row],[Position 1]]=0,"/0SAP/",MID(Table1[[#This Row],[Final Obj Name]],Table1[[#This Row],[Position 1]],Table1[[#This Row],[Position 2]]-Table1[[#This Row],[Position 1]]+1))</f>
        <v>/0SAP/</v>
      </c>
      <c r="AE348" t="str">
        <f>VLOOKUP(Table1[[#This Row],[/* Object]],Namespace!A:J,10,FALSE)</f>
        <v>SAP AG</v>
      </c>
      <c r="AF348" t="str">
        <f>IF(VLOOKUP(Table1[[#This Row],[/* Object]],Namespace!A:J,4,FALSE)=0,"",VLOOKUP(Table1[[#This Row],[/* Object]],Namespace!A:J,4,FALSE))</f>
        <v>X</v>
      </c>
      <c r="AG348" t="str">
        <f>IF(VLOOKUP(Table1[[#This Row],[/* Object]],Namespace!A:J,5,FALSE)=0,"",VLOOKUP(Table1[[#This Row],[/* Object]],Namespace!A:J,5,FALSE))</f>
        <v>X</v>
      </c>
      <c r="AH348" t="str">
        <f>IF(VLOOKUP(Table1[[#This Row],[/* Object]],Namespace!A:J,6,FALSE)=0,"",VLOOKUP(Table1[[#This Row],[/* Object]],Namespace!A:J,6,FALSE))</f>
        <v/>
      </c>
      <c r="AI348">
        <f>IFERROR(FIND("/",Table1[[#This Row],[Final Obj Name]],1),0)</f>
        <v>0</v>
      </c>
      <c r="AJ348">
        <f>IF(Table1[[#This Row],[Position 1]]=0,0,FIND("/",Table1[[#This Row],[Final Obj Name]],Table1[[#This Row],[Position 1]]+1))</f>
        <v>0</v>
      </c>
      <c r="AK348" t="str">
        <f>IF(LEFT(Table1[[#This Row],[Final Obj Name]],1)="/",LEFT(Table1[[#This Row],[Final Obj Name]],FIND("/",Table1[[#This Row],[Final Obj Name]],2)),"/0SAP/")</f>
        <v>/0SAP/</v>
      </c>
    </row>
    <row r="349">
      <c r="A349" t="str">
        <v>DEVC</v>
      </c>
      <c r="B349" t="str">
        <v>ZMDG_C_I_0117</v>
      </c>
      <c r="C349" t="str">
        <v>DEVC</v>
      </c>
      <c r="D349" t="str">
        <v>ZMDG_C_I_0117</v>
      </c>
      <c r="G349" t="str">
        <v>ALL</v>
      </c>
      <c r="L349" t="str">
        <v>NSHAIK</v>
      </c>
      <c r="M349">
        <v>46009</v>
      </c>
      <c r="N349">
        <v>0.28677083333333</v>
      </c>
      <c r="S349" t="str">
        <v>X</v>
      </c>
      <c r="W349" t="str">
        <v>SP1K961217</v>
      </c>
      <c r="Y349">
        <f>IF(Table1[[#This Row],[OPERATION]]="NOTE","NOTE",Table1[[#This Row],[SUB_TYPE]])</f>
        <v>0</v>
      </c>
      <c r="Z349">
        <f>IF(Table1[[#This Row],[OPERATION]]="NOTE",NUMBERVALUE(LEFT(Table1[[#This Row],[MOD_NAME]],LEN(Table1[[#This Row],[MOD_NAME]])-4)),Table1[[#This Row],[SUB_NAME]])</f>
        <v>0</v>
      </c>
      <c r="AA349" t="str">
        <f>CONCAT(Table1[[#This Row],[Final Obj Type]],"|",Table1[[#This Row],[Final Obj Name]])</f>
        <v>0|0</v>
      </c>
      <c r="AB349" t="e">
        <f>VLOOKUP(Table1[[#This Row],[Final Obj Type]],Classification!B:E,3,FALSE)</f>
        <v>#N/A</v>
      </c>
      <c r="AC349" t="e">
        <f>VLOOKUP(Table1[[#This Row],[Final Obj Type]],Classification!B:E,4,FALSE)</f>
        <v>#N/A</v>
      </c>
      <c r="AD349" t="str">
        <f>IF(Table1[[#This Row],[Position 1]]=0,"/0SAP/",MID(Table1[[#This Row],[Final Obj Name]],Table1[[#This Row],[Position 1]],Table1[[#This Row],[Position 2]]-Table1[[#This Row],[Position 1]]+1))</f>
        <v>/0SAP/</v>
      </c>
      <c r="AE349" t="str">
        <f>VLOOKUP(Table1[[#This Row],[/* Object]],Namespace!A:J,10,FALSE)</f>
        <v>SAP AG</v>
      </c>
      <c r="AF349" t="str">
        <f>IF(VLOOKUP(Table1[[#This Row],[/* Object]],Namespace!A:J,4,FALSE)=0,"",VLOOKUP(Table1[[#This Row],[/* Object]],Namespace!A:J,4,FALSE))</f>
        <v>X</v>
      </c>
      <c r="AG349" t="str">
        <f>IF(VLOOKUP(Table1[[#This Row],[/* Object]],Namespace!A:J,5,FALSE)=0,"",VLOOKUP(Table1[[#This Row],[/* Object]],Namespace!A:J,5,FALSE))</f>
        <v>X</v>
      </c>
      <c r="AH349" t="str">
        <f>IF(VLOOKUP(Table1[[#This Row],[/* Object]],Namespace!A:J,6,FALSE)=0,"",VLOOKUP(Table1[[#This Row],[/* Object]],Namespace!A:J,6,FALSE))</f>
        <v/>
      </c>
      <c r="AI349">
        <f>IFERROR(FIND("/",Table1[[#This Row],[Final Obj Name]],1),0)</f>
        <v>0</v>
      </c>
      <c r="AJ349">
        <f>IF(Table1[[#This Row],[Position 1]]=0,0,FIND("/",Table1[[#This Row],[Final Obj Name]],Table1[[#This Row],[Position 1]]+1))</f>
        <v>0</v>
      </c>
      <c r="AK349" t="str">
        <f>IF(LEFT(Table1[[#This Row],[Final Obj Name]],1)="/",LEFT(Table1[[#This Row],[Final Obj Name]],FIND("/",Table1[[#This Row],[Final Obj Name]],2)),"/0SAP/")</f>
        <v>/0SAP/</v>
      </c>
    </row>
    <row r="350">
      <c r="A350" t="str">
        <v>DEVC</v>
      </c>
      <c r="B350" t="str">
        <v>ZMDG_C_W</v>
      </c>
      <c r="C350" t="str">
        <v>DEVC</v>
      </c>
      <c r="D350" t="str">
        <v>ZMDG_C_W</v>
      </c>
      <c r="G350" t="str">
        <v>ALL</v>
      </c>
      <c r="L350" t="str">
        <v>NSHAIK</v>
      </c>
      <c r="M350">
        <v>46009</v>
      </c>
      <c r="N350">
        <v>0.28689814814815</v>
      </c>
      <c r="S350" t="str">
        <v>X</v>
      </c>
      <c r="W350" t="str">
        <v>SP1K961217</v>
      </c>
      <c r="Y350">
        <f>IF(Table1[[#This Row],[OPERATION]]="NOTE","NOTE",Table1[[#This Row],[SUB_TYPE]])</f>
        <v>0</v>
      </c>
      <c r="Z350">
        <f>IF(Table1[[#This Row],[OPERATION]]="NOTE",NUMBERVALUE(LEFT(Table1[[#This Row],[MOD_NAME]],LEN(Table1[[#This Row],[MOD_NAME]])-4)),Table1[[#This Row],[SUB_NAME]])</f>
        <v>0</v>
      </c>
      <c r="AA350" t="str">
        <f>CONCAT(Table1[[#This Row],[Final Obj Type]],"|",Table1[[#This Row],[Final Obj Name]])</f>
        <v>0|0</v>
      </c>
      <c r="AB350" t="e">
        <f>VLOOKUP(Table1[[#This Row],[Final Obj Type]],Classification!B:E,3,FALSE)</f>
        <v>#N/A</v>
      </c>
      <c r="AC350" t="e">
        <f>VLOOKUP(Table1[[#This Row],[Final Obj Type]],Classification!B:E,4,FALSE)</f>
        <v>#N/A</v>
      </c>
      <c r="AD350" t="str">
        <f>IF(Table1[[#This Row],[Position 1]]=0,"/0SAP/",MID(Table1[[#This Row],[Final Obj Name]],Table1[[#This Row],[Position 1]],Table1[[#This Row],[Position 2]]-Table1[[#This Row],[Position 1]]+1))</f>
        <v>/0SAP/</v>
      </c>
      <c r="AE350" t="str">
        <f>VLOOKUP(Table1[[#This Row],[/* Object]],Namespace!A:J,10,FALSE)</f>
        <v>SAP AG</v>
      </c>
      <c r="AF350" t="str">
        <f>IF(VLOOKUP(Table1[[#This Row],[/* Object]],Namespace!A:J,4,FALSE)=0,"",VLOOKUP(Table1[[#This Row],[/* Object]],Namespace!A:J,4,FALSE))</f>
        <v>X</v>
      </c>
      <c r="AG350" t="str">
        <f>IF(VLOOKUP(Table1[[#This Row],[/* Object]],Namespace!A:J,5,FALSE)=0,"",VLOOKUP(Table1[[#This Row],[/* Object]],Namespace!A:J,5,FALSE))</f>
        <v>X</v>
      </c>
      <c r="AH350" t="str">
        <f>IF(VLOOKUP(Table1[[#This Row],[/* Object]],Namespace!A:J,6,FALSE)=0,"",VLOOKUP(Table1[[#This Row],[/* Object]],Namespace!A:J,6,FALSE))</f>
        <v/>
      </c>
      <c r="AI350">
        <f>IFERROR(FIND("/",Table1[[#This Row],[Final Obj Name]],1),0)</f>
        <v>0</v>
      </c>
      <c r="AJ350">
        <f>IF(Table1[[#This Row],[Position 1]]=0,0,FIND("/",Table1[[#This Row],[Final Obj Name]],Table1[[#This Row],[Position 1]]+1))</f>
        <v>0</v>
      </c>
      <c r="AK350" t="str">
        <f>IF(LEFT(Table1[[#This Row],[Final Obj Name]],1)="/",LEFT(Table1[[#This Row],[Final Obj Name]],FIND("/",Table1[[#This Row],[Final Obj Name]],2)),"/0SAP/")</f>
        <v>/0SAP/</v>
      </c>
    </row>
    <row r="351">
      <c r="A351" t="str">
        <v>DEVC</v>
      </c>
      <c r="B351" t="str">
        <v>ZMDG_M</v>
      </c>
      <c r="C351" t="str">
        <v>DEVC</v>
      </c>
      <c r="D351" t="str">
        <v>ZMDG_M</v>
      </c>
      <c r="G351" t="str">
        <v>ALL</v>
      </c>
      <c r="L351" t="str">
        <v>NSHAIK</v>
      </c>
      <c r="M351">
        <v>46009</v>
      </c>
      <c r="N351">
        <v>0.28702546296296</v>
      </c>
      <c r="S351" t="str">
        <v>X</v>
      </c>
      <c r="W351" t="str">
        <v>SP1K961217</v>
      </c>
      <c r="Y351">
        <f>IF(Table1[[#This Row],[OPERATION]]="NOTE","NOTE",Table1[[#This Row],[SUB_TYPE]])</f>
        <v>0</v>
      </c>
      <c r="Z351">
        <f>IF(Table1[[#This Row],[OPERATION]]="NOTE",NUMBERVALUE(LEFT(Table1[[#This Row],[MOD_NAME]],LEN(Table1[[#This Row],[MOD_NAME]])-4)),Table1[[#This Row],[SUB_NAME]])</f>
        <v>0</v>
      </c>
      <c r="AA351" t="str">
        <f>CONCAT(Table1[[#This Row],[Final Obj Type]],"|",Table1[[#This Row],[Final Obj Name]])</f>
        <v>0|0</v>
      </c>
      <c r="AB351" t="e">
        <f>VLOOKUP(Table1[[#This Row],[Final Obj Type]],Classification!B:E,3,FALSE)</f>
        <v>#N/A</v>
      </c>
      <c r="AC351" t="e">
        <f>VLOOKUP(Table1[[#This Row],[Final Obj Type]],Classification!B:E,4,FALSE)</f>
        <v>#N/A</v>
      </c>
      <c r="AD351" t="str">
        <f>IF(Table1[[#This Row],[Position 1]]=0,"/0SAP/",MID(Table1[[#This Row],[Final Obj Name]],Table1[[#This Row],[Position 1]],Table1[[#This Row],[Position 2]]-Table1[[#This Row],[Position 1]]+1))</f>
        <v>/0SAP/</v>
      </c>
      <c r="AE351" t="str">
        <f>VLOOKUP(Table1[[#This Row],[/* Object]],Namespace!A:J,10,FALSE)</f>
        <v>SAP AG</v>
      </c>
      <c r="AF351" t="str">
        <f>IF(VLOOKUP(Table1[[#This Row],[/* Object]],Namespace!A:J,4,FALSE)=0,"",VLOOKUP(Table1[[#This Row],[/* Object]],Namespace!A:J,4,FALSE))</f>
        <v>X</v>
      </c>
      <c r="AG351" t="str">
        <f>IF(VLOOKUP(Table1[[#This Row],[/* Object]],Namespace!A:J,5,FALSE)=0,"",VLOOKUP(Table1[[#This Row],[/* Object]],Namespace!A:J,5,FALSE))</f>
        <v>X</v>
      </c>
      <c r="AH351" t="str">
        <f>IF(VLOOKUP(Table1[[#This Row],[/* Object]],Namespace!A:J,6,FALSE)=0,"",VLOOKUP(Table1[[#This Row],[/* Object]],Namespace!A:J,6,FALSE))</f>
        <v/>
      </c>
      <c r="AI351">
        <f>IFERROR(FIND("/",Table1[[#This Row],[Final Obj Name]],1),0)</f>
        <v>0</v>
      </c>
      <c r="AJ351">
        <f>IF(Table1[[#This Row],[Position 1]]=0,0,FIND("/",Table1[[#This Row],[Final Obj Name]],Table1[[#This Row],[Position 1]]+1))</f>
        <v>0</v>
      </c>
      <c r="AK351" t="str">
        <f>IF(LEFT(Table1[[#This Row],[Final Obj Name]],1)="/",LEFT(Table1[[#This Row],[Final Obj Name]],FIND("/",Table1[[#This Row],[Final Obj Name]],2)),"/0SAP/")</f>
        <v>/0SAP/</v>
      </c>
    </row>
    <row r="352">
      <c r="A352" t="str">
        <v>DEVC</v>
      </c>
      <c r="B352" t="str">
        <v>ZMDG_M_E</v>
      </c>
      <c r="C352" t="str">
        <v>DEVC</v>
      </c>
      <c r="D352" t="str">
        <v>ZMDG_M_E</v>
      </c>
      <c r="G352" t="str">
        <v>ALL</v>
      </c>
      <c r="L352" t="str">
        <v>NSHAIK</v>
      </c>
      <c r="M352">
        <v>46009</v>
      </c>
      <c r="N352">
        <v>0.28715277777778</v>
      </c>
      <c r="S352" t="str">
        <v>X</v>
      </c>
      <c r="W352" t="str">
        <v>SP1K961217</v>
      </c>
      <c r="Y352">
        <f>IF(Table1[[#This Row],[OPERATION]]="NOTE","NOTE",Table1[[#This Row],[SUB_TYPE]])</f>
        <v>0</v>
      </c>
      <c r="Z352">
        <f>IF(Table1[[#This Row],[OPERATION]]="NOTE",NUMBERVALUE(LEFT(Table1[[#This Row],[MOD_NAME]],LEN(Table1[[#This Row],[MOD_NAME]])-4)),Table1[[#This Row],[SUB_NAME]])</f>
        <v>0</v>
      </c>
      <c r="AA352" t="str">
        <f>CONCAT(Table1[[#This Row],[Final Obj Type]],"|",Table1[[#This Row],[Final Obj Name]])</f>
        <v>0|0</v>
      </c>
      <c r="AB352" t="e">
        <f>VLOOKUP(Table1[[#This Row],[Final Obj Type]],Classification!B:E,3,FALSE)</f>
        <v>#N/A</v>
      </c>
      <c r="AC352" t="e">
        <f>VLOOKUP(Table1[[#This Row],[Final Obj Type]],Classification!B:E,4,FALSE)</f>
        <v>#N/A</v>
      </c>
      <c r="AD352" t="str">
        <f>IF(Table1[[#This Row],[Position 1]]=0,"/0SAP/",MID(Table1[[#This Row],[Final Obj Name]],Table1[[#This Row],[Position 1]],Table1[[#This Row],[Position 2]]-Table1[[#This Row],[Position 1]]+1))</f>
        <v>/0SAP/</v>
      </c>
      <c r="AE352" t="str">
        <f>VLOOKUP(Table1[[#This Row],[/* Object]],Namespace!A:J,10,FALSE)</f>
        <v>SAP AG</v>
      </c>
      <c r="AF352" t="str">
        <f>IF(VLOOKUP(Table1[[#This Row],[/* Object]],Namespace!A:J,4,FALSE)=0,"",VLOOKUP(Table1[[#This Row],[/* Object]],Namespace!A:J,4,FALSE))</f>
        <v>X</v>
      </c>
      <c r="AG352" t="str">
        <f>IF(VLOOKUP(Table1[[#This Row],[/* Object]],Namespace!A:J,5,FALSE)=0,"",VLOOKUP(Table1[[#This Row],[/* Object]],Namespace!A:J,5,FALSE))</f>
        <v>X</v>
      </c>
      <c r="AH352" t="str">
        <f>IF(VLOOKUP(Table1[[#This Row],[/* Object]],Namespace!A:J,6,FALSE)=0,"",VLOOKUP(Table1[[#This Row],[/* Object]],Namespace!A:J,6,FALSE))</f>
        <v/>
      </c>
      <c r="AI352">
        <f>IFERROR(FIND("/",Table1[[#This Row],[Final Obj Name]],1),0)</f>
        <v>0</v>
      </c>
      <c r="AJ352">
        <f>IF(Table1[[#This Row],[Position 1]]=0,0,FIND("/",Table1[[#This Row],[Final Obj Name]],Table1[[#This Row],[Position 1]]+1))</f>
        <v>0</v>
      </c>
      <c r="AK352" t="str">
        <f>IF(LEFT(Table1[[#This Row],[Final Obj Name]],1)="/",LEFT(Table1[[#This Row],[Final Obj Name]],FIND("/",Table1[[#This Row],[Final Obj Name]],2)),"/0SAP/")</f>
        <v>/0SAP/</v>
      </c>
    </row>
    <row r="353">
      <c r="A353" t="str">
        <v>DEVC</v>
      </c>
      <c r="B353" t="str">
        <v>ZMDG_M_E_0302</v>
      </c>
      <c r="C353" t="str">
        <v>DEVC</v>
      </c>
      <c r="D353" t="str">
        <v>ZMDG_M_E_0302</v>
      </c>
      <c r="G353" t="str">
        <v>ALL</v>
      </c>
      <c r="L353" t="str">
        <v>NSHAIK</v>
      </c>
      <c r="M353">
        <v>46009</v>
      </c>
      <c r="N353">
        <v>0.28726851851852</v>
      </c>
      <c r="S353" t="str">
        <v>X</v>
      </c>
      <c r="W353" t="str">
        <v>SP1K961217</v>
      </c>
      <c r="Y353">
        <f>IF(Table1[[#This Row],[OPERATION]]="NOTE","NOTE",Table1[[#This Row],[SUB_TYPE]])</f>
        <v>0</v>
      </c>
      <c r="Z353">
        <f>IF(Table1[[#This Row],[OPERATION]]="NOTE",NUMBERVALUE(LEFT(Table1[[#This Row],[MOD_NAME]],LEN(Table1[[#This Row],[MOD_NAME]])-4)),Table1[[#This Row],[SUB_NAME]])</f>
        <v>0</v>
      </c>
      <c r="AA353" t="str">
        <f>CONCAT(Table1[[#This Row],[Final Obj Type]],"|",Table1[[#This Row],[Final Obj Name]])</f>
        <v>0|0</v>
      </c>
      <c r="AB353" t="e">
        <f>VLOOKUP(Table1[[#This Row],[Final Obj Type]],Classification!B:E,3,FALSE)</f>
        <v>#N/A</v>
      </c>
      <c r="AC353" t="e">
        <f>VLOOKUP(Table1[[#This Row],[Final Obj Type]],Classification!B:E,4,FALSE)</f>
        <v>#N/A</v>
      </c>
      <c r="AD353" t="str">
        <f>IF(Table1[[#This Row],[Position 1]]=0,"/0SAP/",MID(Table1[[#This Row],[Final Obj Name]],Table1[[#This Row],[Position 1]],Table1[[#This Row],[Position 2]]-Table1[[#This Row],[Position 1]]+1))</f>
        <v>/0SAP/</v>
      </c>
      <c r="AE353" t="str">
        <f>VLOOKUP(Table1[[#This Row],[/* Object]],Namespace!A:J,10,FALSE)</f>
        <v>SAP AG</v>
      </c>
      <c r="AF353" t="str">
        <f>IF(VLOOKUP(Table1[[#This Row],[/* Object]],Namespace!A:J,4,FALSE)=0,"",VLOOKUP(Table1[[#This Row],[/* Object]],Namespace!A:J,4,FALSE))</f>
        <v>X</v>
      </c>
      <c r="AG353" t="str">
        <f>IF(VLOOKUP(Table1[[#This Row],[/* Object]],Namespace!A:J,5,FALSE)=0,"",VLOOKUP(Table1[[#This Row],[/* Object]],Namespace!A:J,5,FALSE))</f>
        <v>X</v>
      </c>
      <c r="AH353" t="str">
        <f>IF(VLOOKUP(Table1[[#This Row],[/* Object]],Namespace!A:J,6,FALSE)=0,"",VLOOKUP(Table1[[#This Row],[/* Object]],Namespace!A:J,6,FALSE))</f>
        <v/>
      </c>
      <c r="AI353">
        <f>IFERROR(FIND("/",Table1[[#This Row],[Final Obj Name]],1),0)</f>
        <v>0</v>
      </c>
      <c r="AJ353">
        <f>IF(Table1[[#This Row],[Position 1]]=0,0,FIND("/",Table1[[#This Row],[Final Obj Name]],Table1[[#This Row],[Position 1]]+1))</f>
        <v>0</v>
      </c>
      <c r="AK353" t="str">
        <f>IF(LEFT(Table1[[#This Row],[Final Obj Name]],1)="/",LEFT(Table1[[#This Row],[Final Obj Name]],FIND("/",Table1[[#This Row],[Final Obj Name]],2)),"/0SAP/")</f>
        <v>/0SAP/</v>
      </c>
    </row>
    <row r="354">
      <c r="A354" t="str">
        <v>DEVC</v>
      </c>
      <c r="B354" t="str">
        <v>ZMDG_M_E_0303</v>
      </c>
      <c r="C354" t="str">
        <v>DEVC</v>
      </c>
      <c r="D354" t="str">
        <v>ZMDG_M_E_0303</v>
      </c>
      <c r="G354" t="str">
        <v>ALL</v>
      </c>
      <c r="L354" t="str">
        <v>NSHAIK</v>
      </c>
      <c r="M354">
        <v>46009</v>
      </c>
      <c r="N354">
        <v>0.28739583333333</v>
      </c>
      <c r="S354" t="str">
        <v>X</v>
      </c>
      <c r="W354" t="str">
        <v>SP1K961217</v>
      </c>
      <c r="Y354">
        <f>IF(Table1[[#This Row],[OPERATION]]="NOTE","NOTE",Table1[[#This Row],[SUB_TYPE]])</f>
        <v>0</v>
      </c>
      <c r="Z354">
        <f>IF(Table1[[#This Row],[OPERATION]]="NOTE",NUMBERVALUE(LEFT(Table1[[#This Row],[MOD_NAME]],LEN(Table1[[#This Row],[MOD_NAME]])-4)),Table1[[#This Row],[SUB_NAME]])</f>
        <v>0</v>
      </c>
      <c r="AA354" t="str">
        <f>CONCAT(Table1[[#This Row],[Final Obj Type]],"|",Table1[[#This Row],[Final Obj Name]])</f>
        <v>0|0</v>
      </c>
      <c r="AB354" t="e">
        <f>VLOOKUP(Table1[[#This Row],[Final Obj Type]],Classification!B:E,3,FALSE)</f>
        <v>#N/A</v>
      </c>
      <c r="AC354" t="e">
        <f>VLOOKUP(Table1[[#This Row],[Final Obj Type]],Classification!B:E,4,FALSE)</f>
        <v>#N/A</v>
      </c>
      <c r="AD354" t="str">
        <f>IF(Table1[[#This Row],[Position 1]]=0,"/0SAP/",MID(Table1[[#This Row],[Final Obj Name]],Table1[[#This Row],[Position 1]],Table1[[#This Row],[Position 2]]-Table1[[#This Row],[Position 1]]+1))</f>
        <v>/0SAP/</v>
      </c>
      <c r="AE354" t="str">
        <f>VLOOKUP(Table1[[#This Row],[/* Object]],Namespace!A:J,10,FALSE)</f>
        <v>SAP AG</v>
      </c>
      <c r="AF354" t="str">
        <f>IF(VLOOKUP(Table1[[#This Row],[/* Object]],Namespace!A:J,4,FALSE)=0,"",VLOOKUP(Table1[[#This Row],[/* Object]],Namespace!A:J,4,FALSE))</f>
        <v>X</v>
      </c>
      <c r="AG354" t="str">
        <f>IF(VLOOKUP(Table1[[#This Row],[/* Object]],Namespace!A:J,5,FALSE)=0,"",VLOOKUP(Table1[[#This Row],[/* Object]],Namespace!A:J,5,FALSE))</f>
        <v>X</v>
      </c>
      <c r="AH354" t="str">
        <f>IF(VLOOKUP(Table1[[#This Row],[/* Object]],Namespace!A:J,6,FALSE)=0,"",VLOOKUP(Table1[[#This Row],[/* Object]],Namespace!A:J,6,FALSE))</f>
        <v/>
      </c>
      <c r="AI354">
        <f>IFERROR(FIND("/",Table1[[#This Row],[Final Obj Name]],1),0)</f>
        <v>0</v>
      </c>
      <c r="AJ354">
        <f>IF(Table1[[#This Row],[Position 1]]=0,0,FIND("/",Table1[[#This Row],[Final Obj Name]],Table1[[#This Row],[Position 1]]+1))</f>
        <v>0</v>
      </c>
      <c r="AK354" t="str">
        <f>IF(LEFT(Table1[[#This Row],[Final Obj Name]],1)="/",LEFT(Table1[[#This Row],[Final Obj Name]],FIND("/",Table1[[#This Row],[Final Obj Name]],2)),"/0SAP/")</f>
        <v>/0SAP/</v>
      </c>
    </row>
    <row r="355">
      <c r="A355" t="str">
        <v>DEVC</v>
      </c>
      <c r="B355" t="str">
        <v>ZMDG_M_E_0308</v>
      </c>
      <c r="C355" t="str">
        <v>DEVC</v>
      </c>
      <c r="D355" t="str">
        <v>ZMDG_M_E_0308</v>
      </c>
      <c r="G355" t="str">
        <v>ALL</v>
      </c>
      <c r="L355" t="str">
        <v>NSHAIK</v>
      </c>
      <c r="M355">
        <v>46009</v>
      </c>
      <c r="N355">
        <v>0.28752314814815</v>
      </c>
      <c r="S355" t="str">
        <v>X</v>
      </c>
      <c r="W355" t="str">
        <v>SP1K961217</v>
      </c>
      <c r="Y355">
        <f>IF(Table1[[#This Row],[OPERATION]]="NOTE","NOTE",Table1[[#This Row],[SUB_TYPE]])</f>
        <v>0</v>
      </c>
      <c r="Z355">
        <f>IF(Table1[[#This Row],[OPERATION]]="NOTE",NUMBERVALUE(LEFT(Table1[[#This Row],[MOD_NAME]],LEN(Table1[[#This Row],[MOD_NAME]])-4)),Table1[[#This Row],[SUB_NAME]])</f>
        <v>0</v>
      </c>
      <c r="AA355" t="str">
        <f>CONCAT(Table1[[#This Row],[Final Obj Type]],"|",Table1[[#This Row],[Final Obj Name]])</f>
        <v>0|0</v>
      </c>
      <c r="AB355" t="e">
        <f>VLOOKUP(Table1[[#This Row],[Final Obj Type]],Classification!B:E,3,FALSE)</f>
        <v>#N/A</v>
      </c>
      <c r="AC355" t="e">
        <f>VLOOKUP(Table1[[#This Row],[Final Obj Type]],Classification!B:E,4,FALSE)</f>
        <v>#N/A</v>
      </c>
      <c r="AD355" t="str">
        <f>IF(Table1[[#This Row],[Position 1]]=0,"/0SAP/",MID(Table1[[#This Row],[Final Obj Name]],Table1[[#This Row],[Position 1]],Table1[[#This Row],[Position 2]]-Table1[[#This Row],[Position 1]]+1))</f>
        <v>/0SAP/</v>
      </c>
      <c r="AE355" t="str">
        <f>VLOOKUP(Table1[[#This Row],[/* Object]],Namespace!A:J,10,FALSE)</f>
        <v>SAP AG</v>
      </c>
      <c r="AF355" t="str">
        <f>IF(VLOOKUP(Table1[[#This Row],[/* Object]],Namespace!A:J,4,FALSE)=0,"",VLOOKUP(Table1[[#This Row],[/* Object]],Namespace!A:J,4,FALSE))</f>
        <v>X</v>
      </c>
      <c r="AG355" t="str">
        <f>IF(VLOOKUP(Table1[[#This Row],[/* Object]],Namespace!A:J,5,FALSE)=0,"",VLOOKUP(Table1[[#This Row],[/* Object]],Namespace!A:J,5,FALSE))</f>
        <v>X</v>
      </c>
      <c r="AH355" t="str">
        <f>IF(VLOOKUP(Table1[[#This Row],[/* Object]],Namespace!A:J,6,FALSE)=0,"",VLOOKUP(Table1[[#This Row],[/* Object]],Namespace!A:J,6,FALSE))</f>
        <v/>
      </c>
      <c r="AI355">
        <f>IFERROR(FIND("/",Table1[[#This Row],[Final Obj Name]],1),0)</f>
        <v>0</v>
      </c>
      <c r="AJ355">
        <f>IF(Table1[[#This Row],[Position 1]]=0,0,FIND("/",Table1[[#This Row],[Final Obj Name]],Table1[[#This Row],[Position 1]]+1))</f>
        <v>0</v>
      </c>
      <c r="AK355" t="str">
        <f>IF(LEFT(Table1[[#This Row],[Final Obj Name]],1)="/",LEFT(Table1[[#This Row],[Final Obj Name]],FIND("/",Table1[[#This Row],[Final Obj Name]],2)),"/0SAP/")</f>
        <v>/0SAP/</v>
      </c>
    </row>
    <row r="356">
      <c r="A356" t="str">
        <v>DEVC</v>
      </c>
      <c r="B356" t="str">
        <v>ZMDG_M_I</v>
      </c>
      <c r="C356" t="str">
        <v>DEVC</v>
      </c>
      <c r="D356" t="str">
        <v>ZMDG_M_I</v>
      </c>
      <c r="G356" t="str">
        <v>ALL</v>
      </c>
      <c r="L356" t="str">
        <v>NSHAIK</v>
      </c>
      <c r="M356">
        <v>46009</v>
      </c>
      <c r="N356">
        <v>0.28765046296296</v>
      </c>
      <c r="S356" t="str">
        <v>X</v>
      </c>
      <c r="W356" t="str">
        <v>SP1K961217</v>
      </c>
      <c r="Y356">
        <f>IF(Table1[[#This Row],[OPERATION]]="NOTE","NOTE",Table1[[#This Row],[SUB_TYPE]])</f>
        <v>0</v>
      </c>
      <c r="Z356">
        <f>IF(Table1[[#This Row],[OPERATION]]="NOTE",NUMBERVALUE(LEFT(Table1[[#This Row],[MOD_NAME]],LEN(Table1[[#This Row],[MOD_NAME]])-4)),Table1[[#This Row],[SUB_NAME]])</f>
        <v>0</v>
      </c>
      <c r="AA356" t="str">
        <f>CONCAT(Table1[[#This Row],[Final Obj Type]],"|",Table1[[#This Row],[Final Obj Name]])</f>
        <v>0|0</v>
      </c>
      <c r="AB356" t="e">
        <f>VLOOKUP(Table1[[#This Row],[Final Obj Type]],Classification!B:E,3,FALSE)</f>
        <v>#N/A</v>
      </c>
      <c r="AC356" t="e">
        <f>VLOOKUP(Table1[[#This Row],[Final Obj Type]],Classification!B:E,4,FALSE)</f>
        <v>#N/A</v>
      </c>
      <c r="AD356" t="str">
        <f>IF(Table1[[#This Row],[Position 1]]=0,"/0SAP/",MID(Table1[[#This Row],[Final Obj Name]],Table1[[#This Row],[Position 1]],Table1[[#This Row],[Position 2]]-Table1[[#This Row],[Position 1]]+1))</f>
        <v>/0SAP/</v>
      </c>
      <c r="AE356" t="str">
        <f>VLOOKUP(Table1[[#This Row],[/* Object]],Namespace!A:J,10,FALSE)</f>
        <v>SAP AG</v>
      </c>
      <c r="AF356" t="str">
        <f>IF(VLOOKUP(Table1[[#This Row],[/* Object]],Namespace!A:J,4,FALSE)=0,"",VLOOKUP(Table1[[#This Row],[/* Object]],Namespace!A:J,4,FALSE))</f>
        <v>X</v>
      </c>
      <c r="AG356" t="str">
        <f>IF(VLOOKUP(Table1[[#This Row],[/* Object]],Namespace!A:J,5,FALSE)=0,"",VLOOKUP(Table1[[#This Row],[/* Object]],Namespace!A:J,5,FALSE))</f>
        <v>X</v>
      </c>
      <c r="AH356" t="str">
        <f>IF(VLOOKUP(Table1[[#This Row],[/* Object]],Namespace!A:J,6,FALSE)=0,"",VLOOKUP(Table1[[#This Row],[/* Object]],Namespace!A:J,6,FALSE))</f>
        <v/>
      </c>
      <c r="AI356">
        <f>IFERROR(FIND("/",Table1[[#This Row],[Final Obj Name]],1),0)</f>
        <v>0</v>
      </c>
      <c r="AJ356">
        <f>IF(Table1[[#This Row],[Position 1]]=0,0,FIND("/",Table1[[#This Row],[Final Obj Name]],Table1[[#This Row],[Position 1]]+1))</f>
        <v>0</v>
      </c>
      <c r="AK356" t="str">
        <f>IF(LEFT(Table1[[#This Row],[Final Obj Name]],1)="/",LEFT(Table1[[#This Row],[Final Obj Name]],FIND("/",Table1[[#This Row],[Final Obj Name]],2)),"/0SAP/")</f>
        <v>/0SAP/</v>
      </c>
    </row>
    <row r="357">
      <c r="A357" t="str">
        <v>DEVC</v>
      </c>
      <c r="B357" t="str">
        <v>ZMDG_M_I_0301</v>
      </c>
      <c r="C357" t="str">
        <v>DEVC</v>
      </c>
      <c r="D357" t="str">
        <v>ZMDG_M_I_0301</v>
      </c>
      <c r="G357" t="str">
        <v>ALL</v>
      </c>
      <c r="L357" t="str">
        <v>NSHAIK</v>
      </c>
      <c r="M357">
        <v>46009</v>
      </c>
      <c r="N357">
        <v>0.28777777777778</v>
      </c>
      <c r="S357" t="str">
        <v>X</v>
      </c>
      <c r="W357" t="str">
        <v>SP1K961217</v>
      </c>
      <c r="Y357">
        <f>IF(Table1[[#This Row],[OPERATION]]="NOTE","NOTE",Table1[[#This Row],[SUB_TYPE]])</f>
        <v>0</v>
      </c>
      <c r="Z357">
        <f>IF(Table1[[#This Row],[OPERATION]]="NOTE",NUMBERVALUE(LEFT(Table1[[#This Row],[MOD_NAME]],LEN(Table1[[#This Row],[MOD_NAME]])-4)),Table1[[#This Row],[SUB_NAME]])</f>
        <v>0</v>
      </c>
      <c r="AA357" t="str">
        <f>CONCAT(Table1[[#This Row],[Final Obj Type]],"|",Table1[[#This Row],[Final Obj Name]])</f>
        <v>0|0</v>
      </c>
      <c r="AB357" t="e">
        <f>VLOOKUP(Table1[[#This Row],[Final Obj Type]],Classification!B:E,3,FALSE)</f>
        <v>#N/A</v>
      </c>
      <c r="AC357" t="e">
        <f>VLOOKUP(Table1[[#This Row],[Final Obj Type]],Classification!B:E,4,FALSE)</f>
        <v>#N/A</v>
      </c>
      <c r="AD357" t="str">
        <f>IF(Table1[[#This Row],[Position 1]]=0,"/0SAP/",MID(Table1[[#This Row],[Final Obj Name]],Table1[[#This Row],[Position 1]],Table1[[#This Row],[Position 2]]-Table1[[#This Row],[Position 1]]+1))</f>
        <v>/0SAP/</v>
      </c>
      <c r="AE357" t="str">
        <f>VLOOKUP(Table1[[#This Row],[/* Object]],Namespace!A:J,10,FALSE)</f>
        <v>SAP AG</v>
      </c>
      <c r="AF357" t="str">
        <f>IF(VLOOKUP(Table1[[#This Row],[/* Object]],Namespace!A:J,4,FALSE)=0,"",VLOOKUP(Table1[[#This Row],[/* Object]],Namespace!A:J,4,FALSE))</f>
        <v>X</v>
      </c>
      <c r="AG357" t="str">
        <f>IF(VLOOKUP(Table1[[#This Row],[/* Object]],Namespace!A:J,5,FALSE)=0,"",VLOOKUP(Table1[[#This Row],[/* Object]],Namespace!A:J,5,FALSE))</f>
        <v>X</v>
      </c>
      <c r="AH357" t="str">
        <f>IF(VLOOKUP(Table1[[#This Row],[/* Object]],Namespace!A:J,6,FALSE)=0,"",VLOOKUP(Table1[[#This Row],[/* Object]],Namespace!A:J,6,FALSE))</f>
        <v/>
      </c>
      <c r="AI357">
        <f>IFERROR(FIND("/",Table1[[#This Row],[Final Obj Name]],1),0)</f>
        <v>0</v>
      </c>
      <c r="AJ357">
        <f>IF(Table1[[#This Row],[Position 1]]=0,0,FIND("/",Table1[[#This Row],[Final Obj Name]],Table1[[#This Row],[Position 1]]+1))</f>
        <v>0</v>
      </c>
      <c r="AK357" t="str">
        <f>IF(LEFT(Table1[[#This Row],[Final Obj Name]],1)="/",LEFT(Table1[[#This Row],[Final Obj Name]],FIND("/",Table1[[#This Row],[Final Obj Name]],2)),"/0SAP/")</f>
        <v>/0SAP/</v>
      </c>
    </row>
    <row r="358">
      <c r="A358" t="str">
        <v>DEVC</v>
      </c>
      <c r="B358" t="str">
        <v>ZMDG_M_I_0307</v>
      </c>
      <c r="C358" t="str">
        <v>DEVC</v>
      </c>
      <c r="D358" t="str">
        <v>ZMDG_M_I_0307</v>
      </c>
      <c r="G358" t="str">
        <v>ALL</v>
      </c>
      <c r="L358" t="str">
        <v>NSHAIK</v>
      </c>
      <c r="M358">
        <v>46009</v>
      </c>
      <c r="N358">
        <v>0.28790509259259</v>
      </c>
      <c r="S358" t="str">
        <v>X</v>
      </c>
      <c r="W358" t="str">
        <v>SP1K961217</v>
      </c>
      <c r="Y358">
        <f>IF(Table1[[#This Row],[OPERATION]]="NOTE","NOTE",Table1[[#This Row],[SUB_TYPE]])</f>
        <v>0</v>
      </c>
      <c r="Z358">
        <f>IF(Table1[[#This Row],[OPERATION]]="NOTE",NUMBERVALUE(LEFT(Table1[[#This Row],[MOD_NAME]],LEN(Table1[[#This Row],[MOD_NAME]])-4)),Table1[[#This Row],[SUB_NAME]])</f>
        <v>0</v>
      </c>
      <c r="AA358" t="str">
        <f>CONCAT(Table1[[#This Row],[Final Obj Type]],"|",Table1[[#This Row],[Final Obj Name]])</f>
        <v>0|0</v>
      </c>
      <c r="AB358" t="e">
        <f>VLOOKUP(Table1[[#This Row],[Final Obj Type]],Classification!B:E,3,FALSE)</f>
        <v>#N/A</v>
      </c>
      <c r="AC358" t="e">
        <f>VLOOKUP(Table1[[#This Row],[Final Obj Type]],Classification!B:E,4,FALSE)</f>
        <v>#N/A</v>
      </c>
      <c r="AD358" t="str">
        <f>IF(Table1[[#This Row],[Position 1]]=0,"/0SAP/",MID(Table1[[#This Row],[Final Obj Name]],Table1[[#This Row],[Position 1]],Table1[[#This Row],[Position 2]]-Table1[[#This Row],[Position 1]]+1))</f>
        <v>/0SAP/</v>
      </c>
      <c r="AE358" t="str">
        <f>VLOOKUP(Table1[[#This Row],[/* Object]],Namespace!A:J,10,FALSE)</f>
        <v>SAP AG</v>
      </c>
      <c r="AF358" t="str">
        <f>IF(VLOOKUP(Table1[[#This Row],[/* Object]],Namespace!A:J,4,FALSE)=0,"",VLOOKUP(Table1[[#This Row],[/* Object]],Namespace!A:J,4,FALSE))</f>
        <v>X</v>
      </c>
      <c r="AG358" t="str">
        <f>IF(VLOOKUP(Table1[[#This Row],[/* Object]],Namespace!A:J,5,FALSE)=0,"",VLOOKUP(Table1[[#This Row],[/* Object]],Namespace!A:J,5,FALSE))</f>
        <v>X</v>
      </c>
      <c r="AH358" t="str">
        <f>IF(VLOOKUP(Table1[[#This Row],[/* Object]],Namespace!A:J,6,FALSE)=0,"",VLOOKUP(Table1[[#This Row],[/* Object]],Namespace!A:J,6,FALSE))</f>
        <v/>
      </c>
      <c r="AI358">
        <f>IFERROR(FIND("/",Table1[[#This Row],[Final Obj Name]],1),0)</f>
        <v>0</v>
      </c>
      <c r="AJ358">
        <f>IF(Table1[[#This Row],[Position 1]]=0,0,FIND("/",Table1[[#This Row],[Final Obj Name]],Table1[[#This Row],[Position 1]]+1))</f>
        <v>0</v>
      </c>
      <c r="AK358" t="str">
        <f>IF(LEFT(Table1[[#This Row],[Final Obj Name]],1)="/",LEFT(Table1[[#This Row],[Final Obj Name]],FIND("/",Table1[[#This Row],[Final Obj Name]],2)),"/0SAP/")</f>
        <v>/0SAP/</v>
      </c>
    </row>
    <row r="359">
      <c r="A359" t="str">
        <v>DEVC</v>
      </c>
      <c r="B359" t="str">
        <v>ZMDG_M_I_0316</v>
      </c>
      <c r="C359" t="str">
        <v>DEVC</v>
      </c>
      <c r="D359" t="str">
        <v>ZMDG_M_I_0316</v>
      </c>
      <c r="G359" t="str">
        <v>ALL</v>
      </c>
      <c r="L359" t="str">
        <v>NSHAIK</v>
      </c>
      <c r="M359">
        <v>46009</v>
      </c>
      <c r="N359">
        <v>0.28804398148148</v>
      </c>
      <c r="S359" t="str">
        <v>X</v>
      </c>
      <c r="W359" t="str">
        <v>SP1K961217</v>
      </c>
      <c r="Y359">
        <f>IF(Table1[[#This Row],[OPERATION]]="NOTE","NOTE",Table1[[#This Row],[SUB_TYPE]])</f>
        <v>0</v>
      </c>
      <c r="Z359">
        <f>IF(Table1[[#This Row],[OPERATION]]="NOTE",NUMBERVALUE(LEFT(Table1[[#This Row],[MOD_NAME]],LEN(Table1[[#This Row],[MOD_NAME]])-4)),Table1[[#This Row],[SUB_NAME]])</f>
        <v>0</v>
      </c>
      <c r="AA359" t="str">
        <f>CONCAT(Table1[[#This Row],[Final Obj Type]],"|",Table1[[#This Row],[Final Obj Name]])</f>
        <v>0|0</v>
      </c>
      <c r="AB359" t="e">
        <f>VLOOKUP(Table1[[#This Row],[Final Obj Type]],Classification!B:E,3,FALSE)</f>
        <v>#N/A</v>
      </c>
      <c r="AC359" t="e">
        <f>VLOOKUP(Table1[[#This Row],[Final Obj Type]],Classification!B:E,4,FALSE)</f>
        <v>#N/A</v>
      </c>
      <c r="AD359" t="str">
        <f>IF(Table1[[#This Row],[Position 1]]=0,"/0SAP/",MID(Table1[[#This Row],[Final Obj Name]],Table1[[#This Row],[Position 1]],Table1[[#This Row],[Position 2]]-Table1[[#This Row],[Position 1]]+1))</f>
        <v>/0SAP/</v>
      </c>
      <c r="AE359" t="str">
        <f>VLOOKUP(Table1[[#This Row],[/* Object]],Namespace!A:J,10,FALSE)</f>
        <v>SAP AG</v>
      </c>
      <c r="AF359" t="str">
        <f>IF(VLOOKUP(Table1[[#This Row],[/* Object]],Namespace!A:J,4,FALSE)=0,"",VLOOKUP(Table1[[#This Row],[/* Object]],Namespace!A:J,4,FALSE))</f>
        <v>X</v>
      </c>
      <c r="AG359" t="str">
        <f>IF(VLOOKUP(Table1[[#This Row],[/* Object]],Namespace!A:J,5,FALSE)=0,"",VLOOKUP(Table1[[#This Row],[/* Object]],Namespace!A:J,5,FALSE))</f>
        <v>X</v>
      </c>
      <c r="AH359" t="str">
        <f>IF(VLOOKUP(Table1[[#This Row],[/* Object]],Namespace!A:J,6,FALSE)=0,"",VLOOKUP(Table1[[#This Row],[/* Object]],Namespace!A:J,6,FALSE))</f>
        <v/>
      </c>
      <c r="AI359">
        <f>IFERROR(FIND("/",Table1[[#This Row],[Final Obj Name]],1),0)</f>
        <v>0</v>
      </c>
      <c r="AJ359">
        <f>IF(Table1[[#This Row],[Position 1]]=0,0,FIND("/",Table1[[#This Row],[Final Obj Name]],Table1[[#This Row],[Position 1]]+1))</f>
        <v>0</v>
      </c>
      <c r="AK359" t="str">
        <f>IF(LEFT(Table1[[#This Row],[Final Obj Name]],1)="/",LEFT(Table1[[#This Row],[Final Obj Name]],FIND("/",Table1[[#This Row],[Final Obj Name]],2)),"/0SAP/")</f>
        <v>/0SAP/</v>
      </c>
    </row>
    <row r="360">
      <c r="A360" t="str">
        <v>DEVC</v>
      </c>
      <c r="B360" t="str">
        <v>ZMDG_M_R</v>
      </c>
      <c r="C360" t="str">
        <v>DEVC</v>
      </c>
      <c r="D360" t="str">
        <v>ZMDG_M_R</v>
      </c>
      <c r="G360" t="str">
        <v>ALL</v>
      </c>
      <c r="L360" t="str">
        <v>NSHAIK</v>
      </c>
      <c r="M360">
        <v>46009</v>
      </c>
      <c r="N360">
        <v>0.28815972222222</v>
      </c>
      <c r="S360" t="str">
        <v>X</v>
      </c>
      <c r="W360" t="str">
        <v>SP1K961217</v>
      </c>
      <c r="Y360">
        <f>IF(Table1[[#This Row],[OPERATION]]="NOTE","NOTE",Table1[[#This Row],[SUB_TYPE]])</f>
        <v>0</v>
      </c>
      <c r="Z360">
        <f>IF(Table1[[#This Row],[OPERATION]]="NOTE",NUMBERVALUE(LEFT(Table1[[#This Row],[MOD_NAME]],LEN(Table1[[#This Row],[MOD_NAME]])-4)),Table1[[#This Row],[SUB_NAME]])</f>
        <v>0</v>
      </c>
      <c r="AA360" t="str">
        <f>CONCAT(Table1[[#This Row],[Final Obj Type]],"|",Table1[[#This Row],[Final Obj Name]])</f>
        <v>0|0</v>
      </c>
      <c r="AB360" t="e">
        <f>VLOOKUP(Table1[[#This Row],[Final Obj Type]],Classification!B:E,3,FALSE)</f>
        <v>#N/A</v>
      </c>
      <c r="AC360" t="e">
        <f>VLOOKUP(Table1[[#This Row],[Final Obj Type]],Classification!B:E,4,FALSE)</f>
        <v>#N/A</v>
      </c>
      <c r="AD360" t="str">
        <f>IF(Table1[[#This Row],[Position 1]]=0,"/0SAP/",MID(Table1[[#This Row],[Final Obj Name]],Table1[[#This Row],[Position 1]],Table1[[#This Row],[Position 2]]-Table1[[#This Row],[Position 1]]+1))</f>
        <v>/0SAP/</v>
      </c>
      <c r="AE360" t="str">
        <f>VLOOKUP(Table1[[#This Row],[/* Object]],Namespace!A:J,10,FALSE)</f>
        <v>SAP AG</v>
      </c>
      <c r="AF360" t="str">
        <f>IF(VLOOKUP(Table1[[#This Row],[/* Object]],Namespace!A:J,4,FALSE)=0,"",VLOOKUP(Table1[[#This Row],[/* Object]],Namespace!A:J,4,FALSE))</f>
        <v>X</v>
      </c>
      <c r="AG360" t="str">
        <f>IF(VLOOKUP(Table1[[#This Row],[/* Object]],Namespace!A:J,5,FALSE)=0,"",VLOOKUP(Table1[[#This Row],[/* Object]],Namespace!A:J,5,FALSE))</f>
        <v>X</v>
      </c>
      <c r="AH360" t="str">
        <f>IF(VLOOKUP(Table1[[#This Row],[/* Object]],Namespace!A:J,6,FALSE)=0,"",VLOOKUP(Table1[[#This Row],[/* Object]],Namespace!A:J,6,FALSE))</f>
        <v/>
      </c>
      <c r="AI360">
        <f>IFERROR(FIND("/",Table1[[#This Row],[Final Obj Name]],1),0)</f>
        <v>0</v>
      </c>
      <c r="AJ360">
        <f>IF(Table1[[#This Row],[Position 1]]=0,0,FIND("/",Table1[[#This Row],[Final Obj Name]],Table1[[#This Row],[Position 1]]+1))</f>
        <v>0</v>
      </c>
      <c r="AK360" t="str">
        <f>IF(LEFT(Table1[[#This Row],[Final Obj Name]],1)="/",LEFT(Table1[[#This Row],[Final Obj Name]],FIND("/",Table1[[#This Row],[Final Obj Name]],2)),"/0SAP/")</f>
        <v>/0SAP/</v>
      </c>
    </row>
    <row r="361">
      <c r="A361" t="str">
        <v>DEVC</v>
      </c>
      <c r="B361" t="str">
        <v>ZMDG_M_R_0310</v>
      </c>
      <c r="C361" t="str">
        <v>DEVC</v>
      </c>
      <c r="D361" t="str">
        <v>ZMDG_M_R_0310</v>
      </c>
      <c r="G361" t="str">
        <v>ALL</v>
      </c>
      <c r="L361" t="str">
        <v>NSHAIK</v>
      </c>
      <c r="M361">
        <v>46009</v>
      </c>
      <c r="N361">
        <v>0.28828703703704</v>
      </c>
      <c r="S361" t="str">
        <v>X</v>
      </c>
      <c r="W361" t="str">
        <v>SP1K961217</v>
      </c>
      <c r="Y361">
        <f>IF(Table1[[#This Row],[OPERATION]]="NOTE","NOTE",Table1[[#This Row],[SUB_TYPE]])</f>
        <v>0</v>
      </c>
      <c r="Z361">
        <f>IF(Table1[[#This Row],[OPERATION]]="NOTE",NUMBERVALUE(LEFT(Table1[[#This Row],[MOD_NAME]],LEN(Table1[[#This Row],[MOD_NAME]])-4)),Table1[[#This Row],[SUB_NAME]])</f>
        <v>0</v>
      </c>
      <c r="AA361" t="str">
        <f>CONCAT(Table1[[#This Row],[Final Obj Type]],"|",Table1[[#This Row],[Final Obj Name]])</f>
        <v>0|0</v>
      </c>
      <c r="AB361" t="e">
        <f>VLOOKUP(Table1[[#This Row],[Final Obj Type]],Classification!B:E,3,FALSE)</f>
        <v>#N/A</v>
      </c>
      <c r="AC361" t="e">
        <f>VLOOKUP(Table1[[#This Row],[Final Obj Type]],Classification!B:E,4,FALSE)</f>
        <v>#N/A</v>
      </c>
      <c r="AD361" t="str">
        <f>IF(Table1[[#This Row],[Position 1]]=0,"/0SAP/",MID(Table1[[#This Row],[Final Obj Name]],Table1[[#This Row],[Position 1]],Table1[[#This Row],[Position 2]]-Table1[[#This Row],[Position 1]]+1))</f>
        <v>/0SAP/</v>
      </c>
      <c r="AE361" t="str">
        <f>VLOOKUP(Table1[[#This Row],[/* Object]],Namespace!A:J,10,FALSE)</f>
        <v>SAP AG</v>
      </c>
      <c r="AF361" t="str">
        <f>IF(VLOOKUP(Table1[[#This Row],[/* Object]],Namespace!A:J,4,FALSE)=0,"",VLOOKUP(Table1[[#This Row],[/* Object]],Namespace!A:J,4,FALSE))</f>
        <v>X</v>
      </c>
      <c r="AG361" t="str">
        <f>IF(VLOOKUP(Table1[[#This Row],[/* Object]],Namespace!A:J,5,FALSE)=0,"",VLOOKUP(Table1[[#This Row],[/* Object]],Namespace!A:J,5,FALSE))</f>
        <v>X</v>
      </c>
      <c r="AH361" t="str">
        <f>IF(VLOOKUP(Table1[[#This Row],[/* Object]],Namespace!A:J,6,FALSE)=0,"",VLOOKUP(Table1[[#This Row],[/* Object]],Namespace!A:J,6,FALSE))</f>
        <v/>
      </c>
      <c r="AI361">
        <f>IFERROR(FIND("/",Table1[[#This Row],[Final Obj Name]],1),0)</f>
        <v>0</v>
      </c>
      <c r="AJ361">
        <f>IF(Table1[[#This Row],[Position 1]]=0,0,FIND("/",Table1[[#This Row],[Final Obj Name]],Table1[[#This Row],[Position 1]]+1))</f>
        <v>0</v>
      </c>
      <c r="AK361" t="str">
        <f>IF(LEFT(Table1[[#This Row],[Final Obj Name]],1)="/",LEFT(Table1[[#This Row],[Final Obj Name]],FIND("/",Table1[[#This Row],[Final Obj Name]],2)),"/0SAP/")</f>
        <v>/0SAP/</v>
      </c>
    </row>
    <row r="362">
      <c r="A362" t="str">
        <v>DEVC</v>
      </c>
      <c r="B362" t="str">
        <v>ZMDG_M_W</v>
      </c>
      <c r="C362" t="str">
        <v>DEVC</v>
      </c>
      <c r="D362" t="str">
        <v>ZMDG_M_W</v>
      </c>
      <c r="G362" t="str">
        <v>ALL</v>
      </c>
      <c r="L362" t="str">
        <v>NSHAIK</v>
      </c>
      <c r="M362">
        <v>46009</v>
      </c>
      <c r="N362">
        <v>0.28840277777778</v>
      </c>
      <c r="S362" t="str">
        <v>X</v>
      </c>
      <c r="W362" t="str">
        <v>SP1K961217</v>
      </c>
      <c r="Y362">
        <f>IF(Table1[[#This Row],[OPERATION]]="NOTE","NOTE",Table1[[#This Row],[SUB_TYPE]])</f>
        <v>0</v>
      </c>
      <c r="Z362">
        <f>IF(Table1[[#This Row],[OPERATION]]="NOTE",NUMBERVALUE(LEFT(Table1[[#This Row],[MOD_NAME]],LEN(Table1[[#This Row],[MOD_NAME]])-4)),Table1[[#This Row],[SUB_NAME]])</f>
        <v>0</v>
      </c>
      <c r="AA362" t="str">
        <f>CONCAT(Table1[[#This Row],[Final Obj Type]],"|",Table1[[#This Row],[Final Obj Name]])</f>
        <v>0|0</v>
      </c>
      <c r="AB362" t="e">
        <f>VLOOKUP(Table1[[#This Row],[Final Obj Type]],Classification!B:E,3,FALSE)</f>
        <v>#N/A</v>
      </c>
      <c r="AC362" t="e">
        <f>VLOOKUP(Table1[[#This Row],[Final Obj Type]],Classification!B:E,4,FALSE)</f>
        <v>#N/A</v>
      </c>
      <c r="AD362" t="str">
        <f>IF(Table1[[#This Row],[Position 1]]=0,"/0SAP/",MID(Table1[[#This Row],[Final Obj Name]],Table1[[#This Row],[Position 1]],Table1[[#This Row],[Position 2]]-Table1[[#This Row],[Position 1]]+1))</f>
        <v>/0SAP/</v>
      </c>
      <c r="AE362" t="str">
        <f>VLOOKUP(Table1[[#This Row],[/* Object]],Namespace!A:J,10,FALSE)</f>
        <v>SAP AG</v>
      </c>
      <c r="AF362" t="str">
        <f>IF(VLOOKUP(Table1[[#This Row],[/* Object]],Namespace!A:J,4,FALSE)=0,"",VLOOKUP(Table1[[#This Row],[/* Object]],Namespace!A:J,4,FALSE))</f>
        <v>X</v>
      </c>
      <c r="AG362" t="str">
        <f>IF(VLOOKUP(Table1[[#This Row],[/* Object]],Namespace!A:J,5,FALSE)=0,"",VLOOKUP(Table1[[#This Row],[/* Object]],Namespace!A:J,5,FALSE))</f>
        <v>X</v>
      </c>
      <c r="AH362" t="str">
        <f>IF(VLOOKUP(Table1[[#This Row],[/* Object]],Namespace!A:J,6,FALSE)=0,"",VLOOKUP(Table1[[#This Row],[/* Object]],Namespace!A:J,6,FALSE))</f>
        <v/>
      </c>
      <c r="AI362">
        <f>IFERROR(FIND("/",Table1[[#This Row],[Final Obj Name]],1),0)</f>
        <v>0</v>
      </c>
      <c r="AJ362">
        <f>IF(Table1[[#This Row],[Position 1]]=0,0,FIND("/",Table1[[#This Row],[Final Obj Name]],Table1[[#This Row],[Position 1]]+1))</f>
        <v>0</v>
      </c>
      <c r="AK362" t="str">
        <f>IF(LEFT(Table1[[#This Row],[Final Obj Name]],1)="/",LEFT(Table1[[#This Row],[Final Obj Name]],FIND("/",Table1[[#This Row],[Final Obj Name]],2)),"/0SAP/")</f>
        <v>/0SAP/</v>
      </c>
    </row>
    <row r="363">
      <c r="A363" t="str">
        <v>DEVC</v>
      </c>
      <c r="B363" t="str">
        <v>ZMDG_M_W_0304</v>
      </c>
      <c r="C363" t="str">
        <v>DEVC</v>
      </c>
      <c r="D363" t="str">
        <v>ZMDG_M_W_0304</v>
      </c>
      <c r="G363" t="str">
        <v>ALL</v>
      </c>
      <c r="L363" t="str">
        <v>NSHAIK</v>
      </c>
      <c r="M363">
        <v>46009</v>
      </c>
      <c r="N363">
        <v>0.28854166666667</v>
      </c>
      <c r="S363" t="str">
        <v>X</v>
      </c>
      <c r="W363" t="str">
        <v>SP1K961217</v>
      </c>
      <c r="Y363">
        <f>IF(Table1[[#This Row],[OPERATION]]="NOTE","NOTE",Table1[[#This Row],[SUB_TYPE]])</f>
        <v>0</v>
      </c>
      <c r="Z363">
        <f>IF(Table1[[#This Row],[OPERATION]]="NOTE",NUMBERVALUE(LEFT(Table1[[#This Row],[MOD_NAME]],LEN(Table1[[#This Row],[MOD_NAME]])-4)),Table1[[#This Row],[SUB_NAME]])</f>
        <v>0</v>
      </c>
      <c r="AA363" t="str">
        <f>CONCAT(Table1[[#This Row],[Final Obj Type]],"|",Table1[[#This Row],[Final Obj Name]])</f>
        <v>0|0</v>
      </c>
      <c r="AB363" t="e">
        <f>VLOOKUP(Table1[[#This Row],[Final Obj Type]],Classification!B:E,3,FALSE)</f>
        <v>#N/A</v>
      </c>
      <c r="AC363" t="e">
        <f>VLOOKUP(Table1[[#This Row],[Final Obj Type]],Classification!B:E,4,FALSE)</f>
        <v>#N/A</v>
      </c>
      <c r="AD363" t="str">
        <f>IF(Table1[[#This Row],[Position 1]]=0,"/0SAP/",MID(Table1[[#This Row],[Final Obj Name]],Table1[[#This Row],[Position 1]],Table1[[#This Row],[Position 2]]-Table1[[#This Row],[Position 1]]+1))</f>
        <v>/0SAP/</v>
      </c>
      <c r="AE363" t="str">
        <f>VLOOKUP(Table1[[#This Row],[/* Object]],Namespace!A:J,10,FALSE)</f>
        <v>SAP AG</v>
      </c>
      <c r="AF363" t="str">
        <f>IF(VLOOKUP(Table1[[#This Row],[/* Object]],Namespace!A:J,4,FALSE)=0,"",VLOOKUP(Table1[[#This Row],[/* Object]],Namespace!A:J,4,FALSE))</f>
        <v>X</v>
      </c>
      <c r="AG363" t="str">
        <f>IF(VLOOKUP(Table1[[#This Row],[/* Object]],Namespace!A:J,5,FALSE)=0,"",VLOOKUP(Table1[[#This Row],[/* Object]],Namespace!A:J,5,FALSE))</f>
        <v>X</v>
      </c>
      <c r="AH363" t="str">
        <f>IF(VLOOKUP(Table1[[#This Row],[/* Object]],Namespace!A:J,6,FALSE)=0,"",VLOOKUP(Table1[[#This Row],[/* Object]],Namespace!A:J,6,FALSE))</f>
        <v/>
      </c>
      <c r="AI363">
        <f>IFERROR(FIND("/",Table1[[#This Row],[Final Obj Name]],1),0)</f>
        <v>0</v>
      </c>
      <c r="AJ363">
        <f>IF(Table1[[#This Row],[Position 1]]=0,0,FIND("/",Table1[[#This Row],[Final Obj Name]],Table1[[#This Row],[Position 1]]+1))</f>
        <v>0</v>
      </c>
      <c r="AK363" t="str">
        <f>IF(LEFT(Table1[[#This Row],[Final Obj Name]],1)="/",LEFT(Table1[[#This Row],[Final Obj Name]],FIND("/",Table1[[#This Row],[Final Obj Name]],2)),"/0SAP/")</f>
        <v>/0SAP/</v>
      </c>
    </row>
    <row r="364">
      <c r="A364" t="str">
        <v>DEVC</v>
      </c>
      <c r="B364" t="str">
        <v>ZMDG_M_W_0305</v>
      </c>
      <c r="C364" t="str">
        <v>DEVC</v>
      </c>
      <c r="D364" t="str">
        <v>ZMDG_M_W_0305</v>
      </c>
      <c r="G364" t="str">
        <v>ALL</v>
      </c>
      <c r="L364" t="str">
        <v>NSHAIK</v>
      </c>
      <c r="M364">
        <v>46009</v>
      </c>
      <c r="N364">
        <v>0.28881944444444</v>
      </c>
      <c r="S364" t="str">
        <v>X</v>
      </c>
      <c r="W364" t="str">
        <v>SP1K961217</v>
      </c>
      <c r="Y364">
        <f>IF(Table1[[#This Row],[OPERATION]]="NOTE","NOTE",Table1[[#This Row],[SUB_TYPE]])</f>
        <v>0</v>
      </c>
      <c r="Z364">
        <f>IF(Table1[[#This Row],[OPERATION]]="NOTE",NUMBERVALUE(LEFT(Table1[[#This Row],[MOD_NAME]],LEN(Table1[[#This Row],[MOD_NAME]])-4)),Table1[[#This Row],[SUB_NAME]])</f>
        <v>0</v>
      </c>
      <c r="AA364" t="str">
        <f>CONCAT(Table1[[#This Row],[Final Obj Type]],"|",Table1[[#This Row],[Final Obj Name]])</f>
        <v>0|0</v>
      </c>
      <c r="AB364" t="e">
        <f>VLOOKUP(Table1[[#This Row],[Final Obj Type]],Classification!B:E,3,FALSE)</f>
        <v>#N/A</v>
      </c>
      <c r="AC364" t="e">
        <f>VLOOKUP(Table1[[#This Row],[Final Obj Type]],Classification!B:E,4,FALSE)</f>
        <v>#N/A</v>
      </c>
      <c r="AD364" t="str">
        <f>IF(Table1[[#This Row],[Position 1]]=0,"/0SAP/",MID(Table1[[#This Row],[Final Obj Name]],Table1[[#This Row],[Position 1]],Table1[[#This Row],[Position 2]]-Table1[[#This Row],[Position 1]]+1))</f>
        <v>/0SAP/</v>
      </c>
      <c r="AE364" t="str">
        <f>VLOOKUP(Table1[[#This Row],[/* Object]],Namespace!A:J,10,FALSE)</f>
        <v>SAP AG</v>
      </c>
      <c r="AF364" t="str">
        <f>IF(VLOOKUP(Table1[[#This Row],[/* Object]],Namespace!A:J,4,FALSE)=0,"",VLOOKUP(Table1[[#This Row],[/* Object]],Namespace!A:J,4,FALSE))</f>
        <v>X</v>
      </c>
      <c r="AG364" t="str">
        <f>IF(VLOOKUP(Table1[[#This Row],[/* Object]],Namespace!A:J,5,FALSE)=0,"",VLOOKUP(Table1[[#This Row],[/* Object]],Namespace!A:J,5,FALSE))</f>
        <v>X</v>
      </c>
      <c r="AH364" t="str">
        <f>IF(VLOOKUP(Table1[[#This Row],[/* Object]],Namespace!A:J,6,FALSE)=0,"",VLOOKUP(Table1[[#This Row],[/* Object]],Namespace!A:J,6,FALSE))</f>
        <v/>
      </c>
      <c r="AI364">
        <f>IFERROR(FIND("/",Table1[[#This Row],[Final Obj Name]],1),0)</f>
        <v>0</v>
      </c>
      <c r="AJ364">
        <f>IF(Table1[[#This Row],[Position 1]]=0,0,FIND("/",Table1[[#This Row],[Final Obj Name]],Table1[[#This Row],[Position 1]]+1))</f>
        <v>0</v>
      </c>
      <c r="AK364" t="str">
        <f>IF(LEFT(Table1[[#This Row],[Final Obj Name]],1)="/",LEFT(Table1[[#This Row],[Final Obj Name]],FIND("/",Table1[[#This Row],[Final Obj Name]],2)),"/0SAP/")</f>
        <v>/0SAP/</v>
      </c>
    </row>
    <row r="365">
      <c r="A365" t="str">
        <v>DEVC</v>
      </c>
      <c r="B365" t="str">
        <v>ZMDG_S</v>
      </c>
      <c r="C365" t="str">
        <v>DEVC</v>
      </c>
      <c r="D365" t="str">
        <v>ZMDG_S</v>
      </c>
      <c r="G365" t="str">
        <v>ALL</v>
      </c>
      <c r="L365" t="str">
        <v>NSHAIK</v>
      </c>
      <c r="M365">
        <v>46009</v>
      </c>
      <c r="N365">
        <v>0.28894675925926</v>
      </c>
      <c r="S365" t="str">
        <v>X</v>
      </c>
      <c r="W365" t="str">
        <v>SP1K961217</v>
      </c>
      <c r="Y365">
        <f>IF(Table1[[#This Row],[OPERATION]]="NOTE","NOTE",Table1[[#This Row],[SUB_TYPE]])</f>
        <v>0</v>
      </c>
      <c r="Z365">
        <f>IF(Table1[[#This Row],[OPERATION]]="NOTE",NUMBERVALUE(LEFT(Table1[[#This Row],[MOD_NAME]],LEN(Table1[[#This Row],[MOD_NAME]])-4)),Table1[[#This Row],[SUB_NAME]])</f>
        <v>0</v>
      </c>
      <c r="AA365" t="str">
        <f>CONCAT(Table1[[#This Row],[Final Obj Type]],"|",Table1[[#This Row],[Final Obj Name]])</f>
        <v>0|0</v>
      </c>
      <c r="AB365" t="e">
        <f>VLOOKUP(Table1[[#This Row],[Final Obj Type]],Classification!B:E,3,FALSE)</f>
        <v>#N/A</v>
      </c>
      <c r="AC365" t="e">
        <f>VLOOKUP(Table1[[#This Row],[Final Obj Type]],Classification!B:E,4,FALSE)</f>
        <v>#N/A</v>
      </c>
      <c r="AD365" t="str">
        <f>IF(Table1[[#This Row],[Position 1]]=0,"/0SAP/",MID(Table1[[#This Row],[Final Obj Name]],Table1[[#This Row],[Position 1]],Table1[[#This Row],[Position 2]]-Table1[[#This Row],[Position 1]]+1))</f>
        <v>/0SAP/</v>
      </c>
      <c r="AE365" t="str">
        <f>VLOOKUP(Table1[[#This Row],[/* Object]],Namespace!A:J,10,FALSE)</f>
        <v>SAP AG</v>
      </c>
      <c r="AF365" t="str">
        <f>IF(VLOOKUP(Table1[[#This Row],[/* Object]],Namespace!A:J,4,FALSE)=0,"",VLOOKUP(Table1[[#This Row],[/* Object]],Namespace!A:J,4,FALSE))</f>
        <v>X</v>
      </c>
      <c r="AG365" t="str">
        <f>IF(VLOOKUP(Table1[[#This Row],[/* Object]],Namespace!A:J,5,FALSE)=0,"",VLOOKUP(Table1[[#This Row],[/* Object]],Namespace!A:J,5,FALSE))</f>
        <v>X</v>
      </c>
      <c r="AH365" t="str">
        <f>IF(VLOOKUP(Table1[[#This Row],[/* Object]],Namespace!A:J,6,FALSE)=0,"",VLOOKUP(Table1[[#This Row],[/* Object]],Namespace!A:J,6,FALSE))</f>
        <v/>
      </c>
      <c r="AI365">
        <f>IFERROR(FIND("/",Table1[[#This Row],[Final Obj Name]],1),0)</f>
        <v>0</v>
      </c>
      <c r="AJ365">
        <f>IF(Table1[[#This Row],[Position 1]]=0,0,FIND("/",Table1[[#This Row],[Final Obj Name]],Table1[[#This Row],[Position 1]]+1))</f>
        <v>0</v>
      </c>
      <c r="AK365" t="str">
        <f>IF(LEFT(Table1[[#This Row],[Final Obj Name]],1)="/",LEFT(Table1[[#This Row],[Final Obj Name]],FIND("/",Table1[[#This Row],[Final Obj Name]],2)),"/0SAP/")</f>
        <v>/0SAP/</v>
      </c>
    </row>
    <row r="366">
      <c r="A366" t="str">
        <v>DEVC</v>
      </c>
      <c r="B366" t="str">
        <v>ZMDG_S_E</v>
      </c>
      <c r="C366" t="str">
        <v>DEVC</v>
      </c>
      <c r="D366" t="str">
        <v>ZMDG_S_E</v>
      </c>
      <c r="G366" t="str">
        <v>ALL</v>
      </c>
      <c r="L366" t="str">
        <v>NSHAIK</v>
      </c>
      <c r="M366">
        <v>46009</v>
      </c>
      <c r="N366">
        <v>0.28908564814815</v>
      </c>
      <c r="S366" t="str">
        <v>X</v>
      </c>
      <c r="W366" t="str">
        <v>SP1K961217</v>
      </c>
      <c r="Y366">
        <f>IF(Table1[[#This Row],[OPERATION]]="NOTE","NOTE",Table1[[#This Row],[SUB_TYPE]])</f>
        <v>0</v>
      </c>
      <c r="Z366">
        <f>IF(Table1[[#This Row],[OPERATION]]="NOTE",NUMBERVALUE(LEFT(Table1[[#This Row],[MOD_NAME]],LEN(Table1[[#This Row],[MOD_NAME]])-4)),Table1[[#This Row],[SUB_NAME]])</f>
        <v>0</v>
      </c>
      <c r="AA366" t="str">
        <f>CONCAT(Table1[[#This Row],[Final Obj Type]],"|",Table1[[#This Row],[Final Obj Name]])</f>
        <v>0|0</v>
      </c>
      <c r="AB366" t="e">
        <f>VLOOKUP(Table1[[#This Row],[Final Obj Type]],Classification!B:E,3,FALSE)</f>
        <v>#N/A</v>
      </c>
      <c r="AC366" t="e">
        <f>VLOOKUP(Table1[[#This Row],[Final Obj Type]],Classification!B:E,4,FALSE)</f>
        <v>#N/A</v>
      </c>
      <c r="AD366" t="str">
        <f>IF(Table1[[#This Row],[Position 1]]=0,"/0SAP/",MID(Table1[[#This Row],[Final Obj Name]],Table1[[#This Row],[Position 1]],Table1[[#This Row],[Position 2]]-Table1[[#This Row],[Position 1]]+1))</f>
        <v>/0SAP/</v>
      </c>
      <c r="AE366" t="str">
        <f>VLOOKUP(Table1[[#This Row],[/* Object]],Namespace!A:J,10,FALSE)</f>
        <v>SAP AG</v>
      </c>
      <c r="AF366" t="str">
        <f>IF(VLOOKUP(Table1[[#This Row],[/* Object]],Namespace!A:J,4,FALSE)=0,"",VLOOKUP(Table1[[#This Row],[/* Object]],Namespace!A:J,4,FALSE))</f>
        <v>X</v>
      </c>
      <c r="AG366" t="str">
        <f>IF(VLOOKUP(Table1[[#This Row],[/* Object]],Namespace!A:J,5,FALSE)=0,"",VLOOKUP(Table1[[#This Row],[/* Object]],Namespace!A:J,5,FALSE))</f>
        <v>X</v>
      </c>
      <c r="AH366" t="str">
        <f>IF(VLOOKUP(Table1[[#This Row],[/* Object]],Namespace!A:J,6,FALSE)=0,"",VLOOKUP(Table1[[#This Row],[/* Object]],Namespace!A:J,6,FALSE))</f>
        <v/>
      </c>
      <c r="AI366">
        <f>IFERROR(FIND("/",Table1[[#This Row],[Final Obj Name]],1),0)</f>
        <v>0</v>
      </c>
      <c r="AJ366">
        <f>IF(Table1[[#This Row],[Position 1]]=0,0,FIND("/",Table1[[#This Row],[Final Obj Name]],Table1[[#This Row],[Position 1]]+1))</f>
        <v>0</v>
      </c>
      <c r="AK366" t="str">
        <f>IF(LEFT(Table1[[#This Row],[Final Obj Name]],1)="/",LEFT(Table1[[#This Row],[Final Obj Name]],FIND("/",Table1[[#This Row],[Final Obj Name]],2)),"/0SAP/")</f>
        <v>/0SAP/</v>
      </c>
    </row>
    <row r="367">
      <c r="A367" t="str">
        <v>DEVC</v>
      </c>
      <c r="B367" t="str">
        <v>ZMDG_S_E_0202</v>
      </c>
      <c r="C367" t="str">
        <v>DEVC</v>
      </c>
      <c r="D367" t="str">
        <v>ZMDG_S_E_0202</v>
      </c>
      <c r="G367" t="str">
        <v>ALL</v>
      </c>
      <c r="L367" t="str">
        <v>NSHAIK</v>
      </c>
      <c r="M367">
        <v>46013</v>
      </c>
      <c r="N367">
        <v>0.20728009259259</v>
      </c>
      <c r="S367" t="str">
        <v>X</v>
      </c>
      <c r="W367" t="str">
        <v>SP1K961217</v>
      </c>
      <c r="Y367">
        <f>IF(Table1[[#This Row],[OPERATION]]="NOTE","NOTE",Table1[[#This Row],[SUB_TYPE]])</f>
        <v>0</v>
      </c>
      <c r="Z367">
        <f>IF(Table1[[#This Row],[OPERATION]]="NOTE",NUMBERVALUE(LEFT(Table1[[#This Row],[MOD_NAME]],LEN(Table1[[#This Row],[MOD_NAME]])-4)),Table1[[#This Row],[SUB_NAME]])</f>
        <v>0</v>
      </c>
      <c r="AA367" t="str">
        <f>CONCAT(Table1[[#This Row],[Final Obj Type]],"|",Table1[[#This Row],[Final Obj Name]])</f>
        <v>0|0</v>
      </c>
      <c r="AB367" t="e">
        <f>VLOOKUP(Table1[[#This Row],[Final Obj Type]],Classification!B:E,3,FALSE)</f>
        <v>#N/A</v>
      </c>
      <c r="AC367" t="e">
        <f>VLOOKUP(Table1[[#This Row],[Final Obj Type]],Classification!B:E,4,FALSE)</f>
        <v>#N/A</v>
      </c>
      <c r="AD367" t="str">
        <f>IF(Table1[[#This Row],[Position 1]]=0,"/0SAP/",MID(Table1[[#This Row],[Final Obj Name]],Table1[[#This Row],[Position 1]],Table1[[#This Row],[Position 2]]-Table1[[#This Row],[Position 1]]+1))</f>
        <v>/0SAP/</v>
      </c>
      <c r="AE367" t="str">
        <f>VLOOKUP(Table1[[#This Row],[/* Object]],Namespace!A:J,10,FALSE)</f>
        <v>SAP AG</v>
      </c>
      <c r="AF367" t="str">
        <f>IF(VLOOKUP(Table1[[#This Row],[/* Object]],Namespace!A:J,4,FALSE)=0,"",VLOOKUP(Table1[[#This Row],[/* Object]],Namespace!A:J,4,FALSE))</f>
        <v>X</v>
      </c>
      <c r="AG367" t="str">
        <f>IF(VLOOKUP(Table1[[#This Row],[/* Object]],Namespace!A:J,5,FALSE)=0,"",VLOOKUP(Table1[[#This Row],[/* Object]],Namespace!A:J,5,FALSE))</f>
        <v>X</v>
      </c>
      <c r="AH367" t="str">
        <f>IF(VLOOKUP(Table1[[#This Row],[/* Object]],Namespace!A:J,6,FALSE)=0,"",VLOOKUP(Table1[[#This Row],[/* Object]],Namespace!A:J,6,FALSE))</f>
        <v/>
      </c>
      <c r="AI367">
        <f>IFERROR(FIND("/",Table1[[#This Row],[Final Obj Name]],1),0)</f>
        <v>0</v>
      </c>
      <c r="AJ367">
        <f>IF(Table1[[#This Row],[Position 1]]=0,0,FIND("/",Table1[[#This Row],[Final Obj Name]],Table1[[#This Row],[Position 1]]+1))</f>
        <v>0</v>
      </c>
      <c r="AK367" t="str">
        <f>IF(LEFT(Table1[[#This Row],[Final Obj Name]],1)="/",LEFT(Table1[[#This Row],[Final Obj Name]],FIND("/",Table1[[#This Row],[Final Obj Name]],2)),"/0SAP/")</f>
        <v>/0SAP/</v>
      </c>
    </row>
    <row r="368">
      <c r="A368" t="str">
        <v>DEVC</v>
      </c>
      <c r="B368" t="str">
        <v>ZMDG_S_E_0218</v>
      </c>
      <c r="C368" t="str">
        <v>DEVC</v>
      </c>
      <c r="D368" t="str">
        <v>ZMDG_S_E_0218</v>
      </c>
      <c r="G368" t="str">
        <v>ALL</v>
      </c>
      <c r="L368" t="str">
        <v>NSHAIK</v>
      </c>
      <c r="M368">
        <v>46009</v>
      </c>
      <c r="N368">
        <v>0.2896412037037</v>
      </c>
      <c r="S368" t="str">
        <v>X</v>
      </c>
      <c r="W368" t="str">
        <v>SP1K961217</v>
      </c>
      <c r="Y368">
        <f>IF(Table1[[#This Row],[OPERATION]]="NOTE","NOTE",Table1[[#This Row],[SUB_TYPE]])</f>
        <v>0</v>
      </c>
      <c r="Z368">
        <f>IF(Table1[[#This Row],[OPERATION]]="NOTE",NUMBERVALUE(LEFT(Table1[[#This Row],[MOD_NAME]],LEN(Table1[[#This Row],[MOD_NAME]])-4)),Table1[[#This Row],[SUB_NAME]])</f>
        <v>0</v>
      </c>
      <c r="AA368" t="str">
        <f>CONCAT(Table1[[#This Row],[Final Obj Type]],"|",Table1[[#This Row],[Final Obj Name]])</f>
        <v>0|0</v>
      </c>
      <c r="AB368" t="e">
        <f>VLOOKUP(Table1[[#This Row],[Final Obj Type]],Classification!B:E,3,FALSE)</f>
        <v>#N/A</v>
      </c>
      <c r="AC368" t="e">
        <f>VLOOKUP(Table1[[#This Row],[Final Obj Type]],Classification!B:E,4,FALSE)</f>
        <v>#N/A</v>
      </c>
      <c r="AD368" t="str">
        <f>IF(Table1[[#This Row],[Position 1]]=0,"/0SAP/",MID(Table1[[#This Row],[Final Obj Name]],Table1[[#This Row],[Position 1]],Table1[[#This Row],[Position 2]]-Table1[[#This Row],[Position 1]]+1))</f>
        <v>/0SAP/</v>
      </c>
      <c r="AE368" t="str">
        <f>VLOOKUP(Table1[[#This Row],[/* Object]],Namespace!A:J,10,FALSE)</f>
        <v>SAP AG</v>
      </c>
      <c r="AF368" t="str">
        <f>IF(VLOOKUP(Table1[[#This Row],[/* Object]],Namespace!A:J,4,FALSE)=0,"",VLOOKUP(Table1[[#This Row],[/* Object]],Namespace!A:J,4,FALSE))</f>
        <v>X</v>
      </c>
      <c r="AG368" t="str">
        <f>IF(VLOOKUP(Table1[[#This Row],[/* Object]],Namespace!A:J,5,FALSE)=0,"",VLOOKUP(Table1[[#This Row],[/* Object]],Namespace!A:J,5,FALSE))</f>
        <v>X</v>
      </c>
      <c r="AH368" t="str">
        <f>IF(VLOOKUP(Table1[[#This Row],[/* Object]],Namespace!A:J,6,FALSE)=0,"",VLOOKUP(Table1[[#This Row],[/* Object]],Namespace!A:J,6,FALSE))</f>
        <v/>
      </c>
      <c r="AI368">
        <f>IFERROR(FIND("/",Table1[[#This Row],[Final Obj Name]],1),0)</f>
        <v>0</v>
      </c>
      <c r="AJ368">
        <f>IF(Table1[[#This Row],[Position 1]]=0,0,FIND("/",Table1[[#This Row],[Final Obj Name]],Table1[[#This Row],[Position 1]]+1))</f>
        <v>0</v>
      </c>
      <c r="AK368" t="str">
        <f>IF(LEFT(Table1[[#This Row],[Final Obj Name]],1)="/",LEFT(Table1[[#This Row],[Final Obj Name]],FIND("/",Table1[[#This Row],[Final Obj Name]],2)),"/0SAP/")</f>
        <v>/0SAP/</v>
      </c>
    </row>
    <row r="369">
      <c r="A369" t="str">
        <v>DEVC</v>
      </c>
      <c r="B369" t="str">
        <v>ZMDG_S_E_2</v>
      </c>
      <c r="C369" t="str">
        <v>DEVC</v>
      </c>
      <c r="D369" t="str">
        <v>ZMDG_S_E_2</v>
      </c>
      <c r="G369" t="str">
        <v>ALL</v>
      </c>
      <c r="L369" t="str">
        <v>NSHAIK</v>
      </c>
      <c r="M369">
        <v>46009</v>
      </c>
      <c r="N369">
        <v>0.28976851851852</v>
      </c>
      <c r="S369" t="str">
        <v>X</v>
      </c>
      <c r="W369" t="str">
        <v>SP1K961217</v>
      </c>
      <c r="Y369">
        <f>IF(Table1[[#This Row],[OPERATION]]="NOTE","NOTE",Table1[[#This Row],[SUB_TYPE]])</f>
        <v>0</v>
      </c>
      <c r="Z369">
        <f>IF(Table1[[#This Row],[OPERATION]]="NOTE",NUMBERVALUE(LEFT(Table1[[#This Row],[MOD_NAME]],LEN(Table1[[#This Row],[MOD_NAME]])-4)),Table1[[#This Row],[SUB_NAME]])</f>
        <v>0</v>
      </c>
      <c r="AA369" t="str">
        <f>CONCAT(Table1[[#This Row],[Final Obj Type]],"|",Table1[[#This Row],[Final Obj Name]])</f>
        <v>0|0</v>
      </c>
      <c r="AB369" t="e">
        <f>VLOOKUP(Table1[[#This Row],[Final Obj Type]],Classification!B:E,3,FALSE)</f>
        <v>#N/A</v>
      </c>
      <c r="AC369" t="e">
        <f>VLOOKUP(Table1[[#This Row],[Final Obj Type]],Classification!B:E,4,FALSE)</f>
        <v>#N/A</v>
      </c>
      <c r="AD369" t="str">
        <f>IF(Table1[[#This Row],[Position 1]]=0,"/0SAP/",MID(Table1[[#This Row],[Final Obj Name]],Table1[[#This Row],[Position 1]],Table1[[#This Row],[Position 2]]-Table1[[#This Row],[Position 1]]+1))</f>
        <v>/0SAP/</v>
      </c>
      <c r="AE369" t="str">
        <f>VLOOKUP(Table1[[#This Row],[/* Object]],Namespace!A:J,10,FALSE)</f>
        <v>SAP AG</v>
      </c>
      <c r="AF369" t="str">
        <f>IF(VLOOKUP(Table1[[#This Row],[/* Object]],Namespace!A:J,4,FALSE)=0,"",VLOOKUP(Table1[[#This Row],[/* Object]],Namespace!A:J,4,FALSE))</f>
        <v>X</v>
      </c>
      <c r="AG369" t="str">
        <f>IF(VLOOKUP(Table1[[#This Row],[/* Object]],Namespace!A:J,5,FALSE)=0,"",VLOOKUP(Table1[[#This Row],[/* Object]],Namespace!A:J,5,FALSE))</f>
        <v>X</v>
      </c>
      <c r="AH369" t="str">
        <f>IF(VLOOKUP(Table1[[#This Row],[/* Object]],Namespace!A:J,6,FALSE)=0,"",VLOOKUP(Table1[[#This Row],[/* Object]],Namespace!A:J,6,FALSE))</f>
        <v/>
      </c>
      <c r="AI369">
        <f>IFERROR(FIND("/",Table1[[#This Row],[Final Obj Name]],1),0)</f>
        <v>0</v>
      </c>
      <c r="AJ369">
        <f>IF(Table1[[#This Row],[Position 1]]=0,0,FIND("/",Table1[[#This Row],[Final Obj Name]],Table1[[#This Row],[Position 1]]+1))</f>
        <v>0</v>
      </c>
      <c r="AK369" t="str">
        <f>IF(LEFT(Table1[[#This Row],[Final Obj Name]],1)="/",LEFT(Table1[[#This Row],[Final Obj Name]],FIND("/",Table1[[#This Row],[Final Obj Name]],2)),"/0SAP/")</f>
        <v>/0SAP/</v>
      </c>
    </row>
    <row r="370">
      <c r="A370" t="str">
        <v>DEVC</v>
      </c>
      <c r="B370" t="str">
        <v>ZMDG_S_E_2205</v>
      </c>
      <c r="C370" t="str">
        <v>DEVC</v>
      </c>
      <c r="D370" t="str">
        <v>ZMDG_S_E_2205</v>
      </c>
      <c r="G370" t="str">
        <v>ALL</v>
      </c>
      <c r="L370" t="str">
        <v>NSHAIK</v>
      </c>
      <c r="M370">
        <v>46009</v>
      </c>
      <c r="N370">
        <v>0.28990740740741</v>
      </c>
      <c r="S370" t="str">
        <v>X</v>
      </c>
      <c r="W370" t="str">
        <v>SP1K961217</v>
      </c>
      <c r="Y370">
        <f>IF(Table1[[#This Row],[OPERATION]]="NOTE","NOTE",Table1[[#This Row],[SUB_TYPE]])</f>
        <v>0</v>
      </c>
      <c r="Z370">
        <f>IF(Table1[[#This Row],[OPERATION]]="NOTE",NUMBERVALUE(LEFT(Table1[[#This Row],[MOD_NAME]],LEN(Table1[[#This Row],[MOD_NAME]])-4)),Table1[[#This Row],[SUB_NAME]])</f>
        <v>0</v>
      </c>
      <c r="AA370" t="str">
        <f>CONCAT(Table1[[#This Row],[Final Obj Type]],"|",Table1[[#This Row],[Final Obj Name]])</f>
        <v>0|0</v>
      </c>
      <c r="AB370" t="e">
        <f>VLOOKUP(Table1[[#This Row],[Final Obj Type]],Classification!B:E,3,FALSE)</f>
        <v>#N/A</v>
      </c>
      <c r="AC370" t="e">
        <f>VLOOKUP(Table1[[#This Row],[Final Obj Type]],Classification!B:E,4,FALSE)</f>
        <v>#N/A</v>
      </c>
      <c r="AD370" t="str">
        <f>IF(Table1[[#This Row],[Position 1]]=0,"/0SAP/",MID(Table1[[#This Row],[Final Obj Name]],Table1[[#This Row],[Position 1]],Table1[[#This Row],[Position 2]]-Table1[[#This Row],[Position 1]]+1))</f>
        <v>/0SAP/</v>
      </c>
      <c r="AE370" t="str">
        <f>VLOOKUP(Table1[[#This Row],[/* Object]],Namespace!A:J,10,FALSE)</f>
        <v>SAP AG</v>
      </c>
      <c r="AF370" t="str">
        <f>IF(VLOOKUP(Table1[[#This Row],[/* Object]],Namespace!A:J,4,FALSE)=0,"",VLOOKUP(Table1[[#This Row],[/* Object]],Namespace!A:J,4,FALSE))</f>
        <v>X</v>
      </c>
      <c r="AG370" t="str">
        <f>IF(VLOOKUP(Table1[[#This Row],[/* Object]],Namespace!A:J,5,FALSE)=0,"",VLOOKUP(Table1[[#This Row],[/* Object]],Namespace!A:J,5,FALSE))</f>
        <v>X</v>
      </c>
      <c r="AH370" t="str">
        <f>IF(VLOOKUP(Table1[[#This Row],[/* Object]],Namespace!A:J,6,FALSE)=0,"",VLOOKUP(Table1[[#This Row],[/* Object]],Namespace!A:J,6,FALSE))</f>
        <v/>
      </c>
      <c r="AI370">
        <f>IFERROR(FIND("/",Table1[[#This Row],[Final Obj Name]],1),0)</f>
        <v>0</v>
      </c>
      <c r="AJ370">
        <f>IF(Table1[[#This Row],[Position 1]]=0,0,FIND("/",Table1[[#This Row],[Final Obj Name]],Table1[[#This Row],[Position 1]]+1))</f>
        <v>0</v>
      </c>
      <c r="AK370" t="str">
        <f>IF(LEFT(Table1[[#This Row],[Final Obj Name]],1)="/",LEFT(Table1[[#This Row],[Final Obj Name]],FIND("/",Table1[[#This Row],[Final Obj Name]],2)),"/0SAP/")</f>
        <v>/0SAP/</v>
      </c>
    </row>
    <row r="371">
      <c r="A371" t="str">
        <v>DEVC</v>
      </c>
      <c r="B371" t="str">
        <v>ZMDG_S_I</v>
      </c>
      <c r="C371" t="str">
        <v>DEVC</v>
      </c>
      <c r="D371" t="str">
        <v>ZMDG_S_I</v>
      </c>
      <c r="G371" t="str">
        <v>ALL</v>
      </c>
      <c r="L371" t="str">
        <v>NSHAIK</v>
      </c>
      <c r="M371">
        <v>46009</v>
      </c>
      <c r="N371">
        <v>0.29003472222222</v>
      </c>
      <c r="S371" t="str">
        <v>X</v>
      </c>
      <c r="W371" t="str">
        <v>SP1K961217</v>
      </c>
      <c r="Y371">
        <f>IF(Table1[[#This Row],[OPERATION]]="NOTE","NOTE",Table1[[#This Row],[SUB_TYPE]])</f>
        <v>0</v>
      </c>
      <c r="Z371">
        <f>IF(Table1[[#This Row],[OPERATION]]="NOTE",NUMBERVALUE(LEFT(Table1[[#This Row],[MOD_NAME]],LEN(Table1[[#This Row],[MOD_NAME]])-4)),Table1[[#This Row],[SUB_NAME]])</f>
        <v>0</v>
      </c>
      <c r="AA371" t="str">
        <f>CONCAT(Table1[[#This Row],[Final Obj Type]],"|",Table1[[#This Row],[Final Obj Name]])</f>
        <v>0|0</v>
      </c>
      <c r="AB371" t="e">
        <f>VLOOKUP(Table1[[#This Row],[Final Obj Type]],Classification!B:E,3,FALSE)</f>
        <v>#N/A</v>
      </c>
      <c r="AC371" t="e">
        <f>VLOOKUP(Table1[[#This Row],[Final Obj Type]],Classification!B:E,4,FALSE)</f>
        <v>#N/A</v>
      </c>
      <c r="AD371" t="str">
        <f>IF(Table1[[#This Row],[Position 1]]=0,"/0SAP/",MID(Table1[[#This Row],[Final Obj Name]],Table1[[#This Row],[Position 1]],Table1[[#This Row],[Position 2]]-Table1[[#This Row],[Position 1]]+1))</f>
        <v>/0SAP/</v>
      </c>
      <c r="AE371" t="str">
        <f>VLOOKUP(Table1[[#This Row],[/* Object]],Namespace!A:J,10,FALSE)</f>
        <v>SAP AG</v>
      </c>
      <c r="AF371" t="str">
        <f>IF(VLOOKUP(Table1[[#This Row],[/* Object]],Namespace!A:J,4,FALSE)=0,"",VLOOKUP(Table1[[#This Row],[/* Object]],Namespace!A:J,4,FALSE))</f>
        <v>X</v>
      </c>
      <c r="AG371" t="str">
        <f>IF(VLOOKUP(Table1[[#This Row],[/* Object]],Namespace!A:J,5,FALSE)=0,"",VLOOKUP(Table1[[#This Row],[/* Object]],Namespace!A:J,5,FALSE))</f>
        <v>X</v>
      </c>
      <c r="AH371" t="str">
        <f>IF(VLOOKUP(Table1[[#This Row],[/* Object]],Namespace!A:J,6,FALSE)=0,"",VLOOKUP(Table1[[#This Row],[/* Object]],Namespace!A:J,6,FALSE))</f>
        <v/>
      </c>
      <c r="AI371">
        <f>IFERROR(FIND("/",Table1[[#This Row],[Final Obj Name]],1),0)</f>
        <v>0</v>
      </c>
      <c r="AJ371">
        <f>IF(Table1[[#This Row],[Position 1]]=0,0,FIND("/",Table1[[#This Row],[Final Obj Name]],Table1[[#This Row],[Position 1]]+1))</f>
        <v>0</v>
      </c>
      <c r="AK371" t="str">
        <f>IF(LEFT(Table1[[#This Row],[Final Obj Name]],1)="/",LEFT(Table1[[#This Row],[Final Obj Name]],FIND("/",Table1[[#This Row],[Final Obj Name]],2)),"/0SAP/")</f>
        <v>/0SAP/</v>
      </c>
    </row>
    <row r="372">
      <c r="A372" t="str">
        <v>DEVC</v>
      </c>
      <c r="B372" t="str">
        <v>ZMDG_S_I_0207</v>
      </c>
      <c r="C372" t="str">
        <v>DEVC</v>
      </c>
      <c r="D372" t="str">
        <v>ZMDG_S_I_0207</v>
      </c>
      <c r="G372" t="str">
        <v>ALL</v>
      </c>
      <c r="L372" t="str">
        <v>NSHAIK</v>
      </c>
      <c r="M372">
        <v>46009</v>
      </c>
      <c r="N372">
        <v>0.29017361111111</v>
      </c>
      <c r="S372" t="str">
        <v>X</v>
      </c>
      <c r="W372" t="str">
        <v>SP1K961217</v>
      </c>
      <c r="Y372">
        <f>IF(Table1[[#This Row],[OPERATION]]="NOTE","NOTE",Table1[[#This Row],[SUB_TYPE]])</f>
        <v>0</v>
      </c>
      <c r="Z372">
        <f>IF(Table1[[#This Row],[OPERATION]]="NOTE",NUMBERVALUE(LEFT(Table1[[#This Row],[MOD_NAME]],LEN(Table1[[#This Row],[MOD_NAME]])-4)),Table1[[#This Row],[SUB_NAME]])</f>
        <v>0</v>
      </c>
      <c r="AA372" t="str">
        <f>CONCAT(Table1[[#This Row],[Final Obj Type]],"|",Table1[[#This Row],[Final Obj Name]])</f>
        <v>0|0</v>
      </c>
      <c r="AB372" t="e">
        <f>VLOOKUP(Table1[[#This Row],[Final Obj Type]],Classification!B:E,3,FALSE)</f>
        <v>#N/A</v>
      </c>
      <c r="AC372" t="e">
        <f>VLOOKUP(Table1[[#This Row],[Final Obj Type]],Classification!B:E,4,FALSE)</f>
        <v>#N/A</v>
      </c>
      <c r="AD372" t="str">
        <f>IF(Table1[[#This Row],[Position 1]]=0,"/0SAP/",MID(Table1[[#This Row],[Final Obj Name]],Table1[[#This Row],[Position 1]],Table1[[#This Row],[Position 2]]-Table1[[#This Row],[Position 1]]+1))</f>
        <v>/0SAP/</v>
      </c>
      <c r="AE372" t="str">
        <f>VLOOKUP(Table1[[#This Row],[/* Object]],Namespace!A:J,10,FALSE)</f>
        <v>SAP AG</v>
      </c>
      <c r="AF372" t="str">
        <f>IF(VLOOKUP(Table1[[#This Row],[/* Object]],Namespace!A:J,4,FALSE)=0,"",VLOOKUP(Table1[[#This Row],[/* Object]],Namespace!A:J,4,FALSE))</f>
        <v>X</v>
      </c>
      <c r="AG372" t="str">
        <f>IF(VLOOKUP(Table1[[#This Row],[/* Object]],Namespace!A:J,5,FALSE)=0,"",VLOOKUP(Table1[[#This Row],[/* Object]],Namespace!A:J,5,FALSE))</f>
        <v>X</v>
      </c>
      <c r="AH372" t="str">
        <f>IF(VLOOKUP(Table1[[#This Row],[/* Object]],Namespace!A:J,6,FALSE)=0,"",VLOOKUP(Table1[[#This Row],[/* Object]],Namespace!A:J,6,FALSE))</f>
        <v/>
      </c>
      <c r="AI372">
        <f>IFERROR(FIND("/",Table1[[#This Row],[Final Obj Name]],1),0)</f>
        <v>0</v>
      </c>
      <c r="AJ372">
        <f>IF(Table1[[#This Row],[Position 1]]=0,0,FIND("/",Table1[[#This Row],[Final Obj Name]],Table1[[#This Row],[Position 1]]+1))</f>
        <v>0</v>
      </c>
      <c r="AK372" t="str">
        <f>IF(LEFT(Table1[[#This Row],[Final Obj Name]],1)="/",LEFT(Table1[[#This Row],[Final Obj Name]],FIND("/",Table1[[#This Row],[Final Obj Name]],2)),"/0SAP/")</f>
        <v>/0SAP/</v>
      </c>
    </row>
    <row r="373">
      <c r="A373" t="str">
        <v>DEVC</v>
      </c>
      <c r="B373" t="str">
        <v>ZMDG_S_I_0216</v>
      </c>
      <c r="C373" t="str">
        <v>DEVC</v>
      </c>
      <c r="D373" t="str">
        <v>ZMDG_S_I_0216</v>
      </c>
      <c r="G373" t="str">
        <v>ALL</v>
      </c>
      <c r="L373" t="str">
        <v>NSHAIK</v>
      </c>
      <c r="M373">
        <v>46009</v>
      </c>
      <c r="N373">
        <v>0.29034722222222</v>
      </c>
      <c r="S373" t="str">
        <v>X</v>
      </c>
      <c r="W373" t="str">
        <v>SP1K961217</v>
      </c>
      <c r="Y373">
        <f>IF(Table1[[#This Row],[OPERATION]]="NOTE","NOTE",Table1[[#This Row],[SUB_TYPE]])</f>
        <v>0</v>
      </c>
      <c r="Z373">
        <f>IF(Table1[[#This Row],[OPERATION]]="NOTE",NUMBERVALUE(LEFT(Table1[[#This Row],[MOD_NAME]],LEN(Table1[[#This Row],[MOD_NAME]])-4)),Table1[[#This Row],[SUB_NAME]])</f>
        <v>0</v>
      </c>
      <c r="AA373" t="str">
        <f>CONCAT(Table1[[#This Row],[Final Obj Type]],"|",Table1[[#This Row],[Final Obj Name]])</f>
        <v>0|0</v>
      </c>
      <c r="AB373" t="e">
        <f>VLOOKUP(Table1[[#This Row],[Final Obj Type]],Classification!B:E,3,FALSE)</f>
        <v>#N/A</v>
      </c>
      <c r="AC373" t="e">
        <f>VLOOKUP(Table1[[#This Row],[Final Obj Type]],Classification!B:E,4,FALSE)</f>
        <v>#N/A</v>
      </c>
      <c r="AD373" t="str">
        <f>IF(Table1[[#This Row],[Position 1]]=0,"/0SAP/",MID(Table1[[#This Row],[Final Obj Name]],Table1[[#This Row],[Position 1]],Table1[[#This Row],[Position 2]]-Table1[[#This Row],[Position 1]]+1))</f>
        <v>/0SAP/</v>
      </c>
      <c r="AE373" t="str">
        <f>VLOOKUP(Table1[[#This Row],[/* Object]],Namespace!A:J,10,FALSE)</f>
        <v>SAP AG</v>
      </c>
      <c r="AF373" t="str">
        <f>IF(VLOOKUP(Table1[[#This Row],[/* Object]],Namespace!A:J,4,FALSE)=0,"",VLOOKUP(Table1[[#This Row],[/* Object]],Namespace!A:J,4,FALSE))</f>
        <v>X</v>
      </c>
      <c r="AG373" t="str">
        <f>IF(VLOOKUP(Table1[[#This Row],[/* Object]],Namespace!A:J,5,FALSE)=0,"",VLOOKUP(Table1[[#This Row],[/* Object]],Namespace!A:J,5,FALSE))</f>
        <v>X</v>
      </c>
      <c r="AH373" t="str">
        <f>IF(VLOOKUP(Table1[[#This Row],[/* Object]],Namespace!A:J,6,FALSE)=0,"",VLOOKUP(Table1[[#This Row],[/* Object]],Namespace!A:J,6,FALSE))</f>
        <v/>
      </c>
      <c r="AI373">
        <f>IFERROR(FIND("/",Table1[[#This Row],[Final Obj Name]],1),0)</f>
        <v>0</v>
      </c>
      <c r="AJ373">
        <f>IF(Table1[[#This Row],[Position 1]]=0,0,FIND("/",Table1[[#This Row],[Final Obj Name]],Table1[[#This Row],[Position 1]]+1))</f>
        <v>0</v>
      </c>
      <c r="AK373" t="str">
        <f>IF(LEFT(Table1[[#This Row],[Final Obj Name]],1)="/",LEFT(Table1[[#This Row],[Final Obj Name]],FIND("/",Table1[[#This Row],[Final Obj Name]],2)),"/0SAP/")</f>
        <v>/0SAP/</v>
      </c>
    </row>
    <row r="374">
      <c r="A374" t="str">
        <v>DOMA</v>
      </c>
      <c r="B374" t="str">
        <v>ZB_FOCUS</v>
      </c>
      <c r="C374" t="str">
        <v>DOMD</v>
      </c>
      <c r="D374" t="str">
        <v>ZB_FOCUS</v>
      </c>
      <c r="G374" t="str">
        <v>ALL</v>
      </c>
      <c r="K374" t="str">
        <v>E</v>
      </c>
      <c r="L374" t="str">
        <v>SDHAMODHARAN</v>
      </c>
      <c r="M374">
        <v>46216</v>
      </c>
      <c r="N374">
        <v>0.52724537037037</v>
      </c>
      <c r="S374" t="str">
        <v>X</v>
      </c>
      <c r="W374" t="str">
        <v>S01K930169</v>
      </c>
      <c r="Y374">
        <f>IF(Table1[[#This Row],[OPERATION]]="NOTE","NOTE",Table1[[#This Row],[SUB_TYPE]])</f>
        <v>0</v>
      </c>
      <c r="Z374">
        <f>IF(Table1[[#This Row],[OPERATION]]="NOTE",NUMBERVALUE(LEFT(Table1[[#This Row],[MOD_NAME]],LEN(Table1[[#This Row],[MOD_NAME]])-4)),Table1[[#This Row],[SUB_NAME]])</f>
        <v>0</v>
      </c>
      <c r="AA374" t="str">
        <f>CONCAT(Table1[[#This Row],[Final Obj Type]],"|",Table1[[#This Row],[Final Obj Name]])</f>
        <v>0|0</v>
      </c>
      <c r="AB374" t="e">
        <f>VLOOKUP(Table1[[#This Row],[Final Obj Type]],Classification!B:E,3,FALSE)</f>
        <v>#N/A</v>
      </c>
      <c r="AC374" t="e">
        <f>VLOOKUP(Table1[[#This Row],[Final Obj Type]],Classification!B:E,4,FALSE)</f>
        <v>#N/A</v>
      </c>
      <c r="AD374" t="str">
        <f>IF(Table1[[#This Row],[Position 1]]=0,"/0SAP/",MID(Table1[[#This Row],[Final Obj Name]],Table1[[#This Row],[Position 1]],Table1[[#This Row],[Position 2]]-Table1[[#This Row],[Position 1]]+1))</f>
        <v>/0SAP/</v>
      </c>
      <c r="AE374" t="str">
        <f>VLOOKUP(Table1[[#This Row],[/* Object]],Namespace!A:J,10,FALSE)</f>
        <v>SAP AG</v>
      </c>
      <c r="AF374" t="str">
        <f>IF(VLOOKUP(Table1[[#This Row],[/* Object]],Namespace!A:J,4,FALSE)=0,"",VLOOKUP(Table1[[#This Row],[/* Object]],Namespace!A:J,4,FALSE))</f>
        <v>X</v>
      </c>
      <c r="AG374" t="str">
        <f>IF(VLOOKUP(Table1[[#This Row],[/* Object]],Namespace!A:J,5,FALSE)=0,"",VLOOKUP(Table1[[#This Row],[/* Object]],Namespace!A:J,5,FALSE))</f>
        <v>X</v>
      </c>
      <c r="AH374" t="str">
        <f>IF(VLOOKUP(Table1[[#This Row],[/* Object]],Namespace!A:J,6,FALSE)=0,"",VLOOKUP(Table1[[#This Row],[/* Object]],Namespace!A:J,6,FALSE))</f>
        <v/>
      </c>
      <c r="AI374">
        <f>IFERROR(FIND("/",Table1[[#This Row],[Final Obj Name]],1),0)</f>
        <v>0</v>
      </c>
      <c r="AJ374">
        <f>IF(Table1[[#This Row],[Position 1]]=0,0,FIND("/",Table1[[#This Row],[Final Obj Name]],Table1[[#This Row],[Position 1]]+1))</f>
        <v>0</v>
      </c>
      <c r="AK374" t="str">
        <f>IF(LEFT(Table1[[#This Row],[Final Obj Name]],1)="/",LEFT(Table1[[#This Row],[Final Obj Name]],FIND("/",Table1[[#This Row],[Final Obj Name]],2)),"/0SAP/")</f>
        <v>/0SAP/</v>
      </c>
    </row>
    <row r="375">
      <c r="A375" t="str">
        <v>DOMA</v>
      </c>
      <c r="B375" t="str">
        <v>ZDD_ERPIDEN</v>
      </c>
      <c r="C375" t="str">
        <v>DOMD</v>
      </c>
      <c r="D375" t="str">
        <v>ZDD_ERPIDEN</v>
      </c>
      <c r="G375" t="str">
        <v>ALL</v>
      </c>
      <c r="K375" t="str">
        <v>E</v>
      </c>
      <c r="L375" t="str">
        <v>NSHAIK</v>
      </c>
      <c r="M375">
        <v>46013</v>
      </c>
      <c r="N375">
        <v>0.23738425925926</v>
      </c>
      <c r="S375" t="str">
        <v>X</v>
      </c>
      <c r="W375" t="str">
        <v>SP1K961121</v>
      </c>
      <c r="Y375">
        <f>IF(Table1[[#This Row],[OPERATION]]="NOTE","NOTE",Table1[[#This Row],[SUB_TYPE]])</f>
        <v>0</v>
      </c>
      <c r="Z375">
        <f>IF(Table1[[#This Row],[OPERATION]]="NOTE",NUMBERVALUE(LEFT(Table1[[#This Row],[MOD_NAME]],LEN(Table1[[#This Row],[MOD_NAME]])-4)),Table1[[#This Row],[SUB_NAME]])</f>
        <v>0</v>
      </c>
      <c r="AA375" t="str">
        <f>CONCAT(Table1[[#This Row],[Final Obj Type]],"|",Table1[[#This Row],[Final Obj Name]])</f>
        <v>0|0</v>
      </c>
      <c r="AB375" t="e">
        <f>VLOOKUP(Table1[[#This Row],[Final Obj Type]],Classification!B:E,3,FALSE)</f>
        <v>#N/A</v>
      </c>
      <c r="AC375" t="e">
        <f>VLOOKUP(Table1[[#This Row],[Final Obj Type]],Classification!B:E,4,FALSE)</f>
        <v>#N/A</v>
      </c>
      <c r="AD375" t="str">
        <f>IF(Table1[[#This Row],[Position 1]]=0,"/0SAP/",MID(Table1[[#This Row],[Final Obj Name]],Table1[[#This Row],[Position 1]],Table1[[#This Row],[Position 2]]-Table1[[#This Row],[Position 1]]+1))</f>
        <v>/0SAP/</v>
      </c>
      <c r="AE375" t="str">
        <f>VLOOKUP(Table1[[#This Row],[/* Object]],Namespace!A:J,10,FALSE)</f>
        <v>SAP AG</v>
      </c>
      <c r="AF375" t="str">
        <f>IF(VLOOKUP(Table1[[#This Row],[/* Object]],Namespace!A:J,4,FALSE)=0,"",VLOOKUP(Table1[[#This Row],[/* Object]],Namespace!A:J,4,FALSE))</f>
        <v>X</v>
      </c>
      <c r="AG375" t="str">
        <f>IF(VLOOKUP(Table1[[#This Row],[/* Object]],Namespace!A:J,5,FALSE)=0,"",VLOOKUP(Table1[[#This Row],[/* Object]],Namespace!A:J,5,FALSE))</f>
        <v>X</v>
      </c>
      <c r="AH375" t="str">
        <f>IF(VLOOKUP(Table1[[#This Row],[/* Object]],Namespace!A:J,6,FALSE)=0,"",VLOOKUP(Table1[[#This Row],[/* Object]],Namespace!A:J,6,FALSE))</f>
        <v/>
      </c>
      <c r="AI375">
        <f>IFERROR(FIND("/",Table1[[#This Row],[Final Obj Name]],1),0)</f>
        <v>0</v>
      </c>
      <c r="AJ375">
        <f>IF(Table1[[#This Row],[Position 1]]=0,0,FIND("/",Table1[[#This Row],[Final Obj Name]],Table1[[#This Row],[Position 1]]+1))</f>
        <v>0</v>
      </c>
      <c r="AK375" t="str">
        <f>IF(LEFT(Table1[[#This Row],[Final Obj Name]],1)="/",LEFT(Table1[[#This Row],[Final Obj Name]],FIND("/",Table1[[#This Row],[Final Obj Name]],2)),"/0SAP/")</f>
        <v>/0SAP/</v>
      </c>
    </row>
    <row r="376">
      <c r="A376" t="str">
        <v>DOMA</v>
      </c>
      <c r="B376" t="str">
        <v>ZDEMGS_COMMMODITY_L3</v>
      </c>
      <c r="C376" t="str">
        <v>DOMD</v>
      </c>
      <c r="D376" t="str">
        <v>ZDEMGS_COMMMODITY_L3</v>
      </c>
      <c r="G376" t="str">
        <v>ALL</v>
      </c>
      <c r="K376" t="str">
        <v>E</v>
      </c>
      <c r="L376" t="str">
        <v>NSHAIK</v>
      </c>
      <c r="M376">
        <v>46013</v>
      </c>
      <c r="N376">
        <v>0.28416666666667</v>
      </c>
      <c r="S376" t="str">
        <v>X</v>
      </c>
      <c r="W376" t="str">
        <v>SP1K961121</v>
      </c>
      <c r="Y376">
        <f>IF(Table1[[#This Row],[OPERATION]]="NOTE","NOTE",Table1[[#This Row],[SUB_TYPE]])</f>
        <v>0</v>
      </c>
      <c r="Z376">
        <f>IF(Table1[[#This Row],[OPERATION]]="NOTE",NUMBERVALUE(LEFT(Table1[[#This Row],[MOD_NAME]],LEN(Table1[[#This Row],[MOD_NAME]])-4)),Table1[[#This Row],[SUB_NAME]])</f>
        <v>0</v>
      </c>
      <c r="AA376" t="str">
        <f>CONCAT(Table1[[#This Row],[Final Obj Type]],"|",Table1[[#This Row],[Final Obj Name]])</f>
        <v>0|0</v>
      </c>
      <c r="AB376" t="e">
        <f>VLOOKUP(Table1[[#This Row],[Final Obj Type]],Classification!B:E,3,FALSE)</f>
        <v>#N/A</v>
      </c>
      <c r="AC376" t="e">
        <f>VLOOKUP(Table1[[#This Row],[Final Obj Type]],Classification!B:E,4,FALSE)</f>
        <v>#N/A</v>
      </c>
      <c r="AD376" t="str">
        <f>IF(Table1[[#This Row],[Position 1]]=0,"/0SAP/",MID(Table1[[#This Row],[Final Obj Name]],Table1[[#This Row],[Position 1]],Table1[[#This Row],[Position 2]]-Table1[[#This Row],[Position 1]]+1))</f>
        <v>/0SAP/</v>
      </c>
      <c r="AE376" t="str">
        <f>VLOOKUP(Table1[[#This Row],[/* Object]],Namespace!A:J,10,FALSE)</f>
        <v>SAP AG</v>
      </c>
      <c r="AF376" t="str">
        <f>IF(VLOOKUP(Table1[[#This Row],[/* Object]],Namespace!A:J,4,FALSE)=0,"",VLOOKUP(Table1[[#This Row],[/* Object]],Namespace!A:J,4,FALSE))</f>
        <v>X</v>
      </c>
      <c r="AG376" t="str">
        <f>IF(VLOOKUP(Table1[[#This Row],[/* Object]],Namespace!A:J,5,FALSE)=0,"",VLOOKUP(Table1[[#This Row],[/* Object]],Namespace!A:J,5,FALSE))</f>
        <v>X</v>
      </c>
      <c r="AH376" t="str">
        <f>IF(VLOOKUP(Table1[[#This Row],[/* Object]],Namespace!A:J,6,FALSE)=0,"",VLOOKUP(Table1[[#This Row],[/* Object]],Namespace!A:J,6,FALSE))</f>
        <v/>
      </c>
      <c r="AI376">
        <f>IFERROR(FIND("/",Table1[[#This Row],[Final Obj Name]],1),0)</f>
        <v>0</v>
      </c>
      <c r="AJ376">
        <f>IF(Table1[[#This Row],[Position 1]]=0,0,FIND("/",Table1[[#This Row],[Final Obj Name]],Table1[[#This Row],[Position 1]]+1))</f>
        <v>0</v>
      </c>
      <c r="AK376" t="str">
        <f>IF(LEFT(Table1[[#This Row],[Final Obj Name]],1)="/",LEFT(Table1[[#This Row],[Final Obj Name]],FIND("/",Table1[[#This Row],[Final Obj Name]],2)),"/0SAP/")</f>
        <v>/0SAP/</v>
      </c>
    </row>
    <row r="377">
      <c r="A377" t="str">
        <v>DOMA</v>
      </c>
      <c r="B377" t="str">
        <v>ZDEMGS_COMMMODITY_L4</v>
      </c>
      <c r="C377" t="str">
        <v>DOMD</v>
      </c>
      <c r="D377" t="str">
        <v>ZDEMGS_COMMMODITY_L4</v>
      </c>
      <c r="G377" t="str">
        <v>ALL</v>
      </c>
      <c r="K377" t="str">
        <v>E</v>
      </c>
      <c r="L377" t="str">
        <v>NSHAIK</v>
      </c>
      <c r="M377">
        <v>46013</v>
      </c>
      <c r="N377">
        <v>0.28454861111111</v>
      </c>
      <c r="S377" t="str">
        <v>X</v>
      </c>
      <c r="W377" t="str">
        <v>SP1K961121</v>
      </c>
      <c r="Y377">
        <f>IF(Table1[[#This Row],[OPERATION]]="NOTE","NOTE",Table1[[#This Row],[SUB_TYPE]])</f>
        <v>0</v>
      </c>
      <c r="Z377">
        <f>IF(Table1[[#This Row],[OPERATION]]="NOTE",NUMBERVALUE(LEFT(Table1[[#This Row],[MOD_NAME]],LEN(Table1[[#This Row],[MOD_NAME]])-4)),Table1[[#This Row],[SUB_NAME]])</f>
        <v>0</v>
      </c>
      <c r="AA377" t="str">
        <f>CONCAT(Table1[[#This Row],[Final Obj Type]],"|",Table1[[#This Row],[Final Obj Name]])</f>
        <v>0|0</v>
      </c>
      <c r="AB377" t="e">
        <f>VLOOKUP(Table1[[#This Row],[Final Obj Type]],Classification!B:E,3,FALSE)</f>
        <v>#N/A</v>
      </c>
      <c r="AC377" t="e">
        <f>VLOOKUP(Table1[[#This Row],[Final Obj Type]],Classification!B:E,4,FALSE)</f>
        <v>#N/A</v>
      </c>
      <c r="AD377" t="str">
        <f>IF(Table1[[#This Row],[Position 1]]=0,"/0SAP/",MID(Table1[[#This Row],[Final Obj Name]],Table1[[#This Row],[Position 1]],Table1[[#This Row],[Position 2]]-Table1[[#This Row],[Position 1]]+1))</f>
        <v>/0SAP/</v>
      </c>
      <c r="AE377" t="str">
        <f>VLOOKUP(Table1[[#This Row],[/* Object]],Namespace!A:J,10,FALSE)</f>
        <v>SAP AG</v>
      </c>
      <c r="AF377" t="str">
        <f>IF(VLOOKUP(Table1[[#This Row],[/* Object]],Namespace!A:J,4,FALSE)=0,"",VLOOKUP(Table1[[#This Row],[/* Object]],Namespace!A:J,4,FALSE))</f>
        <v>X</v>
      </c>
      <c r="AG377" t="str">
        <f>IF(VLOOKUP(Table1[[#This Row],[/* Object]],Namespace!A:J,5,FALSE)=0,"",VLOOKUP(Table1[[#This Row],[/* Object]],Namespace!A:J,5,FALSE))</f>
        <v>X</v>
      </c>
      <c r="AH377" t="str">
        <f>IF(VLOOKUP(Table1[[#This Row],[/* Object]],Namespace!A:J,6,FALSE)=0,"",VLOOKUP(Table1[[#This Row],[/* Object]],Namespace!A:J,6,FALSE))</f>
        <v/>
      </c>
      <c r="AI377">
        <f>IFERROR(FIND("/",Table1[[#This Row],[Final Obj Name]],1),0)</f>
        <v>0</v>
      </c>
      <c r="AJ377">
        <f>IF(Table1[[#This Row],[Position 1]]=0,0,FIND("/",Table1[[#This Row],[Final Obj Name]],Table1[[#This Row],[Position 1]]+1))</f>
        <v>0</v>
      </c>
      <c r="AK377" t="str">
        <f>IF(LEFT(Table1[[#This Row],[Final Obj Name]],1)="/",LEFT(Table1[[#This Row],[Final Obj Name]],FIND("/",Table1[[#This Row],[Final Obj Name]],2)),"/0SAP/")</f>
        <v>/0SAP/</v>
      </c>
    </row>
    <row r="378">
      <c r="A378" t="str">
        <v>DOMA</v>
      </c>
      <c r="B378" t="str">
        <v>ZDE_OBJECT</v>
      </c>
      <c r="C378" t="str">
        <v>DOMD</v>
      </c>
      <c r="D378" t="str">
        <v>ZDE_OBJECT</v>
      </c>
      <c r="G378" t="str">
        <v>ALL</v>
      </c>
      <c r="K378" t="str">
        <v>E</v>
      </c>
      <c r="L378" t="str">
        <v>RBATRA</v>
      </c>
      <c r="M378">
        <v>42578</v>
      </c>
      <c r="N378">
        <v>0.06238425925926</v>
      </c>
      <c r="S378" t="str">
        <v>X</v>
      </c>
      <c r="Y378">
        <f>IF(Table1[[#This Row],[OPERATION]]="NOTE","NOTE",Table1[[#This Row],[SUB_TYPE]])</f>
        <v>0</v>
      </c>
      <c r="Z378">
        <f>IF(Table1[[#This Row],[OPERATION]]="NOTE",NUMBERVALUE(LEFT(Table1[[#This Row],[MOD_NAME]],LEN(Table1[[#This Row],[MOD_NAME]])-4)),Table1[[#This Row],[SUB_NAME]])</f>
        <v>0</v>
      </c>
      <c r="AA378" t="str">
        <f>CONCAT(Table1[[#This Row],[Final Obj Type]],"|",Table1[[#This Row],[Final Obj Name]])</f>
        <v>0|0</v>
      </c>
      <c r="AB378" t="e">
        <f>VLOOKUP(Table1[[#This Row],[Final Obj Type]],Classification!B:E,3,FALSE)</f>
        <v>#N/A</v>
      </c>
      <c r="AC378" t="e">
        <f>VLOOKUP(Table1[[#This Row],[Final Obj Type]],Classification!B:E,4,FALSE)</f>
        <v>#N/A</v>
      </c>
      <c r="AD378" t="str">
        <f>IF(Table1[[#This Row],[Position 1]]=0,"/0SAP/",MID(Table1[[#This Row],[Final Obj Name]],Table1[[#This Row],[Position 1]],Table1[[#This Row],[Position 2]]-Table1[[#This Row],[Position 1]]+1))</f>
        <v>/0SAP/</v>
      </c>
      <c r="AE378" t="str">
        <f>VLOOKUP(Table1[[#This Row],[/* Object]],Namespace!A:J,10,FALSE)</f>
        <v>SAP AG</v>
      </c>
      <c r="AF378" t="str">
        <f>IF(VLOOKUP(Table1[[#This Row],[/* Object]],Namespace!A:J,4,FALSE)=0,"",VLOOKUP(Table1[[#This Row],[/* Object]],Namespace!A:J,4,FALSE))</f>
        <v>X</v>
      </c>
      <c r="AG378" t="str">
        <f>IF(VLOOKUP(Table1[[#This Row],[/* Object]],Namespace!A:J,5,FALSE)=0,"",VLOOKUP(Table1[[#This Row],[/* Object]],Namespace!A:J,5,FALSE))</f>
        <v>X</v>
      </c>
      <c r="AH378" t="str">
        <f>IF(VLOOKUP(Table1[[#This Row],[/* Object]],Namespace!A:J,6,FALSE)=0,"",VLOOKUP(Table1[[#This Row],[/* Object]],Namespace!A:J,6,FALSE))</f>
        <v/>
      </c>
      <c r="AI378">
        <f>IFERROR(FIND("/",Table1[[#This Row],[Final Obj Name]],1),0)</f>
        <v>0</v>
      </c>
      <c r="AJ378">
        <f>IF(Table1[[#This Row],[Position 1]]=0,0,FIND("/",Table1[[#This Row],[Final Obj Name]],Table1[[#This Row],[Position 1]]+1))</f>
        <v>0</v>
      </c>
      <c r="AK378" t="str">
        <f>IF(LEFT(Table1[[#This Row],[Final Obj Name]],1)="/",LEFT(Table1[[#This Row],[Final Obj Name]],FIND("/",Table1[[#This Row],[Final Obj Name]],2)),"/0SAP/")</f>
        <v>/0SAP/</v>
      </c>
    </row>
    <row r="379">
      <c r="A379" t="str">
        <v>DOMA</v>
      </c>
      <c r="B379" t="str">
        <v>ZDE_SUBOBJECT</v>
      </c>
      <c r="C379" t="str">
        <v>DOMD</v>
      </c>
      <c r="D379" t="str">
        <v>ZDE_SUBOBJECT</v>
      </c>
      <c r="G379" t="str">
        <v>ALL</v>
      </c>
      <c r="K379" t="str">
        <v>E</v>
      </c>
      <c r="L379" t="str">
        <v>RBATRA</v>
      </c>
      <c r="M379">
        <v>42578</v>
      </c>
      <c r="N379">
        <v>0.06293981481481</v>
      </c>
      <c r="S379" t="str">
        <v>X</v>
      </c>
      <c r="Y379">
        <f>IF(Table1[[#This Row],[OPERATION]]="NOTE","NOTE",Table1[[#This Row],[SUB_TYPE]])</f>
        <v>0</v>
      </c>
      <c r="Z379">
        <f>IF(Table1[[#This Row],[OPERATION]]="NOTE",NUMBERVALUE(LEFT(Table1[[#This Row],[MOD_NAME]],LEN(Table1[[#This Row],[MOD_NAME]])-4)),Table1[[#This Row],[SUB_NAME]])</f>
        <v>0</v>
      </c>
      <c r="AA379" t="str">
        <f>CONCAT(Table1[[#This Row],[Final Obj Type]],"|",Table1[[#This Row],[Final Obj Name]])</f>
        <v>0|0</v>
      </c>
      <c r="AB379" t="e">
        <f>VLOOKUP(Table1[[#This Row],[Final Obj Type]],Classification!B:E,3,FALSE)</f>
        <v>#N/A</v>
      </c>
      <c r="AC379" t="e">
        <f>VLOOKUP(Table1[[#This Row],[Final Obj Type]],Classification!B:E,4,FALSE)</f>
        <v>#N/A</v>
      </c>
      <c r="AD379" t="str">
        <f>IF(Table1[[#This Row],[Position 1]]=0,"/0SAP/",MID(Table1[[#This Row],[Final Obj Name]],Table1[[#This Row],[Position 1]],Table1[[#This Row],[Position 2]]-Table1[[#This Row],[Position 1]]+1))</f>
        <v>/0SAP/</v>
      </c>
      <c r="AE379" t="str">
        <f>VLOOKUP(Table1[[#This Row],[/* Object]],Namespace!A:J,10,FALSE)</f>
        <v>SAP AG</v>
      </c>
      <c r="AF379" t="str">
        <f>IF(VLOOKUP(Table1[[#This Row],[/* Object]],Namespace!A:J,4,FALSE)=0,"",VLOOKUP(Table1[[#This Row],[/* Object]],Namespace!A:J,4,FALSE))</f>
        <v>X</v>
      </c>
      <c r="AG379" t="str">
        <f>IF(VLOOKUP(Table1[[#This Row],[/* Object]],Namespace!A:J,5,FALSE)=0,"",VLOOKUP(Table1[[#This Row],[/* Object]],Namespace!A:J,5,FALSE))</f>
        <v>X</v>
      </c>
      <c r="AH379" t="str">
        <f>IF(VLOOKUP(Table1[[#This Row],[/* Object]],Namespace!A:J,6,FALSE)=0,"",VLOOKUP(Table1[[#This Row],[/* Object]],Namespace!A:J,6,FALSE))</f>
        <v/>
      </c>
      <c r="AI379">
        <f>IFERROR(FIND("/",Table1[[#This Row],[Final Obj Name]],1),0)</f>
        <v>0</v>
      </c>
      <c r="AJ379">
        <f>IF(Table1[[#This Row],[Position 1]]=0,0,FIND("/",Table1[[#This Row],[Final Obj Name]],Table1[[#This Row],[Position 1]]+1))</f>
        <v>0</v>
      </c>
      <c r="AK379" t="str">
        <f>IF(LEFT(Table1[[#This Row],[Final Obj Name]],1)="/",LEFT(Table1[[#This Row],[Final Obj Name]],FIND("/",Table1[[#This Row],[Final Obj Name]],2)),"/0SAP/")</f>
        <v>/0SAP/</v>
      </c>
    </row>
    <row r="380">
      <c r="A380" t="str">
        <v>DOMA</v>
      </c>
      <c r="B380" t="str">
        <v>ZDE_UI_D_VAL</v>
      </c>
      <c r="C380" t="str">
        <v>DOMD</v>
      </c>
      <c r="D380" t="str">
        <v>ZDE_UI_D_VAL</v>
      </c>
      <c r="G380" t="str">
        <v>ALL</v>
      </c>
      <c r="K380" t="str">
        <v>E</v>
      </c>
      <c r="L380" t="str">
        <v>NSHAIK</v>
      </c>
      <c r="M380">
        <v>46013</v>
      </c>
      <c r="N380">
        <v>0.39430555555556</v>
      </c>
      <c r="S380" t="str">
        <v>X</v>
      </c>
      <c r="W380" t="str">
        <v>SP1K961121</v>
      </c>
      <c r="Y380">
        <f>IF(Table1[[#This Row],[OPERATION]]="NOTE","NOTE",Table1[[#This Row],[SUB_TYPE]])</f>
        <v>0</v>
      </c>
      <c r="Z380">
        <f>IF(Table1[[#This Row],[OPERATION]]="NOTE",NUMBERVALUE(LEFT(Table1[[#This Row],[MOD_NAME]],LEN(Table1[[#This Row],[MOD_NAME]])-4)),Table1[[#This Row],[SUB_NAME]])</f>
        <v>0</v>
      </c>
      <c r="AA380" t="str">
        <f>CONCAT(Table1[[#This Row],[Final Obj Type]],"|",Table1[[#This Row],[Final Obj Name]])</f>
        <v>0|0</v>
      </c>
      <c r="AB380" t="e">
        <f>VLOOKUP(Table1[[#This Row],[Final Obj Type]],Classification!B:E,3,FALSE)</f>
        <v>#N/A</v>
      </c>
      <c r="AC380" t="e">
        <f>VLOOKUP(Table1[[#This Row],[Final Obj Type]],Classification!B:E,4,FALSE)</f>
        <v>#N/A</v>
      </c>
      <c r="AD380" t="str">
        <f>IF(Table1[[#This Row],[Position 1]]=0,"/0SAP/",MID(Table1[[#This Row],[Final Obj Name]],Table1[[#This Row],[Position 1]],Table1[[#This Row],[Position 2]]-Table1[[#This Row],[Position 1]]+1))</f>
        <v>/0SAP/</v>
      </c>
      <c r="AE380" t="str">
        <f>VLOOKUP(Table1[[#This Row],[/* Object]],Namespace!A:J,10,FALSE)</f>
        <v>SAP AG</v>
      </c>
      <c r="AF380" t="str">
        <f>IF(VLOOKUP(Table1[[#This Row],[/* Object]],Namespace!A:J,4,FALSE)=0,"",VLOOKUP(Table1[[#This Row],[/* Object]],Namespace!A:J,4,FALSE))</f>
        <v>X</v>
      </c>
      <c r="AG380" t="str">
        <f>IF(VLOOKUP(Table1[[#This Row],[/* Object]],Namespace!A:J,5,FALSE)=0,"",VLOOKUP(Table1[[#This Row],[/* Object]],Namespace!A:J,5,FALSE))</f>
        <v>X</v>
      </c>
      <c r="AH380" t="str">
        <f>IF(VLOOKUP(Table1[[#This Row],[/* Object]],Namespace!A:J,6,FALSE)=0,"",VLOOKUP(Table1[[#This Row],[/* Object]],Namespace!A:J,6,FALSE))</f>
        <v/>
      </c>
      <c r="AI380">
        <f>IFERROR(FIND("/",Table1[[#This Row],[Final Obj Name]],1),0)</f>
        <v>0</v>
      </c>
      <c r="AJ380">
        <f>IF(Table1[[#This Row],[Position 1]]=0,0,FIND("/",Table1[[#This Row],[Final Obj Name]],Table1[[#This Row],[Position 1]]+1))</f>
        <v>0</v>
      </c>
      <c r="AK380" t="str">
        <f>IF(LEFT(Table1[[#This Row],[Final Obj Name]],1)="/",LEFT(Table1[[#This Row],[Final Obj Name]],FIND("/",Table1[[#This Row],[Final Obj Name]],2)),"/0SAP/")</f>
        <v>/0SAP/</v>
      </c>
    </row>
    <row r="381">
      <c r="A381" t="str">
        <v>DOMA</v>
      </c>
      <c r="B381" t="str">
        <v>ZDMDGC_SPECIALIST_ROUTING</v>
      </c>
      <c r="C381" t="str">
        <v>DOMD</v>
      </c>
      <c r="D381" t="str">
        <v>ZDMDGC_SPECIALIST_ROUTING</v>
      </c>
      <c r="G381" t="str">
        <v>ALL</v>
      </c>
      <c r="K381" t="str">
        <v>E</v>
      </c>
      <c r="L381" t="str">
        <v>NSHAIK</v>
      </c>
      <c r="M381">
        <v>46013</v>
      </c>
      <c r="N381">
        <v>0.19318287037037</v>
      </c>
      <c r="S381" t="str">
        <v>X</v>
      </c>
      <c r="W381" t="str">
        <v>SP1K961121</v>
      </c>
      <c r="Y381">
        <f>IF(Table1[[#This Row],[OPERATION]]="NOTE","NOTE",Table1[[#This Row],[SUB_TYPE]])</f>
        <v>0</v>
      </c>
      <c r="Z381">
        <f>IF(Table1[[#This Row],[OPERATION]]="NOTE",NUMBERVALUE(LEFT(Table1[[#This Row],[MOD_NAME]],LEN(Table1[[#This Row],[MOD_NAME]])-4)),Table1[[#This Row],[SUB_NAME]])</f>
        <v>0</v>
      </c>
      <c r="AA381" t="str">
        <f>CONCAT(Table1[[#This Row],[Final Obj Type]],"|",Table1[[#This Row],[Final Obj Name]])</f>
        <v>0|0</v>
      </c>
      <c r="AB381" t="e">
        <f>VLOOKUP(Table1[[#This Row],[Final Obj Type]],Classification!B:E,3,FALSE)</f>
        <v>#N/A</v>
      </c>
      <c r="AC381" t="e">
        <f>VLOOKUP(Table1[[#This Row],[Final Obj Type]],Classification!B:E,4,FALSE)</f>
        <v>#N/A</v>
      </c>
      <c r="AD381" t="str">
        <f>IF(Table1[[#This Row],[Position 1]]=0,"/0SAP/",MID(Table1[[#This Row],[Final Obj Name]],Table1[[#This Row],[Position 1]],Table1[[#This Row],[Position 2]]-Table1[[#This Row],[Position 1]]+1))</f>
        <v>/0SAP/</v>
      </c>
      <c r="AE381" t="str">
        <f>VLOOKUP(Table1[[#This Row],[/* Object]],Namespace!A:J,10,FALSE)</f>
        <v>SAP AG</v>
      </c>
      <c r="AF381" t="str">
        <f>IF(VLOOKUP(Table1[[#This Row],[/* Object]],Namespace!A:J,4,FALSE)=0,"",VLOOKUP(Table1[[#This Row],[/* Object]],Namespace!A:J,4,FALSE))</f>
        <v>X</v>
      </c>
      <c r="AG381" t="str">
        <f>IF(VLOOKUP(Table1[[#This Row],[/* Object]],Namespace!A:J,5,FALSE)=0,"",VLOOKUP(Table1[[#This Row],[/* Object]],Namespace!A:J,5,FALSE))</f>
        <v>X</v>
      </c>
      <c r="AH381" t="str">
        <f>IF(VLOOKUP(Table1[[#This Row],[/* Object]],Namespace!A:J,6,FALSE)=0,"",VLOOKUP(Table1[[#This Row],[/* Object]],Namespace!A:J,6,FALSE))</f>
        <v/>
      </c>
      <c r="AI381">
        <f>IFERROR(FIND("/",Table1[[#This Row],[Final Obj Name]],1),0)</f>
        <v>0</v>
      </c>
      <c r="AJ381">
        <f>IF(Table1[[#This Row],[Position 1]]=0,0,FIND("/",Table1[[#This Row],[Final Obj Name]],Table1[[#This Row],[Position 1]]+1))</f>
        <v>0</v>
      </c>
      <c r="AK381" t="str">
        <f>IF(LEFT(Table1[[#This Row],[Final Obj Name]],1)="/",LEFT(Table1[[#This Row],[Final Obj Name]],FIND("/",Table1[[#This Row],[Final Obj Name]],2)),"/0SAP/")</f>
        <v>/0SAP/</v>
      </c>
    </row>
    <row r="382">
      <c r="A382" t="str">
        <v>DOMA</v>
      </c>
      <c r="B382" t="str">
        <v>ZDMDGC_TRA_SRCSYSTEM</v>
      </c>
      <c r="C382" t="str">
        <v>DOMD</v>
      </c>
      <c r="D382" t="str">
        <v>ZDMDGC_TRA_SRCSYSTEM</v>
      </c>
      <c r="G382" t="str">
        <v>ALL</v>
      </c>
      <c r="K382" t="str">
        <v>E</v>
      </c>
      <c r="L382" t="str">
        <v>NSHAIK</v>
      </c>
      <c r="M382">
        <v>46020</v>
      </c>
      <c r="N382">
        <v>0.30659722222222</v>
      </c>
      <c r="S382" t="str">
        <v>X</v>
      </c>
      <c r="W382" t="str">
        <v>SP1K961294</v>
      </c>
      <c r="Y382">
        <f>IF(Table1[[#This Row],[OPERATION]]="NOTE","NOTE",Table1[[#This Row],[SUB_TYPE]])</f>
        <v>0</v>
      </c>
      <c r="Z382">
        <f>IF(Table1[[#This Row],[OPERATION]]="NOTE",NUMBERVALUE(LEFT(Table1[[#This Row],[MOD_NAME]],LEN(Table1[[#This Row],[MOD_NAME]])-4)),Table1[[#This Row],[SUB_NAME]])</f>
        <v>0</v>
      </c>
      <c r="AA382" t="str">
        <f>CONCAT(Table1[[#This Row],[Final Obj Type]],"|",Table1[[#This Row],[Final Obj Name]])</f>
        <v>0|0</v>
      </c>
      <c r="AB382" t="e">
        <f>VLOOKUP(Table1[[#This Row],[Final Obj Type]],Classification!B:E,3,FALSE)</f>
        <v>#N/A</v>
      </c>
      <c r="AC382" t="e">
        <f>VLOOKUP(Table1[[#This Row],[Final Obj Type]],Classification!B:E,4,FALSE)</f>
        <v>#N/A</v>
      </c>
      <c r="AD382" t="str">
        <f>IF(Table1[[#This Row],[Position 1]]=0,"/0SAP/",MID(Table1[[#This Row],[Final Obj Name]],Table1[[#This Row],[Position 1]],Table1[[#This Row],[Position 2]]-Table1[[#This Row],[Position 1]]+1))</f>
        <v>/0SAP/</v>
      </c>
      <c r="AE382" t="str">
        <f>VLOOKUP(Table1[[#This Row],[/* Object]],Namespace!A:J,10,FALSE)</f>
        <v>SAP AG</v>
      </c>
      <c r="AF382" t="str">
        <f>IF(VLOOKUP(Table1[[#This Row],[/* Object]],Namespace!A:J,4,FALSE)=0,"",VLOOKUP(Table1[[#This Row],[/* Object]],Namespace!A:J,4,FALSE))</f>
        <v>X</v>
      </c>
      <c r="AG382" t="str">
        <f>IF(VLOOKUP(Table1[[#This Row],[/* Object]],Namespace!A:J,5,FALSE)=0,"",VLOOKUP(Table1[[#This Row],[/* Object]],Namespace!A:J,5,FALSE))</f>
        <v>X</v>
      </c>
      <c r="AH382" t="str">
        <f>IF(VLOOKUP(Table1[[#This Row],[/* Object]],Namespace!A:J,6,FALSE)=0,"",VLOOKUP(Table1[[#This Row],[/* Object]],Namespace!A:J,6,FALSE))</f>
        <v/>
      </c>
      <c r="AI382">
        <f>IFERROR(FIND("/",Table1[[#This Row],[Final Obj Name]],1),0)</f>
        <v>0</v>
      </c>
      <c r="AJ382">
        <f>IF(Table1[[#This Row],[Position 1]]=0,0,FIND("/",Table1[[#This Row],[Final Obj Name]],Table1[[#This Row],[Position 1]]+1))</f>
        <v>0</v>
      </c>
      <c r="AK382" t="str">
        <f>IF(LEFT(Table1[[#This Row],[Final Obj Name]],1)="/",LEFT(Table1[[#This Row],[Final Obj Name]],FIND("/",Table1[[#This Row],[Final Obj Name]],2)),"/0SAP/")</f>
        <v>/0SAP/</v>
      </c>
    </row>
    <row r="383">
      <c r="A383" t="str">
        <v>DOMA</v>
      </c>
      <c r="B383" t="str">
        <v>ZDMDGC_TRA_SRCSYSTEM_ID</v>
      </c>
      <c r="C383" t="str">
        <v>DOMD</v>
      </c>
      <c r="D383" t="str">
        <v>ZDMDGC_TRA_SRCSYSTEM_ID</v>
      </c>
      <c r="G383" t="str">
        <v>ALL</v>
      </c>
      <c r="K383" t="str">
        <v>E</v>
      </c>
      <c r="L383" t="str">
        <v>NSHAIK</v>
      </c>
      <c r="M383">
        <v>46020</v>
      </c>
      <c r="N383">
        <v>0.30674768518519</v>
      </c>
      <c r="S383" t="str">
        <v>X</v>
      </c>
      <c r="W383" t="str">
        <v>SP1K961294</v>
      </c>
      <c r="Y383">
        <f>IF(Table1[[#This Row],[OPERATION]]="NOTE","NOTE",Table1[[#This Row],[SUB_TYPE]])</f>
        <v>0</v>
      </c>
      <c r="Z383">
        <f>IF(Table1[[#This Row],[OPERATION]]="NOTE",NUMBERVALUE(LEFT(Table1[[#This Row],[MOD_NAME]],LEN(Table1[[#This Row],[MOD_NAME]])-4)),Table1[[#This Row],[SUB_NAME]])</f>
        <v>0</v>
      </c>
      <c r="AA383" t="str">
        <f>CONCAT(Table1[[#This Row],[Final Obj Type]],"|",Table1[[#This Row],[Final Obj Name]])</f>
        <v>0|0</v>
      </c>
      <c r="AB383" t="e">
        <f>VLOOKUP(Table1[[#This Row],[Final Obj Type]],Classification!B:E,3,FALSE)</f>
        <v>#N/A</v>
      </c>
      <c r="AC383" t="e">
        <f>VLOOKUP(Table1[[#This Row],[Final Obj Type]],Classification!B:E,4,FALSE)</f>
        <v>#N/A</v>
      </c>
      <c r="AD383" t="str">
        <f>IF(Table1[[#This Row],[Position 1]]=0,"/0SAP/",MID(Table1[[#This Row],[Final Obj Name]],Table1[[#This Row],[Position 1]],Table1[[#This Row],[Position 2]]-Table1[[#This Row],[Position 1]]+1))</f>
        <v>/0SAP/</v>
      </c>
      <c r="AE383" t="str">
        <f>VLOOKUP(Table1[[#This Row],[/* Object]],Namespace!A:J,10,FALSE)</f>
        <v>SAP AG</v>
      </c>
      <c r="AF383" t="str">
        <f>IF(VLOOKUP(Table1[[#This Row],[/* Object]],Namespace!A:J,4,FALSE)=0,"",VLOOKUP(Table1[[#This Row],[/* Object]],Namespace!A:J,4,FALSE))</f>
        <v>X</v>
      </c>
      <c r="AG383" t="str">
        <f>IF(VLOOKUP(Table1[[#This Row],[/* Object]],Namespace!A:J,5,FALSE)=0,"",VLOOKUP(Table1[[#This Row],[/* Object]],Namespace!A:J,5,FALSE))</f>
        <v>X</v>
      </c>
      <c r="AH383" t="str">
        <f>IF(VLOOKUP(Table1[[#This Row],[/* Object]],Namespace!A:J,6,FALSE)=0,"",VLOOKUP(Table1[[#This Row],[/* Object]],Namespace!A:J,6,FALSE))</f>
        <v/>
      </c>
      <c r="AI383">
        <f>IFERROR(FIND("/",Table1[[#This Row],[Final Obj Name]],1),0)</f>
        <v>0</v>
      </c>
      <c r="AJ383">
        <f>IF(Table1[[#This Row],[Position 1]]=0,0,FIND("/",Table1[[#This Row],[Final Obj Name]],Table1[[#This Row],[Position 1]]+1))</f>
        <v>0</v>
      </c>
      <c r="AK383" t="str">
        <f>IF(LEFT(Table1[[#This Row],[Final Obj Name]],1)="/",LEFT(Table1[[#This Row],[Final Obj Name]],FIND("/",Table1[[#This Row],[Final Obj Name]],2)),"/0SAP/")</f>
        <v>/0SAP/</v>
      </c>
    </row>
    <row r="384">
      <c r="A384" t="str">
        <v>DOMA</v>
      </c>
      <c r="B384" t="str">
        <v>ZDMDGM_ID_TYPE</v>
      </c>
      <c r="C384" t="str">
        <v>DOMD</v>
      </c>
      <c r="D384" t="str">
        <v>ZDMDGM_ID_TYPE</v>
      </c>
      <c r="G384" t="str">
        <v>ALL</v>
      </c>
      <c r="K384" t="str">
        <v>E</v>
      </c>
      <c r="L384" t="str">
        <v>NSHAIK</v>
      </c>
      <c r="M384">
        <v>46015</v>
      </c>
      <c r="N384">
        <v>0.23449074074074</v>
      </c>
      <c r="S384" t="str">
        <v>X</v>
      </c>
      <c r="W384" t="str">
        <v>SP1K961294</v>
      </c>
      <c r="Y384">
        <f>IF(Table1[[#This Row],[OPERATION]]="NOTE","NOTE",Table1[[#This Row],[SUB_TYPE]])</f>
        <v>0</v>
      </c>
      <c r="Z384">
        <f>IF(Table1[[#This Row],[OPERATION]]="NOTE",NUMBERVALUE(LEFT(Table1[[#This Row],[MOD_NAME]],LEN(Table1[[#This Row],[MOD_NAME]])-4)),Table1[[#This Row],[SUB_NAME]])</f>
        <v>0</v>
      </c>
      <c r="AA384" t="str">
        <f>CONCAT(Table1[[#This Row],[Final Obj Type]],"|",Table1[[#This Row],[Final Obj Name]])</f>
        <v>0|0</v>
      </c>
      <c r="AB384" t="e">
        <f>VLOOKUP(Table1[[#This Row],[Final Obj Type]],Classification!B:E,3,FALSE)</f>
        <v>#N/A</v>
      </c>
      <c r="AC384" t="e">
        <f>VLOOKUP(Table1[[#This Row],[Final Obj Type]],Classification!B:E,4,FALSE)</f>
        <v>#N/A</v>
      </c>
      <c r="AD384" t="str">
        <f>IF(Table1[[#This Row],[Position 1]]=0,"/0SAP/",MID(Table1[[#This Row],[Final Obj Name]],Table1[[#This Row],[Position 1]],Table1[[#This Row],[Position 2]]-Table1[[#This Row],[Position 1]]+1))</f>
        <v>/0SAP/</v>
      </c>
      <c r="AE384" t="str">
        <f>VLOOKUP(Table1[[#This Row],[/* Object]],Namespace!A:J,10,FALSE)</f>
        <v>SAP AG</v>
      </c>
      <c r="AF384" t="str">
        <f>IF(VLOOKUP(Table1[[#This Row],[/* Object]],Namespace!A:J,4,FALSE)=0,"",VLOOKUP(Table1[[#This Row],[/* Object]],Namespace!A:J,4,FALSE))</f>
        <v>X</v>
      </c>
      <c r="AG384" t="str">
        <f>IF(VLOOKUP(Table1[[#This Row],[/* Object]],Namespace!A:J,5,FALSE)=0,"",VLOOKUP(Table1[[#This Row],[/* Object]],Namespace!A:J,5,FALSE))</f>
        <v>X</v>
      </c>
      <c r="AH384" t="str">
        <f>IF(VLOOKUP(Table1[[#This Row],[/* Object]],Namespace!A:J,6,FALSE)=0,"",VLOOKUP(Table1[[#This Row],[/* Object]],Namespace!A:J,6,FALSE))</f>
        <v/>
      </c>
      <c r="AI384">
        <f>IFERROR(FIND("/",Table1[[#This Row],[Final Obj Name]],1),0)</f>
        <v>0</v>
      </c>
      <c r="AJ384">
        <f>IF(Table1[[#This Row],[Position 1]]=0,0,FIND("/",Table1[[#This Row],[Final Obj Name]],Table1[[#This Row],[Position 1]]+1))</f>
        <v>0</v>
      </c>
      <c r="AK384" t="str">
        <f>IF(LEFT(Table1[[#This Row],[Final Obj Name]],1)="/",LEFT(Table1[[#This Row],[Final Obj Name]],FIND("/",Table1[[#This Row],[Final Obj Name]],2)),"/0SAP/")</f>
        <v>/0SAP/</v>
      </c>
    </row>
    <row r="385">
      <c r="A385" t="str">
        <v>DOMA</v>
      </c>
      <c r="B385" t="str">
        <v>ZDMDGS_COMMODITY</v>
      </c>
      <c r="C385" t="str">
        <v>DOMD</v>
      </c>
      <c r="D385" t="str">
        <v>ZDMDGS_COMMODITY</v>
      </c>
      <c r="G385" t="str">
        <v>ALL</v>
      </c>
      <c r="K385" t="str">
        <v>E</v>
      </c>
      <c r="L385" t="str">
        <v>NSHAIK</v>
      </c>
      <c r="M385">
        <v>46013</v>
      </c>
      <c r="N385">
        <v>0.28478009259259</v>
      </c>
      <c r="S385" t="str">
        <v>X</v>
      </c>
      <c r="W385" t="str">
        <v>SP1K961121</v>
      </c>
      <c r="Y385">
        <f>IF(Table1[[#This Row],[OPERATION]]="NOTE","NOTE",Table1[[#This Row],[SUB_TYPE]])</f>
        <v>0</v>
      </c>
      <c r="Z385">
        <f>IF(Table1[[#This Row],[OPERATION]]="NOTE",NUMBERVALUE(LEFT(Table1[[#This Row],[MOD_NAME]],LEN(Table1[[#This Row],[MOD_NAME]])-4)),Table1[[#This Row],[SUB_NAME]])</f>
        <v>0</v>
      </c>
      <c r="AA385" t="str">
        <f>CONCAT(Table1[[#This Row],[Final Obj Type]],"|",Table1[[#This Row],[Final Obj Name]])</f>
        <v>0|0</v>
      </c>
      <c r="AB385" t="e">
        <f>VLOOKUP(Table1[[#This Row],[Final Obj Type]],Classification!B:E,3,FALSE)</f>
        <v>#N/A</v>
      </c>
      <c r="AC385" t="e">
        <f>VLOOKUP(Table1[[#This Row],[Final Obj Type]],Classification!B:E,4,FALSE)</f>
        <v>#N/A</v>
      </c>
      <c r="AD385" t="str">
        <f>IF(Table1[[#This Row],[Position 1]]=0,"/0SAP/",MID(Table1[[#This Row],[Final Obj Name]],Table1[[#This Row],[Position 1]],Table1[[#This Row],[Position 2]]-Table1[[#This Row],[Position 1]]+1))</f>
        <v>/0SAP/</v>
      </c>
      <c r="AE385" t="str">
        <f>VLOOKUP(Table1[[#This Row],[/* Object]],Namespace!A:J,10,FALSE)</f>
        <v>SAP AG</v>
      </c>
      <c r="AF385" t="str">
        <f>IF(VLOOKUP(Table1[[#This Row],[/* Object]],Namespace!A:J,4,FALSE)=0,"",VLOOKUP(Table1[[#This Row],[/* Object]],Namespace!A:J,4,FALSE))</f>
        <v>X</v>
      </c>
      <c r="AG385" t="str">
        <f>IF(VLOOKUP(Table1[[#This Row],[/* Object]],Namespace!A:J,5,FALSE)=0,"",VLOOKUP(Table1[[#This Row],[/* Object]],Namespace!A:J,5,FALSE))</f>
        <v>X</v>
      </c>
      <c r="AH385" t="str">
        <f>IF(VLOOKUP(Table1[[#This Row],[/* Object]],Namespace!A:J,6,FALSE)=0,"",VLOOKUP(Table1[[#This Row],[/* Object]],Namespace!A:J,6,FALSE))</f>
        <v/>
      </c>
      <c r="AI385">
        <f>IFERROR(FIND("/",Table1[[#This Row],[Final Obj Name]],1),0)</f>
        <v>0</v>
      </c>
      <c r="AJ385">
        <f>IF(Table1[[#This Row],[Position 1]]=0,0,FIND("/",Table1[[#This Row],[Final Obj Name]],Table1[[#This Row],[Position 1]]+1))</f>
        <v>0</v>
      </c>
      <c r="AK385" t="str">
        <f>IF(LEFT(Table1[[#This Row],[Final Obj Name]],1)="/",LEFT(Table1[[#This Row],[Final Obj Name]],FIND("/",Table1[[#This Row],[Final Obj Name]],2)),"/0SAP/")</f>
        <v>/0SAP/</v>
      </c>
    </row>
    <row r="386">
      <c r="A386" t="str">
        <v>DOMA</v>
      </c>
      <c r="B386" t="str">
        <v>ZDMDGS_ERPINST</v>
      </c>
      <c r="C386" t="str">
        <v>DOMD</v>
      </c>
      <c r="D386" t="str">
        <v>ZDMDGS_ERPINST</v>
      </c>
      <c r="G386" t="str">
        <v>ALL</v>
      </c>
      <c r="K386" t="str">
        <v>E</v>
      </c>
      <c r="L386" t="str">
        <v>NSHAIK</v>
      </c>
      <c r="M386">
        <v>46013</v>
      </c>
      <c r="N386">
        <v>0.23769675925926</v>
      </c>
      <c r="S386" t="str">
        <v>X</v>
      </c>
      <c r="W386" t="str">
        <v>SP1K961121</v>
      </c>
      <c r="Y386">
        <f>IF(Table1[[#This Row],[OPERATION]]="NOTE","NOTE",Table1[[#This Row],[SUB_TYPE]])</f>
        <v>0</v>
      </c>
      <c r="Z386">
        <f>IF(Table1[[#This Row],[OPERATION]]="NOTE",NUMBERVALUE(LEFT(Table1[[#This Row],[MOD_NAME]],LEN(Table1[[#This Row],[MOD_NAME]])-4)),Table1[[#This Row],[SUB_NAME]])</f>
        <v>0</v>
      </c>
      <c r="AA386" t="str">
        <f>CONCAT(Table1[[#This Row],[Final Obj Type]],"|",Table1[[#This Row],[Final Obj Name]])</f>
        <v>0|0</v>
      </c>
      <c r="AB386" t="e">
        <f>VLOOKUP(Table1[[#This Row],[Final Obj Type]],Classification!B:E,3,FALSE)</f>
        <v>#N/A</v>
      </c>
      <c r="AC386" t="e">
        <f>VLOOKUP(Table1[[#This Row],[Final Obj Type]],Classification!B:E,4,FALSE)</f>
        <v>#N/A</v>
      </c>
      <c r="AD386" t="str">
        <f>IF(Table1[[#This Row],[Position 1]]=0,"/0SAP/",MID(Table1[[#This Row],[Final Obj Name]],Table1[[#This Row],[Position 1]],Table1[[#This Row],[Position 2]]-Table1[[#This Row],[Position 1]]+1))</f>
        <v>/0SAP/</v>
      </c>
      <c r="AE386" t="str">
        <f>VLOOKUP(Table1[[#This Row],[/* Object]],Namespace!A:J,10,FALSE)</f>
        <v>SAP AG</v>
      </c>
      <c r="AF386" t="str">
        <f>IF(VLOOKUP(Table1[[#This Row],[/* Object]],Namespace!A:J,4,FALSE)=0,"",VLOOKUP(Table1[[#This Row],[/* Object]],Namespace!A:J,4,FALSE))</f>
        <v>X</v>
      </c>
      <c r="AG386" t="str">
        <f>IF(VLOOKUP(Table1[[#This Row],[/* Object]],Namespace!A:J,5,FALSE)=0,"",VLOOKUP(Table1[[#This Row],[/* Object]],Namespace!A:J,5,FALSE))</f>
        <v>X</v>
      </c>
      <c r="AH386" t="str">
        <f>IF(VLOOKUP(Table1[[#This Row],[/* Object]],Namespace!A:J,6,FALSE)=0,"",VLOOKUP(Table1[[#This Row],[/* Object]],Namespace!A:J,6,FALSE))</f>
        <v/>
      </c>
      <c r="AI386">
        <f>IFERROR(FIND("/",Table1[[#This Row],[Final Obj Name]],1),0)</f>
        <v>0</v>
      </c>
      <c r="AJ386">
        <f>IF(Table1[[#This Row],[Position 1]]=0,0,FIND("/",Table1[[#This Row],[Final Obj Name]],Table1[[#This Row],[Position 1]]+1))</f>
        <v>0</v>
      </c>
      <c r="AK386" t="str">
        <f>IF(LEFT(Table1[[#This Row],[Final Obj Name]],1)="/",LEFT(Table1[[#This Row],[Final Obj Name]],FIND("/",Table1[[#This Row],[Final Obj Name]],2)),"/0SAP/")</f>
        <v>/0SAP/</v>
      </c>
    </row>
    <row r="387">
      <c r="A387" t="str">
        <v>DOMA</v>
      </c>
      <c r="B387" t="str">
        <v>ZDMDGS_GEOGRAPHY</v>
      </c>
      <c r="C387" t="str">
        <v>DOMD</v>
      </c>
      <c r="D387" t="str">
        <v>ZDMDGS_GEOGRAPHY</v>
      </c>
      <c r="G387" t="str">
        <v>ALL</v>
      </c>
      <c r="K387" t="str">
        <v>E</v>
      </c>
      <c r="L387" t="str">
        <v>NSHAIK</v>
      </c>
      <c r="M387">
        <v>46013</v>
      </c>
      <c r="N387">
        <v>0.23787037037037</v>
      </c>
      <c r="S387" t="str">
        <v>X</v>
      </c>
      <c r="W387" t="str">
        <v>SP1K961121</v>
      </c>
      <c r="Y387">
        <f>IF(Table1[[#This Row],[OPERATION]]="NOTE","NOTE",Table1[[#This Row],[SUB_TYPE]])</f>
        <v>0</v>
      </c>
      <c r="Z387">
        <f>IF(Table1[[#This Row],[OPERATION]]="NOTE",NUMBERVALUE(LEFT(Table1[[#This Row],[MOD_NAME]],LEN(Table1[[#This Row],[MOD_NAME]])-4)),Table1[[#This Row],[SUB_NAME]])</f>
        <v>0</v>
      </c>
      <c r="AA387" t="str">
        <f>CONCAT(Table1[[#This Row],[Final Obj Type]],"|",Table1[[#This Row],[Final Obj Name]])</f>
        <v>0|0</v>
      </c>
      <c r="AB387" t="e">
        <f>VLOOKUP(Table1[[#This Row],[Final Obj Type]],Classification!B:E,3,FALSE)</f>
        <v>#N/A</v>
      </c>
      <c r="AC387" t="e">
        <f>VLOOKUP(Table1[[#This Row],[Final Obj Type]],Classification!B:E,4,FALSE)</f>
        <v>#N/A</v>
      </c>
      <c r="AD387" t="str">
        <f>IF(Table1[[#This Row],[Position 1]]=0,"/0SAP/",MID(Table1[[#This Row],[Final Obj Name]],Table1[[#This Row],[Position 1]],Table1[[#This Row],[Position 2]]-Table1[[#This Row],[Position 1]]+1))</f>
        <v>/0SAP/</v>
      </c>
      <c r="AE387" t="str">
        <f>VLOOKUP(Table1[[#This Row],[/* Object]],Namespace!A:J,10,FALSE)</f>
        <v>SAP AG</v>
      </c>
      <c r="AF387" t="str">
        <f>IF(VLOOKUP(Table1[[#This Row],[/* Object]],Namespace!A:J,4,FALSE)=0,"",VLOOKUP(Table1[[#This Row],[/* Object]],Namespace!A:J,4,FALSE))</f>
        <v>X</v>
      </c>
      <c r="AG387" t="str">
        <f>IF(VLOOKUP(Table1[[#This Row],[/* Object]],Namespace!A:J,5,FALSE)=0,"",VLOOKUP(Table1[[#This Row],[/* Object]],Namespace!A:J,5,FALSE))</f>
        <v>X</v>
      </c>
      <c r="AH387" t="str">
        <f>IF(VLOOKUP(Table1[[#This Row],[/* Object]],Namespace!A:J,6,FALSE)=0,"",VLOOKUP(Table1[[#This Row],[/* Object]],Namespace!A:J,6,FALSE))</f>
        <v/>
      </c>
      <c r="AI387">
        <f>IFERROR(FIND("/",Table1[[#This Row],[Final Obj Name]],1),0)</f>
        <v>0</v>
      </c>
      <c r="AJ387">
        <f>IF(Table1[[#This Row],[Position 1]]=0,0,FIND("/",Table1[[#This Row],[Final Obj Name]],Table1[[#This Row],[Position 1]]+1))</f>
        <v>0</v>
      </c>
      <c r="AK387" t="str">
        <f>IF(LEFT(Table1[[#This Row],[Final Obj Name]],1)="/",LEFT(Table1[[#This Row],[Final Obj Name]],FIND("/",Table1[[#This Row],[Final Obj Name]],2)),"/0SAP/")</f>
        <v>/0SAP/</v>
      </c>
    </row>
    <row r="388">
      <c r="A388" t="str">
        <v>DOMA</v>
      </c>
      <c r="B388" t="str">
        <v>ZDMDGS_PRIORITY_MANDATORY</v>
      </c>
      <c r="C388" t="str">
        <v>DOMD</v>
      </c>
      <c r="D388" t="str">
        <v>ZDMDGS_PRIORITY_MANDATORY</v>
      </c>
      <c r="G388" t="str">
        <v>ALL</v>
      </c>
      <c r="K388" t="str">
        <v>E</v>
      </c>
      <c r="L388" t="str">
        <v>NSHAIK</v>
      </c>
      <c r="M388">
        <v>46013</v>
      </c>
      <c r="N388">
        <v>0.19340277777778</v>
      </c>
      <c r="S388" t="str">
        <v>X</v>
      </c>
      <c r="W388" t="str">
        <v>SP1K961121</v>
      </c>
      <c r="Y388">
        <f>IF(Table1[[#This Row],[OPERATION]]="NOTE","NOTE",Table1[[#This Row],[SUB_TYPE]])</f>
        <v>0</v>
      </c>
      <c r="Z388">
        <f>IF(Table1[[#This Row],[OPERATION]]="NOTE",NUMBERVALUE(LEFT(Table1[[#This Row],[MOD_NAME]],LEN(Table1[[#This Row],[MOD_NAME]])-4)),Table1[[#This Row],[SUB_NAME]])</f>
        <v>0</v>
      </c>
      <c r="AA388" t="str">
        <f>CONCAT(Table1[[#This Row],[Final Obj Type]],"|",Table1[[#This Row],[Final Obj Name]])</f>
        <v>0|0</v>
      </c>
      <c r="AB388" t="e">
        <f>VLOOKUP(Table1[[#This Row],[Final Obj Type]],Classification!B:E,3,FALSE)</f>
        <v>#N/A</v>
      </c>
      <c r="AC388" t="e">
        <f>VLOOKUP(Table1[[#This Row],[Final Obj Type]],Classification!B:E,4,FALSE)</f>
        <v>#N/A</v>
      </c>
      <c r="AD388" t="str">
        <f>IF(Table1[[#This Row],[Position 1]]=0,"/0SAP/",MID(Table1[[#This Row],[Final Obj Name]],Table1[[#This Row],[Position 1]],Table1[[#This Row],[Position 2]]-Table1[[#This Row],[Position 1]]+1))</f>
        <v>/0SAP/</v>
      </c>
      <c r="AE388" t="str">
        <f>VLOOKUP(Table1[[#This Row],[/* Object]],Namespace!A:J,10,FALSE)</f>
        <v>SAP AG</v>
      </c>
      <c r="AF388" t="str">
        <f>IF(VLOOKUP(Table1[[#This Row],[/* Object]],Namespace!A:J,4,FALSE)=0,"",VLOOKUP(Table1[[#This Row],[/* Object]],Namespace!A:J,4,FALSE))</f>
        <v>X</v>
      </c>
      <c r="AG388" t="str">
        <f>IF(VLOOKUP(Table1[[#This Row],[/* Object]],Namespace!A:J,5,FALSE)=0,"",VLOOKUP(Table1[[#This Row],[/* Object]],Namespace!A:J,5,FALSE))</f>
        <v>X</v>
      </c>
      <c r="AH388" t="str">
        <f>IF(VLOOKUP(Table1[[#This Row],[/* Object]],Namespace!A:J,6,FALSE)=0,"",VLOOKUP(Table1[[#This Row],[/* Object]],Namespace!A:J,6,FALSE))</f>
        <v/>
      </c>
      <c r="AI388">
        <f>IFERROR(FIND("/",Table1[[#This Row],[Final Obj Name]],1),0)</f>
        <v>0</v>
      </c>
      <c r="AJ388">
        <f>IF(Table1[[#This Row],[Position 1]]=0,0,FIND("/",Table1[[#This Row],[Final Obj Name]],Table1[[#This Row],[Position 1]]+1))</f>
        <v>0</v>
      </c>
      <c r="AK388" t="str">
        <f>IF(LEFT(Table1[[#This Row],[Final Obj Name]],1)="/",LEFT(Table1[[#This Row],[Final Obj Name]],FIND("/",Table1[[#This Row],[Final Obj Name]],2)),"/0SAP/")</f>
        <v>/0SAP/</v>
      </c>
    </row>
    <row r="389">
      <c r="A389" t="str">
        <v>DOMA</v>
      </c>
      <c r="B389" t="str">
        <v>ZDMDGS_RELATED_DOMAIN</v>
      </c>
      <c r="C389" t="str">
        <v>DOMD</v>
      </c>
      <c r="D389" t="str">
        <v>ZDMDGS_RELATED_DOMAIN</v>
      </c>
      <c r="G389" t="str">
        <v>ALL</v>
      </c>
      <c r="K389" t="str">
        <v>E</v>
      </c>
      <c r="L389" t="str">
        <v>NSHAIK</v>
      </c>
      <c r="M389">
        <v>46013</v>
      </c>
      <c r="N389">
        <v>0.2380787037037</v>
      </c>
      <c r="S389" t="str">
        <v>X</v>
      </c>
      <c r="W389" t="str">
        <v>SP1K961121</v>
      </c>
      <c r="Y389">
        <f>IF(Table1[[#This Row],[OPERATION]]="NOTE","NOTE",Table1[[#This Row],[SUB_TYPE]])</f>
        <v>0</v>
      </c>
      <c r="Z389">
        <f>IF(Table1[[#This Row],[OPERATION]]="NOTE",NUMBERVALUE(LEFT(Table1[[#This Row],[MOD_NAME]],LEN(Table1[[#This Row],[MOD_NAME]])-4)),Table1[[#This Row],[SUB_NAME]])</f>
        <v>0</v>
      </c>
      <c r="AA389" t="str">
        <f>CONCAT(Table1[[#This Row],[Final Obj Type]],"|",Table1[[#This Row],[Final Obj Name]])</f>
        <v>0|0</v>
      </c>
      <c r="AB389" t="e">
        <f>VLOOKUP(Table1[[#This Row],[Final Obj Type]],Classification!B:E,3,FALSE)</f>
        <v>#N/A</v>
      </c>
      <c r="AC389" t="e">
        <f>VLOOKUP(Table1[[#This Row],[Final Obj Type]],Classification!B:E,4,FALSE)</f>
        <v>#N/A</v>
      </c>
      <c r="AD389" t="str">
        <f>IF(Table1[[#This Row],[Position 1]]=0,"/0SAP/",MID(Table1[[#This Row],[Final Obj Name]],Table1[[#This Row],[Position 1]],Table1[[#This Row],[Position 2]]-Table1[[#This Row],[Position 1]]+1))</f>
        <v>/0SAP/</v>
      </c>
      <c r="AE389" t="str">
        <f>VLOOKUP(Table1[[#This Row],[/* Object]],Namespace!A:J,10,FALSE)</f>
        <v>SAP AG</v>
      </c>
      <c r="AF389" t="str">
        <f>IF(VLOOKUP(Table1[[#This Row],[/* Object]],Namespace!A:J,4,FALSE)=0,"",VLOOKUP(Table1[[#This Row],[/* Object]],Namespace!A:J,4,FALSE))</f>
        <v>X</v>
      </c>
      <c r="AG389" t="str">
        <f>IF(VLOOKUP(Table1[[#This Row],[/* Object]],Namespace!A:J,5,FALSE)=0,"",VLOOKUP(Table1[[#This Row],[/* Object]],Namespace!A:J,5,FALSE))</f>
        <v>X</v>
      </c>
      <c r="AH389" t="str">
        <f>IF(VLOOKUP(Table1[[#This Row],[/* Object]],Namespace!A:J,6,FALSE)=0,"",VLOOKUP(Table1[[#This Row],[/* Object]],Namespace!A:J,6,FALSE))</f>
        <v/>
      </c>
      <c r="AI389">
        <f>IFERROR(FIND("/",Table1[[#This Row],[Final Obj Name]],1),0)</f>
        <v>0</v>
      </c>
      <c r="AJ389">
        <f>IF(Table1[[#This Row],[Position 1]]=0,0,FIND("/",Table1[[#This Row],[Final Obj Name]],Table1[[#This Row],[Position 1]]+1))</f>
        <v>0</v>
      </c>
      <c r="AK389" t="str">
        <f>IF(LEFT(Table1[[#This Row],[Final Obj Name]],1)="/",LEFT(Table1[[#This Row],[Final Obj Name]],FIND("/",Table1[[#This Row],[Final Obj Name]],2)),"/0SAP/")</f>
        <v>/0SAP/</v>
      </c>
    </row>
    <row r="390">
      <c r="A390" t="str">
        <v>DOMA</v>
      </c>
      <c r="B390" t="str">
        <v>ZDMDGS_RELATE_DIRECTION</v>
      </c>
      <c r="C390" t="str">
        <v>DOMD</v>
      </c>
      <c r="D390" t="str">
        <v>ZDMDGS_RELATE_DIRECTION</v>
      </c>
      <c r="G390" t="str">
        <v>ALL</v>
      </c>
      <c r="K390" t="str">
        <v>E</v>
      </c>
      <c r="L390" t="str">
        <v>NSHAIK</v>
      </c>
      <c r="M390">
        <v>46013</v>
      </c>
      <c r="N390">
        <v>0.23819444444444</v>
      </c>
      <c r="S390" t="str">
        <v>X</v>
      </c>
      <c r="W390" t="str">
        <v>SP1K961121</v>
      </c>
      <c r="Y390">
        <f>IF(Table1[[#This Row],[OPERATION]]="NOTE","NOTE",Table1[[#This Row],[SUB_TYPE]])</f>
        <v>0</v>
      </c>
      <c r="Z390">
        <f>IF(Table1[[#This Row],[OPERATION]]="NOTE",NUMBERVALUE(LEFT(Table1[[#This Row],[MOD_NAME]],LEN(Table1[[#This Row],[MOD_NAME]])-4)),Table1[[#This Row],[SUB_NAME]])</f>
        <v>0</v>
      </c>
      <c r="AA390" t="str">
        <f>CONCAT(Table1[[#This Row],[Final Obj Type]],"|",Table1[[#This Row],[Final Obj Name]])</f>
        <v>0|0</v>
      </c>
      <c r="AB390" t="e">
        <f>VLOOKUP(Table1[[#This Row],[Final Obj Type]],Classification!B:E,3,FALSE)</f>
        <v>#N/A</v>
      </c>
      <c r="AC390" t="e">
        <f>VLOOKUP(Table1[[#This Row],[Final Obj Type]],Classification!B:E,4,FALSE)</f>
        <v>#N/A</v>
      </c>
      <c r="AD390" t="str">
        <f>IF(Table1[[#This Row],[Position 1]]=0,"/0SAP/",MID(Table1[[#This Row],[Final Obj Name]],Table1[[#This Row],[Position 1]],Table1[[#This Row],[Position 2]]-Table1[[#This Row],[Position 1]]+1))</f>
        <v>/0SAP/</v>
      </c>
      <c r="AE390" t="str">
        <f>VLOOKUP(Table1[[#This Row],[/* Object]],Namespace!A:J,10,FALSE)</f>
        <v>SAP AG</v>
      </c>
      <c r="AF390" t="str">
        <f>IF(VLOOKUP(Table1[[#This Row],[/* Object]],Namespace!A:J,4,FALSE)=0,"",VLOOKUP(Table1[[#This Row],[/* Object]],Namespace!A:J,4,FALSE))</f>
        <v>X</v>
      </c>
      <c r="AG390" t="str">
        <f>IF(VLOOKUP(Table1[[#This Row],[/* Object]],Namespace!A:J,5,FALSE)=0,"",VLOOKUP(Table1[[#This Row],[/* Object]],Namespace!A:J,5,FALSE))</f>
        <v>X</v>
      </c>
      <c r="AH390" t="str">
        <f>IF(VLOOKUP(Table1[[#This Row],[/* Object]],Namespace!A:J,6,FALSE)=0,"",VLOOKUP(Table1[[#This Row],[/* Object]],Namespace!A:J,6,FALSE))</f>
        <v/>
      </c>
      <c r="AI390">
        <f>IFERROR(FIND("/",Table1[[#This Row],[Final Obj Name]],1),0)</f>
        <v>0</v>
      </c>
      <c r="AJ390">
        <f>IF(Table1[[#This Row],[Position 1]]=0,0,FIND("/",Table1[[#This Row],[Final Obj Name]],Table1[[#This Row],[Position 1]]+1))</f>
        <v>0</v>
      </c>
      <c r="AK390" t="str">
        <f>IF(LEFT(Table1[[#This Row],[Final Obj Name]],1)="/",LEFT(Table1[[#This Row],[Final Obj Name]],FIND("/",Table1[[#This Row],[Final Obj Name]],2)),"/0SAP/")</f>
        <v>/0SAP/</v>
      </c>
    </row>
    <row r="391">
      <c r="A391" t="str">
        <v>DOMA</v>
      </c>
      <c r="B391" t="str">
        <v>ZDMDGS_RUCODE</v>
      </c>
      <c r="C391" t="str">
        <v>DOMD</v>
      </c>
      <c r="D391" t="str">
        <v>ZDMDGS_RUCODE</v>
      </c>
      <c r="G391" t="str">
        <v>ALL</v>
      </c>
      <c r="K391" t="str">
        <v>E</v>
      </c>
      <c r="L391" t="str">
        <v>NSHAIK</v>
      </c>
      <c r="M391">
        <v>46013</v>
      </c>
      <c r="N391">
        <v>0.23835648148148</v>
      </c>
      <c r="S391" t="str">
        <v>X</v>
      </c>
      <c r="W391" t="str">
        <v>SP1K961121</v>
      </c>
      <c r="Y391">
        <f>IF(Table1[[#This Row],[OPERATION]]="NOTE","NOTE",Table1[[#This Row],[SUB_TYPE]])</f>
        <v>0</v>
      </c>
      <c r="Z391">
        <f>IF(Table1[[#This Row],[OPERATION]]="NOTE",NUMBERVALUE(LEFT(Table1[[#This Row],[MOD_NAME]],LEN(Table1[[#This Row],[MOD_NAME]])-4)),Table1[[#This Row],[SUB_NAME]])</f>
        <v>0</v>
      </c>
      <c r="AA391" t="str">
        <f>CONCAT(Table1[[#This Row],[Final Obj Type]],"|",Table1[[#This Row],[Final Obj Name]])</f>
        <v>0|0</v>
      </c>
      <c r="AB391" t="e">
        <f>VLOOKUP(Table1[[#This Row],[Final Obj Type]],Classification!B:E,3,FALSE)</f>
        <v>#N/A</v>
      </c>
      <c r="AC391" t="e">
        <f>VLOOKUP(Table1[[#This Row],[Final Obj Type]],Classification!B:E,4,FALSE)</f>
        <v>#N/A</v>
      </c>
      <c r="AD391" t="str">
        <f>IF(Table1[[#This Row],[Position 1]]=0,"/0SAP/",MID(Table1[[#This Row],[Final Obj Name]],Table1[[#This Row],[Position 1]],Table1[[#This Row],[Position 2]]-Table1[[#This Row],[Position 1]]+1))</f>
        <v>/0SAP/</v>
      </c>
      <c r="AE391" t="str">
        <f>VLOOKUP(Table1[[#This Row],[/* Object]],Namespace!A:J,10,FALSE)</f>
        <v>SAP AG</v>
      </c>
      <c r="AF391" t="str">
        <f>IF(VLOOKUP(Table1[[#This Row],[/* Object]],Namespace!A:J,4,FALSE)=0,"",VLOOKUP(Table1[[#This Row],[/* Object]],Namespace!A:J,4,FALSE))</f>
        <v>X</v>
      </c>
      <c r="AG391" t="str">
        <f>IF(VLOOKUP(Table1[[#This Row],[/* Object]],Namespace!A:J,5,FALSE)=0,"",VLOOKUP(Table1[[#This Row],[/* Object]],Namespace!A:J,5,FALSE))</f>
        <v>X</v>
      </c>
      <c r="AH391" t="str">
        <f>IF(VLOOKUP(Table1[[#This Row],[/* Object]],Namespace!A:J,6,FALSE)=0,"",VLOOKUP(Table1[[#This Row],[/* Object]],Namespace!A:J,6,FALSE))</f>
        <v/>
      </c>
      <c r="AI391">
        <f>IFERROR(FIND("/",Table1[[#This Row],[Final Obj Name]],1),0)</f>
        <v>0</v>
      </c>
      <c r="AJ391">
        <f>IF(Table1[[#This Row],[Position 1]]=0,0,FIND("/",Table1[[#This Row],[Final Obj Name]],Table1[[#This Row],[Position 1]]+1))</f>
        <v>0</v>
      </c>
      <c r="AK391" t="str">
        <f>IF(LEFT(Table1[[#This Row],[Final Obj Name]],1)="/",LEFT(Table1[[#This Row],[Final Obj Name]],FIND("/",Table1[[#This Row],[Final Obj Name]],2)),"/0SAP/")</f>
        <v>/0SAP/</v>
      </c>
    </row>
    <row r="392">
      <c r="A392" t="str">
        <v>DOMA</v>
      </c>
      <c r="B392" t="str">
        <v>ZDMDGS_RU_TAX_REQ</v>
      </c>
      <c r="C392" t="str">
        <v>DOMD</v>
      </c>
      <c r="D392" t="str">
        <v>ZDMDGS_RU_TAX_REQ</v>
      </c>
      <c r="G392" t="str">
        <v>ALL</v>
      </c>
      <c r="K392" t="str">
        <v>E</v>
      </c>
      <c r="L392" t="str">
        <v>NSHAIK</v>
      </c>
      <c r="M392">
        <v>46013</v>
      </c>
      <c r="N392">
        <v>0.23865740740741</v>
      </c>
      <c r="S392" t="str">
        <v>X</v>
      </c>
      <c r="W392" t="str">
        <v>SP1K961121</v>
      </c>
      <c r="Y392">
        <f>IF(Table1[[#This Row],[OPERATION]]="NOTE","NOTE",Table1[[#This Row],[SUB_TYPE]])</f>
        <v>0</v>
      </c>
      <c r="Z392">
        <f>IF(Table1[[#This Row],[OPERATION]]="NOTE",NUMBERVALUE(LEFT(Table1[[#This Row],[MOD_NAME]],LEN(Table1[[#This Row],[MOD_NAME]])-4)),Table1[[#This Row],[SUB_NAME]])</f>
        <v>0</v>
      </c>
      <c r="AA392" t="str">
        <f>CONCAT(Table1[[#This Row],[Final Obj Type]],"|",Table1[[#This Row],[Final Obj Name]])</f>
        <v>0|0</v>
      </c>
      <c r="AB392" t="e">
        <f>VLOOKUP(Table1[[#This Row],[Final Obj Type]],Classification!B:E,3,FALSE)</f>
        <v>#N/A</v>
      </c>
      <c r="AC392" t="e">
        <f>VLOOKUP(Table1[[#This Row],[Final Obj Type]],Classification!B:E,4,FALSE)</f>
        <v>#N/A</v>
      </c>
      <c r="AD392" t="str">
        <f>IF(Table1[[#This Row],[Position 1]]=0,"/0SAP/",MID(Table1[[#This Row],[Final Obj Name]],Table1[[#This Row],[Position 1]],Table1[[#This Row],[Position 2]]-Table1[[#This Row],[Position 1]]+1))</f>
        <v>/0SAP/</v>
      </c>
      <c r="AE392" t="str">
        <f>VLOOKUP(Table1[[#This Row],[/* Object]],Namespace!A:J,10,FALSE)</f>
        <v>SAP AG</v>
      </c>
      <c r="AF392" t="str">
        <f>IF(VLOOKUP(Table1[[#This Row],[/* Object]],Namespace!A:J,4,FALSE)=0,"",VLOOKUP(Table1[[#This Row],[/* Object]],Namespace!A:J,4,FALSE))</f>
        <v>X</v>
      </c>
      <c r="AG392" t="str">
        <f>IF(VLOOKUP(Table1[[#This Row],[/* Object]],Namespace!A:J,5,FALSE)=0,"",VLOOKUP(Table1[[#This Row],[/* Object]],Namespace!A:J,5,FALSE))</f>
        <v>X</v>
      </c>
      <c r="AH392" t="str">
        <f>IF(VLOOKUP(Table1[[#This Row],[/* Object]],Namespace!A:J,6,FALSE)=0,"",VLOOKUP(Table1[[#This Row],[/* Object]],Namespace!A:J,6,FALSE))</f>
        <v/>
      </c>
      <c r="AI392">
        <f>IFERROR(FIND("/",Table1[[#This Row],[Final Obj Name]],1),0)</f>
        <v>0</v>
      </c>
      <c r="AJ392">
        <f>IF(Table1[[#This Row],[Position 1]]=0,0,FIND("/",Table1[[#This Row],[Final Obj Name]],Table1[[#This Row],[Position 1]]+1))</f>
        <v>0</v>
      </c>
      <c r="AK392" t="str">
        <f>IF(LEFT(Table1[[#This Row],[Final Obj Name]],1)="/",LEFT(Table1[[#This Row],[Final Obj Name]],FIND("/",Table1[[#This Row],[Final Obj Name]],2)),"/0SAP/")</f>
        <v>/0SAP/</v>
      </c>
    </row>
    <row r="393">
      <c r="A393" t="str">
        <v>DOMA</v>
      </c>
      <c r="B393" t="str">
        <v>ZDMDG_AREA</v>
      </c>
      <c r="C393" t="str">
        <v>DOMD</v>
      </c>
      <c r="D393" t="str">
        <v>ZDMDG_AREA</v>
      </c>
      <c r="G393" t="str">
        <v>ALL</v>
      </c>
      <c r="K393" t="str">
        <v>E</v>
      </c>
      <c r="L393" t="str">
        <v>NSHAIK</v>
      </c>
      <c r="M393">
        <v>46013</v>
      </c>
      <c r="N393">
        <v>0.23880787037037</v>
      </c>
      <c r="S393" t="str">
        <v>X</v>
      </c>
      <c r="W393" t="str">
        <v>SP1K961121</v>
      </c>
      <c r="Y393">
        <f>IF(Table1[[#This Row],[OPERATION]]="NOTE","NOTE",Table1[[#This Row],[SUB_TYPE]])</f>
        <v>0</v>
      </c>
      <c r="Z393">
        <f>IF(Table1[[#This Row],[OPERATION]]="NOTE",NUMBERVALUE(LEFT(Table1[[#This Row],[MOD_NAME]],LEN(Table1[[#This Row],[MOD_NAME]])-4)),Table1[[#This Row],[SUB_NAME]])</f>
        <v>0</v>
      </c>
      <c r="AA393" t="str">
        <f>CONCAT(Table1[[#This Row],[Final Obj Type]],"|",Table1[[#This Row],[Final Obj Name]])</f>
        <v>0|0</v>
      </c>
      <c r="AB393" t="e">
        <f>VLOOKUP(Table1[[#This Row],[Final Obj Type]],Classification!B:E,3,FALSE)</f>
        <v>#N/A</v>
      </c>
      <c r="AC393" t="e">
        <f>VLOOKUP(Table1[[#This Row],[Final Obj Type]],Classification!B:E,4,FALSE)</f>
        <v>#N/A</v>
      </c>
      <c r="AD393" t="str">
        <f>IF(Table1[[#This Row],[Position 1]]=0,"/0SAP/",MID(Table1[[#This Row],[Final Obj Name]],Table1[[#This Row],[Position 1]],Table1[[#This Row],[Position 2]]-Table1[[#This Row],[Position 1]]+1))</f>
        <v>/0SAP/</v>
      </c>
      <c r="AE393" t="str">
        <f>VLOOKUP(Table1[[#This Row],[/* Object]],Namespace!A:J,10,FALSE)</f>
        <v>SAP AG</v>
      </c>
      <c r="AF393" t="str">
        <f>IF(VLOOKUP(Table1[[#This Row],[/* Object]],Namespace!A:J,4,FALSE)=0,"",VLOOKUP(Table1[[#This Row],[/* Object]],Namespace!A:J,4,FALSE))</f>
        <v>X</v>
      </c>
      <c r="AG393" t="str">
        <f>IF(VLOOKUP(Table1[[#This Row],[/* Object]],Namespace!A:J,5,FALSE)=0,"",VLOOKUP(Table1[[#This Row],[/* Object]],Namespace!A:J,5,FALSE))</f>
        <v>X</v>
      </c>
      <c r="AH393" t="str">
        <f>IF(VLOOKUP(Table1[[#This Row],[/* Object]],Namespace!A:J,6,FALSE)=0,"",VLOOKUP(Table1[[#This Row],[/* Object]],Namespace!A:J,6,FALSE))</f>
        <v/>
      </c>
      <c r="AI393">
        <f>IFERROR(FIND("/",Table1[[#This Row],[Final Obj Name]],1),0)</f>
        <v>0</v>
      </c>
      <c r="AJ393">
        <f>IF(Table1[[#This Row],[Position 1]]=0,0,FIND("/",Table1[[#This Row],[Final Obj Name]],Table1[[#This Row],[Position 1]]+1))</f>
        <v>0</v>
      </c>
      <c r="AK393" t="str">
        <f>IF(LEFT(Table1[[#This Row],[Final Obj Name]],1)="/",LEFT(Table1[[#This Row],[Final Obj Name]],FIND("/",Table1[[#This Row],[Final Obj Name]],2)),"/0SAP/")</f>
        <v>/0SAP/</v>
      </c>
    </row>
    <row r="394">
      <c r="A394" t="str">
        <v>DOMA</v>
      </c>
      <c r="B394" t="str">
        <v>ZDO_MDG_DOCUMENTTYPE</v>
      </c>
      <c r="C394" t="str">
        <v>DOMD</v>
      </c>
      <c r="D394" t="str">
        <v>ZDO_MDG_DOCUMENTTYPE</v>
      </c>
      <c r="G394" t="str">
        <v>ALL</v>
      </c>
      <c r="K394" t="str">
        <v>E</v>
      </c>
      <c r="L394" t="str">
        <v>NSHAIK</v>
      </c>
      <c r="M394">
        <v>46013</v>
      </c>
      <c r="N394">
        <v>0.19355324074074</v>
      </c>
      <c r="S394" t="str">
        <v>X</v>
      </c>
      <c r="W394" t="str">
        <v>SP1K961121</v>
      </c>
      <c r="Y394">
        <f>IF(Table1[[#This Row],[OPERATION]]="NOTE","NOTE",Table1[[#This Row],[SUB_TYPE]])</f>
        <v>0</v>
      </c>
      <c r="Z394">
        <f>IF(Table1[[#This Row],[OPERATION]]="NOTE",NUMBERVALUE(LEFT(Table1[[#This Row],[MOD_NAME]],LEN(Table1[[#This Row],[MOD_NAME]])-4)),Table1[[#This Row],[SUB_NAME]])</f>
        <v>0</v>
      </c>
      <c r="AA394" t="str">
        <f>CONCAT(Table1[[#This Row],[Final Obj Type]],"|",Table1[[#This Row],[Final Obj Name]])</f>
        <v>0|0</v>
      </c>
      <c r="AB394" t="e">
        <f>VLOOKUP(Table1[[#This Row],[Final Obj Type]],Classification!B:E,3,FALSE)</f>
        <v>#N/A</v>
      </c>
      <c r="AC394" t="e">
        <f>VLOOKUP(Table1[[#This Row],[Final Obj Type]],Classification!B:E,4,FALSE)</f>
        <v>#N/A</v>
      </c>
      <c r="AD394" t="str">
        <f>IF(Table1[[#This Row],[Position 1]]=0,"/0SAP/",MID(Table1[[#This Row],[Final Obj Name]],Table1[[#This Row],[Position 1]],Table1[[#This Row],[Position 2]]-Table1[[#This Row],[Position 1]]+1))</f>
        <v>/0SAP/</v>
      </c>
      <c r="AE394" t="str">
        <f>VLOOKUP(Table1[[#This Row],[/* Object]],Namespace!A:J,10,FALSE)</f>
        <v>SAP AG</v>
      </c>
      <c r="AF394" t="str">
        <f>IF(VLOOKUP(Table1[[#This Row],[/* Object]],Namespace!A:J,4,FALSE)=0,"",VLOOKUP(Table1[[#This Row],[/* Object]],Namespace!A:J,4,FALSE))</f>
        <v>X</v>
      </c>
      <c r="AG394" t="str">
        <f>IF(VLOOKUP(Table1[[#This Row],[/* Object]],Namespace!A:J,5,FALSE)=0,"",VLOOKUP(Table1[[#This Row],[/* Object]],Namespace!A:J,5,FALSE))</f>
        <v>X</v>
      </c>
      <c r="AH394" t="str">
        <f>IF(VLOOKUP(Table1[[#This Row],[/* Object]],Namespace!A:J,6,FALSE)=0,"",VLOOKUP(Table1[[#This Row],[/* Object]],Namespace!A:J,6,FALSE))</f>
        <v/>
      </c>
      <c r="AI394">
        <f>IFERROR(FIND("/",Table1[[#This Row],[Final Obj Name]],1),0)</f>
        <v>0</v>
      </c>
      <c r="AJ394">
        <f>IF(Table1[[#This Row],[Position 1]]=0,0,FIND("/",Table1[[#This Row],[Final Obj Name]],Table1[[#This Row],[Position 1]]+1))</f>
        <v>0</v>
      </c>
      <c r="AK394" t="str">
        <f>IF(LEFT(Table1[[#This Row],[Final Obj Name]],1)="/",LEFT(Table1[[#This Row],[Final Obj Name]],FIND("/",Table1[[#This Row],[Final Obj Name]],2)),"/0SAP/")</f>
        <v>/0SAP/</v>
      </c>
    </row>
    <row r="395">
      <c r="A395" t="str">
        <v>DOMA</v>
      </c>
      <c r="B395" t="str">
        <v>ZDO_MDG_VENDORTYPE</v>
      </c>
      <c r="C395" t="str">
        <v>DOMD</v>
      </c>
      <c r="D395" t="str">
        <v>ZDO_MDG_VENDORTYPE</v>
      </c>
      <c r="G395" t="str">
        <v>ALL</v>
      </c>
      <c r="K395" t="str">
        <v>E</v>
      </c>
      <c r="L395" t="str">
        <v>NSHAIK</v>
      </c>
      <c r="M395">
        <v>46013</v>
      </c>
      <c r="N395">
        <v>0.19462962962963</v>
      </c>
      <c r="S395" t="str">
        <v>X</v>
      </c>
      <c r="W395" t="str">
        <v>SP1K961121</v>
      </c>
      <c r="Y395">
        <f>IF(Table1[[#This Row],[OPERATION]]="NOTE","NOTE",Table1[[#This Row],[SUB_TYPE]])</f>
        <v>0</v>
      </c>
      <c r="Z395">
        <f>IF(Table1[[#This Row],[OPERATION]]="NOTE",NUMBERVALUE(LEFT(Table1[[#This Row],[MOD_NAME]],LEN(Table1[[#This Row],[MOD_NAME]])-4)),Table1[[#This Row],[SUB_NAME]])</f>
        <v>0</v>
      </c>
      <c r="AA395" t="str">
        <f>CONCAT(Table1[[#This Row],[Final Obj Type]],"|",Table1[[#This Row],[Final Obj Name]])</f>
        <v>0|0</v>
      </c>
      <c r="AB395" t="e">
        <f>VLOOKUP(Table1[[#This Row],[Final Obj Type]],Classification!B:E,3,FALSE)</f>
        <v>#N/A</v>
      </c>
      <c r="AC395" t="e">
        <f>VLOOKUP(Table1[[#This Row],[Final Obj Type]],Classification!B:E,4,FALSE)</f>
        <v>#N/A</v>
      </c>
      <c r="AD395" t="str">
        <f>IF(Table1[[#This Row],[Position 1]]=0,"/0SAP/",MID(Table1[[#This Row],[Final Obj Name]],Table1[[#This Row],[Position 1]],Table1[[#This Row],[Position 2]]-Table1[[#This Row],[Position 1]]+1))</f>
        <v>/0SAP/</v>
      </c>
      <c r="AE395" t="str">
        <f>VLOOKUP(Table1[[#This Row],[/* Object]],Namespace!A:J,10,FALSE)</f>
        <v>SAP AG</v>
      </c>
      <c r="AF395" t="str">
        <f>IF(VLOOKUP(Table1[[#This Row],[/* Object]],Namespace!A:J,4,FALSE)=0,"",VLOOKUP(Table1[[#This Row],[/* Object]],Namespace!A:J,4,FALSE))</f>
        <v>X</v>
      </c>
      <c r="AG395" t="str">
        <f>IF(VLOOKUP(Table1[[#This Row],[/* Object]],Namespace!A:J,5,FALSE)=0,"",VLOOKUP(Table1[[#This Row],[/* Object]],Namespace!A:J,5,FALSE))</f>
        <v>X</v>
      </c>
      <c r="AH395" t="str">
        <f>IF(VLOOKUP(Table1[[#This Row],[/* Object]],Namespace!A:J,6,FALSE)=0,"",VLOOKUP(Table1[[#This Row],[/* Object]],Namespace!A:J,6,FALSE))</f>
        <v/>
      </c>
      <c r="AI395">
        <f>IFERROR(FIND("/",Table1[[#This Row],[Final Obj Name]],1),0)</f>
        <v>0</v>
      </c>
      <c r="AJ395">
        <f>IF(Table1[[#This Row],[Position 1]]=0,0,FIND("/",Table1[[#This Row],[Final Obj Name]],Table1[[#This Row],[Position 1]]+1))</f>
        <v>0</v>
      </c>
      <c r="AK395" t="str">
        <f>IF(LEFT(Table1[[#This Row],[Final Obj Name]],1)="/",LEFT(Table1[[#This Row],[Final Obj Name]],FIND("/",Table1[[#This Row],[Final Obj Name]],2)),"/0SAP/")</f>
        <v>/0SAP/</v>
      </c>
    </row>
    <row r="396">
      <c r="A396" t="str">
        <v>DOMA</v>
      </c>
      <c r="B396" t="str">
        <v>ZD_DUN_AC_URL</v>
      </c>
      <c r="C396" t="str">
        <v>DOMD</v>
      </c>
      <c r="D396" t="str">
        <v>ZD_DUN_AC_URL</v>
      </c>
      <c r="G396" t="str">
        <v>ALL</v>
      </c>
      <c r="K396" t="str">
        <v>E</v>
      </c>
      <c r="L396" t="str">
        <v>NSHAIK</v>
      </c>
      <c r="M396">
        <v>46013</v>
      </c>
      <c r="N396">
        <v>0.23893518518519</v>
      </c>
      <c r="S396" t="str">
        <v>X</v>
      </c>
      <c r="W396" t="str">
        <v>SP1K961121</v>
      </c>
      <c r="Y396">
        <f>IF(Table1[[#This Row],[OPERATION]]="NOTE","NOTE",Table1[[#This Row],[SUB_TYPE]])</f>
        <v>0</v>
      </c>
      <c r="Z396">
        <f>IF(Table1[[#This Row],[OPERATION]]="NOTE",NUMBERVALUE(LEFT(Table1[[#This Row],[MOD_NAME]],LEN(Table1[[#This Row],[MOD_NAME]])-4)),Table1[[#This Row],[SUB_NAME]])</f>
        <v>0</v>
      </c>
      <c r="AA396" t="str">
        <f>CONCAT(Table1[[#This Row],[Final Obj Type]],"|",Table1[[#This Row],[Final Obj Name]])</f>
        <v>0|0</v>
      </c>
      <c r="AB396" t="e">
        <f>VLOOKUP(Table1[[#This Row],[Final Obj Type]],Classification!B:E,3,FALSE)</f>
        <v>#N/A</v>
      </c>
      <c r="AC396" t="e">
        <f>VLOOKUP(Table1[[#This Row],[Final Obj Type]],Classification!B:E,4,FALSE)</f>
        <v>#N/A</v>
      </c>
      <c r="AD396" t="str">
        <f>IF(Table1[[#This Row],[Position 1]]=0,"/0SAP/",MID(Table1[[#This Row],[Final Obj Name]],Table1[[#This Row],[Position 1]],Table1[[#This Row],[Position 2]]-Table1[[#This Row],[Position 1]]+1))</f>
        <v>/0SAP/</v>
      </c>
      <c r="AE396" t="str">
        <f>VLOOKUP(Table1[[#This Row],[/* Object]],Namespace!A:J,10,FALSE)</f>
        <v>SAP AG</v>
      </c>
      <c r="AF396" t="str">
        <f>IF(VLOOKUP(Table1[[#This Row],[/* Object]],Namespace!A:J,4,FALSE)=0,"",VLOOKUP(Table1[[#This Row],[/* Object]],Namespace!A:J,4,FALSE))</f>
        <v>X</v>
      </c>
      <c r="AG396" t="str">
        <f>IF(VLOOKUP(Table1[[#This Row],[/* Object]],Namespace!A:J,5,FALSE)=0,"",VLOOKUP(Table1[[#This Row],[/* Object]],Namespace!A:J,5,FALSE))</f>
        <v>X</v>
      </c>
      <c r="AH396" t="str">
        <f>IF(VLOOKUP(Table1[[#This Row],[/* Object]],Namespace!A:J,6,FALSE)=0,"",VLOOKUP(Table1[[#This Row],[/* Object]],Namespace!A:J,6,FALSE))</f>
        <v/>
      </c>
      <c r="AI396">
        <f>IFERROR(FIND("/",Table1[[#This Row],[Final Obj Name]],1),0)</f>
        <v>0</v>
      </c>
      <c r="AJ396">
        <f>IF(Table1[[#This Row],[Position 1]]=0,0,FIND("/",Table1[[#This Row],[Final Obj Name]],Table1[[#This Row],[Position 1]]+1))</f>
        <v>0</v>
      </c>
      <c r="AK396" t="str">
        <f>IF(LEFT(Table1[[#This Row],[Final Obj Name]],1)="/",LEFT(Table1[[#This Row],[Final Obj Name]],FIND("/",Table1[[#This Row],[Final Obj Name]],2)),"/0SAP/")</f>
        <v>/0SAP/</v>
      </c>
    </row>
    <row r="397">
      <c r="A397" t="str">
        <v>DOMA</v>
      </c>
      <c r="B397" t="str">
        <v>ZD_DUN_AP_TAG1</v>
      </c>
      <c r="C397" t="str">
        <v>DOMD</v>
      </c>
      <c r="D397" t="str">
        <v>ZD_DUN_AP_TAG1</v>
      </c>
      <c r="G397" t="str">
        <v>ALL</v>
      </c>
      <c r="K397" t="str">
        <v>E</v>
      </c>
      <c r="L397" t="str">
        <v>NSHAIK</v>
      </c>
      <c r="M397">
        <v>46013</v>
      </c>
      <c r="N397">
        <v>0.2390625</v>
      </c>
      <c r="S397" t="str">
        <v>X</v>
      </c>
      <c r="W397" t="str">
        <v>SP1K961121</v>
      </c>
      <c r="Y397">
        <f>IF(Table1[[#This Row],[OPERATION]]="NOTE","NOTE",Table1[[#This Row],[SUB_TYPE]])</f>
        <v>0</v>
      </c>
      <c r="Z397">
        <f>IF(Table1[[#This Row],[OPERATION]]="NOTE",NUMBERVALUE(LEFT(Table1[[#This Row],[MOD_NAME]],LEN(Table1[[#This Row],[MOD_NAME]])-4)),Table1[[#This Row],[SUB_NAME]])</f>
        <v>0</v>
      </c>
      <c r="AA397" t="str">
        <f>CONCAT(Table1[[#This Row],[Final Obj Type]],"|",Table1[[#This Row],[Final Obj Name]])</f>
        <v>0|0</v>
      </c>
      <c r="AB397" t="e">
        <f>VLOOKUP(Table1[[#This Row],[Final Obj Type]],Classification!B:E,3,FALSE)</f>
        <v>#N/A</v>
      </c>
      <c r="AC397" t="e">
        <f>VLOOKUP(Table1[[#This Row],[Final Obj Type]],Classification!B:E,4,FALSE)</f>
        <v>#N/A</v>
      </c>
      <c r="AD397" t="str">
        <f>IF(Table1[[#This Row],[Position 1]]=0,"/0SAP/",MID(Table1[[#This Row],[Final Obj Name]],Table1[[#This Row],[Position 1]],Table1[[#This Row],[Position 2]]-Table1[[#This Row],[Position 1]]+1))</f>
        <v>/0SAP/</v>
      </c>
      <c r="AE397" t="str">
        <f>VLOOKUP(Table1[[#This Row],[/* Object]],Namespace!A:J,10,FALSE)</f>
        <v>SAP AG</v>
      </c>
      <c r="AF397" t="str">
        <f>IF(VLOOKUP(Table1[[#This Row],[/* Object]],Namespace!A:J,4,FALSE)=0,"",VLOOKUP(Table1[[#This Row],[/* Object]],Namespace!A:J,4,FALSE))</f>
        <v>X</v>
      </c>
      <c r="AG397" t="str">
        <f>IF(VLOOKUP(Table1[[#This Row],[/* Object]],Namespace!A:J,5,FALSE)=0,"",VLOOKUP(Table1[[#This Row],[/* Object]],Namespace!A:J,5,FALSE))</f>
        <v>X</v>
      </c>
      <c r="AH397" t="str">
        <f>IF(VLOOKUP(Table1[[#This Row],[/* Object]],Namespace!A:J,6,FALSE)=0,"",VLOOKUP(Table1[[#This Row],[/* Object]],Namespace!A:J,6,FALSE))</f>
        <v/>
      </c>
      <c r="AI397">
        <f>IFERROR(FIND("/",Table1[[#This Row],[Final Obj Name]],1),0)</f>
        <v>0</v>
      </c>
      <c r="AJ397">
        <f>IF(Table1[[#This Row],[Position 1]]=0,0,FIND("/",Table1[[#This Row],[Final Obj Name]],Table1[[#This Row],[Position 1]]+1))</f>
        <v>0</v>
      </c>
      <c r="AK397" t="str">
        <f>IF(LEFT(Table1[[#This Row],[Final Obj Name]],1)="/",LEFT(Table1[[#This Row],[Final Obj Name]],FIND("/",Table1[[#This Row],[Final Obj Name]],2)),"/0SAP/")</f>
        <v>/0SAP/</v>
      </c>
    </row>
    <row r="398">
      <c r="A398" t="str">
        <v>DOMA</v>
      </c>
      <c r="B398" t="str">
        <v>ZD_DUN_AP_URL</v>
      </c>
      <c r="C398" t="str">
        <v>DOMD</v>
      </c>
      <c r="D398" t="str">
        <v>ZD_DUN_AP_URL</v>
      </c>
      <c r="G398" t="str">
        <v>ALL</v>
      </c>
      <c r="K398" t="str">
        <v>E</v>
      </c>
      <c r="L398" t="str">
        <v>NSHAIK</v>
      </c>
      <c r="M398">
        <v>46013</v>
      </c>
      <c r="N398">
        <v>0.23918981481481</v>
      </c>
      <c r="S398" t="str">
        <v>X</v>
      </c>
      <c r="W398" t="str">
        <v>SP1K961121</v>
      </c>
      <c r="Y398">
        <f>IF(Table1[[#This Row],[OPERATION]]="NOTE","NOTE",Table1[[#This Row],[SUB_TYPE]])</f>
        <v>0</v>
      </c>
      <c r="Z398">
        <f>IF(Table1[[#This Row],[OPERATION]]="NOTE",NUMBERVALUE(LEFT(Table1[[#This Row],[MOD_NAME]],LEN(Table1[[#This Row],[MOD_NAME]])-4)),Table1[[#This Row],[SUB_NAME]])</f>
        <v>0</v>
      </c>
      <c r="AA398" t="str">
        <f>CONCAT(Table1[[#This Row],[Final Obj Type]],"|",Table1[[#This Row],[Final Obj Name]])</f>
        <v>0|0</v>
      </c>
      <c r="AB398" t="e">
        <f>VLOOKUP(Table1[[#This Row],[Final Obj Type]],Classification!B:E,3,FALSE)</f>
        <v>#N/A</v>
      </c>
      <c r="AC398" t="e">
        <f>VLOOKUP(Table1[[#This Row],[Final Obj Type]],Classification!B:E,4,FALSE)</f>
        <v>#N/A</v>
      </c>
      <c r="AD398" t="str">
        <f>IF(Table1[[#This Row],[Position 1]]=0,"/0SAP/",MID(Table1[[#This Row],[Final Obj Name]],Table1[[#This Row],[Position 1]],Table1[[#This Row],[Position 2]]-Table1[[#This Row],[Position 1]]+1))</f>
        <v>/0SAP/</v>
      </c>
      <c r="AE398" t="str">
        <f>VLOOKUP(Table1[[#This Row],[/* Object]],Namespace!A:J,10,FALSE)</f>
        <v>SAP AG</v>
      </c>
      <c r="AF398" t="str">
        <f>IF(VLOOKUP(Table1[[#This Row],[/* Object]],Namespace!A:J,4,FALSE)=0,"",VLOOKUP(Table1[[#This Row],[/* Object]],Namespace!A:J,4,FALSE))</f>
        <v>X</v>
      </c>
      <c r="AG398" t="str">
        <f>IF(VLOOKUP(Table1[[#This Row],[/* Object]],Namespace!A:J,5,FALSE)=0,"",VLOOKUP(Table1[[#This Row],[/* Object]],Namespace!A:J,5,FALSE))</f>
        <v>X</v>
      </c>
      <c r="AH398" t="str">
        <f>IF(VLOOKUP(Table1[[#This Row],[/* Object]],Namespace!A:J,6,FALSE)=0,"",VLOOKUP(Table1[[#This Row],[/* Object]],Namespace!A:J,6,FALSE))</f>
        <v/>
      </c>
      <c r="AI398">
        <f>IFERROR(FIND("/",Table1[[#This Row],[Final Obj Name]],1),0)</f>
        <v>0</v>
      </c>
      <c r="AJ398">
        <f>IF(Table1[[#This Row],[Position 1]]=0,0,FIND("/",Table1[[#This Row],[Final Obj Name]],Table1[[#This Row],[Position 1]]+1))</f>
        <v>0</v>
      </c>
      <c r="AK398" t="str">
        <f>IF(LEFT(Table1[[#This Row],[Final Obj Name]],1)="/",LEFT(Table1[[#This Row],[Final Obj Name]],FIND("/",Table1[[#This Row],[Final Obj Name]],2)),"/0SAP/")</f>
        <v>/0SAP/</v>
      </c>
    </row>
    <row r="399">
      <c r="A399" t="str">
        <v>DOMA</v>
      </c>
      <c r="B399" t="str">
        <v>ZD_DUN_BASE64</v>
      </c>
      <c r="C399" t="str">
        <v>DOMD</v>
      </c>
      <c r="D399" t="str">
        <v>ZD_DUN_BASE64</v>
      </c>
      <c r="G399" t="str">
        <v>ALL</v>
      </c>
      <c r="K399" t="str">
        <v>E</v>
      </c>
      <c r="L399" t="str">
        <v>NSHAIK</v>
      </c>
      <c r="M399">
        <v>46013</v>
      </c>
      <c r="N399">
        <v>0.23931712962963</v>
      </c>
      <c r="S399" t="str">
        <v>X</v>
      </c>
      <c r="W399" t="str">
        <v>SP1K961121</v>
      </c>
      <c r="Y399">
        <f>IF(Table1[[#This Row],[OPERATION]]="NOTE","NOTE",Table1[[#This Row],[SUB_TYPE]])</f>
        <v>0</v>
      </c>
      <c r="Z399">
        <f>IF(Table1[[#This Row],[OPERATION]]="NOTE",NUMBERVALUE(LEFT(Table1[[#This Row],[MOD_NAME]],LEN(Table1[[#This Row],[MOD_NAME]])-4)),Table1[[#This Row],[SUB_NAME]])</f>
        <v>0</v>
      </c>
      <c r="AA399" t="str">
        <f>CONCAT(Table1[[#This Row],[Final Obj Type]],"|",Table1[[#This Row],[Final Obj Name]])</f>
        <v>0|0</v>
      </c>
      <c r="AB399" t="e">
        <f>VLOOKUP(Table1[[#This Row],[Final Obj Type]],Classification!B:E,3,FALSE)</f>
        <v>#N/A</v>
      </c>
      <c r="AC399" t="e">
        <f>VLOOKUP(Table1[[#This Row],[Final Obj Type]],Classification!B:E,4,FALSE)</f>
        <v>#N/A</v>
      </c>
      <c r="AD399" t="str">
        <f>IF(Table1[[#This Row],[Position 1]]=0,"/0SAP/",MID(Table1[[#This Row],[Final Obj Name]],Table1[[#This Row],[Position 1]],Table1[[#This Row],[Position 2]]-Table1[[#This Row],[Position 1]]+1))</f>
        <v>/0SAP/</v>
      </c>
      <c r="AE399" t="str">
        <f>VLOOKUP(Table1[[#This Row],[/* Object]],Namespace!A:J,10,FALSE)</f>
        <v>SAP AG</v>
      </c>
      <c r="AF399" t="str">
        <f>IF(VLOOKUP(Table1[[#This Row],[/* Object]],Namespace!A:J,4,FALSE)=0,"",VLOOKUP(Table1[[#This Row],[/* Object]],Namespace!A:J,4,FALSE))</f>
        <v>X</v>
      </c>
      <c r="AG399" t="str">
        <f>IF(VLOOKUP(Table1[[#This Row],[/* Object]],Namespace!A:J,5,FALSE)=0,"",VLOOKUP(Table1[[#This Row],[/* Object]],Namespace!A:J,5,FALSE))</f>
        <v>X</v>
      </c>
      <c r="AH399" t="str">
        <f>IF(VLOOKUP(Table1[[#This Row],[/* Object]],Namespace!A:J,6,FALSE)=0,"",VLOOKUP(Table1[[#This Row],[/* Object]],Namespace!A:J,6,FALSE))</f>
        <v/>
      </c>
      <c r="AI399">
        <f>IFERROR(FIND("/",Table1[[#This Row],[Final Obj Name]],1),0)</f>
        <v>0</v>
      </c>
      <c r="AJ399">
        <f>IF(Table1[[#This Row],[Position 1]]=0,0,FIND("/",Table1[[#This Row],[Final Obj Name]],Table1[[#This Row],[Position 1]]+1))</f>
        <v>0</v>
      </c>
      <c r="AK399" t="str">
        <f>IF(LEFT(Table1[[#This Row],[Final Obj Name]],1)="/",LEFT(Table1[[#This Row],[Final Obj Name]],FIND("/",Table1[[#This Row],[Final Obj Name]],2)),"/0SAP/")</f>
        <v>/0SAP/</v>
      </c>
    </row>
    <row r="400">
      <c r="A400" t="str">
        <v>DOMA</v>
      </c>
      <c r="B400" t="str">
        <v>ZD_DUN_PSWD</v>
      </c>
      <c r="C400" t="str">
        <v>DOMD</v>
      </c>
      <c r="D400" t="str">
        <v>ZD_DUN_PSWD</v>
      </c>
      <c r="G400" t="str">
        <v>ALL</v>
      </c>
      <c r="K400" t="str">
        <v>E</v>
      </c>
      <c r="L400" t="str">
        <v>NSHAIK</v>
      </c>
      <c r="M400">
        <v>46013</v>
      </c>
      <c r="N400">
        <v>0.23943287037037</v>
      </c>
      <c r="S400" t="str">
        <v>X</v>
      </c>
      <c r="W400" t="str">
        <v>SP1K961121</v>
      </c>
      <c r="Y400">
        <f>IF(Table1[[#This Row],[OPERATION]]="NOTE","NOTE",Table1[[#This Row],[SUB_TYPE]])</f>
        <v>0</v>
      </c>
      <c r="Z400">
        <f>IF(Table1[[#This Row],[OPERATION]]="NOTE",NUMBERVALUE(LEFT(Table1[[#This Row],[MOD_NAME]],LEN(Table1[[#This Row],[MOD_NAME]])-4)),Table1[[#This Row],[SUB_NAME]])</f>
        <v>0</v>
      </c>
      <c r="AA400" t="str">
        <f>CONCAT(Table1[[#This Row],[Final Obj Type]],"|",Table1[[#This Row],[Final Obj Name]])</f>
        <v>0|0</v>
      </c>
      <c r="AB400" t="e">
        <f>VLOOKUP(Table1[[#This Row],[Final Obj Type]],Classification!B:E,3,FALSE)</f>
        <v>#N/A</v>
      </c>
      <c r="AC400" t="e">
        <f>VLOOKUP(Table1[[#This Row],[Final Obj Type]],Classification!B:E,4,FALSE)</f>
        <v>#N/A</v>
      </c>
      <c r="AD400" t="str">
        <f>IF(Table1[[#This Row],[Position 1]]=0,"/0SAP/",MID(Table1[[#This Row],[Final Obj Name]],Table1[[#This Row],[Position 1]],Table1[[#This Row],[Position 2]]-Table1[[#This Row],[Position 1]]+1))</f>
        <v>/0SAP/</v>
      </c>
      <c r="AE400" t="str">
        <f>VLOOKUP(Table1[[#This Row],[/* Object]],Namespace!A:J,10,FALSE)</f>
        <v>SAP AG</v>
      </c>
      <c r="AF400" t="str">
        <f>IF(VLOOKUP(Table1[[#This Row],[/* Object]],Namespace!A:J,4,FALSE)=0,"",VLOOKUP(Table1[[#This Row],[/* Object]],Namespace!A:J,4,FALSE))</f>
        <v>X</v>
      </c>
      <c r="AG400" t="str">
        <f>IF(VLOOKUP(Table1[[#This Row],[/* Object]],Namespace!A:J,5,FALSE)=0,"",VLOOKUP(Table1[[#This Row],[/* Object]],Namespace!A:J,5,FALSE))</f>
        <v>X</v>
      </c>
      <c r="AH400" t="str">
        <f>IF(VLOOKUP(Table1[[#This Row],[/* Object]],Namespace!A:J,6,FALSE)=0,"",VLOOKUP(Table1[[#This Row],[/* Object]],Namespace!A:J,6,FALSE))</f>
        <v/>
      </c>
      <c r="AI400">
        <f>IFERROR(FIND("/",Table1[[#This Row],[Final Obj Name]],1),0)</f>
        <v>0</v>
      </c>
      <c r="AJ400">
        <f>IF(Table1[[#This Row],[Position 1]]=0,0,FIND("/",Table1[[#This Row],[Final Obj Name]],Table1[[#This Row],[Position 1]]+1))</f>
        <v>0</v>
      </c>
      <c r="AK400" t="str">
        <f>IF(LEFT(Table1[[#This Row],[Final Obj Name]],1)="/",LEFT(Table1[[#This Row],[Final Obj Name]],FIND("/",Table1[[#This Row],[Final Obj Name]],2)),"/0SAP/")</f>
        <v>/0SAP/</v>
      </c>
    </row>
    <row r="401">
      <c r="A401" t="str">
        <v>DOMA</v>
      </c>
      <c r="B401" t="str">
        <v>ZD_DUN_USR</v>
      </c>
      <c r="C401" t="str">
        <v>DOMD</v>
      </c>
      <c r="D401" t="str">
        <v>ZD_DUN_USR</v>
      </c>
      <c r="G401" t="str">
        <v>ALL</v>
      </c>
      <c r="K401" t="str">
        <v>E</v>
      </c>
      <c r="L401" t="str">
        <v>NSHAIK</v>
      </c>
      <c r="M401">
        <v>46013</v>
      </c>
      <c r="N401">
        <v>0.23956018518519</v>
      </c>
      <c r="S401" t="str">
        <v>X</v>
      </c>
      <c r="W401" t="str">
        <v>SP1K961121</v>
      </c>
      <c r="Y401">
        <f>IF(Table1[[#This Row],[OPERATION]]="NOTE","NOTE",Table1[[#This Row],[SUB_TYPE]])</f>
        <v>0</v>
      </c>
      <c r="Z401">
        <f>IF(Table1[[#This Row],[OPERATION]]="NOTE",NUMBERVALUE(LEFT(Table1[[#This Row],[MOD_NAME]],LEN(Table1[[#This Row],[MOD_NAME]])-4)),Table1[[#This Row],[SUB_NAME]])</f>
        <v>0</v>
      </c>
      <c r="AA401" t="str">
        <f>CONCAT(Table1[[#This Row],[Final Obj Type]],"|",Table1[[#This Row],[Final Obj Name]])</f>
        <v>0|0</v>
      </c>
      <c r="AB401" t="e">
        <f>VLOOKUP(Table1[[#This Row],[Final Obj Type]],Classification!B:E,3,FALSE)</f>
        <v>#N/A</v>
      </c>
      <c r="AC401" t="e">
        <f>VLOOKUP(Table1[[#This Row],[Final Obj Type]],Classification!B:E,4,FALSE)</f>
        <v>#N/A</v>
      </c>
      <c r="AD401" t="str">
        <f>IF(Table1[[#This Row],[Position 1]]=0,"/0SAP/",MID(Table1[[#This Row],[Final Obj Name]],Table1[[#This Row],[Position 1]],Table1[[#This Row],[Position 2]]-Table1[[#This Row],[Position 1]]+1))</f>
        <v>/0SAP/</v>
      </c>
      <c r="AE401" t="str">
        <f>VLOOKUP(Table1[[#This Row],[/* Object]],Namespace!A:J,10,FALSE)</f>
        <v>SAP AG</v>
      </c>
      <c r="AF401" t="str">
        <f>IF(VLOOKUP(Table1[[#This Row],[/* Object]],Namespace!A:J,4,FALSE)=0,"",VLOOKUP(Table1[[#This Row],[/* Object]],Namespace!A:J,4,FALSE))</f>
        <v>X</v>
      </c>
      <c r="AG401" t="str">
        <f>IF(VLOOKUP(Table1[[#This Row],[/* Object]],Namespace!A:J,5,FALSE)=0,"",VLOOKUP(Table1[[#This Row],[/* Object]],Namespace!A:J,5,FALSE))</f>
        <v>X</v>
      </c>
      <c r="AH401" t="str">
        <f>IF(VLOOKUP(Table1[[#This Row],[/* Object]],Namespace!A:J,6,FALSE)=0,"",VLOOKUP(Table1[[#This Row],[/* Object]],Namespace!A:J,6,FALSE))</f>
        <v/>
      </c>
      <c r="AI401">
        <f>IFERROR(FIND("/",Table1[[#This Row],[Final Obj Name]],1),0)</f>
        <v>0</v>
      </c>
      <c r="AJ401">
        <f>IF(Table1[[#This Row],[Position 1]]=0,0,FIND("/",Table1[[#This Row],[Final Obj Name]],Table1[[#This Row],[Position 1]]+1))</f>
        <v>0</v>
      </c>
      <c r="AK401" t="str">
        <f>IF(LEFT(Table1[[#This Row],[Final Obj Name]],1)="/",LEFT(Table1[[#This Row],[Final Obj Name]],FIND("/",Table1[[#This Row],[Final Obj Name]],2)),"/0SAP/")</f>
        <v>/0SAP/</v>
      </c>
    </row>
    <row r="402">
      <c r="A402" t="str">
        <v>DOMA</v>
      </c>
      <c r="B402" t="str">
        <v>ZOBJECT</v>
      </c>
      <c r="C402" t="str">
        <v>DOMD</v>
      </c>
      <c r="D402" t="str">
        <v>ZOBJECT</v>
      </c>
      <c r="G402" t="str">
        <v>ALL</v>
      </c>
      <c r="K402" t="str">
        <v>E</v>
      </c>
      <c r="L402" t="str">
        <v>NSHAIK</v>
      </c>
      <c r="M402">
        <v>46013</v>
      </c>
      <c r="N402">
        <v>0.36856481481481</v>
      </c>
      <c r="S402" t="str">
        <v>X</v>
      </c>
      <c r="W402" t="str">
        <v>SP1K961121</v>
      </c>
      <c r="Y402">
        <f>IF(Table1[[#This Row],[OPERATION]]="NOTE","NOTE",Table1[[#This Row],[SUB_TYPE]])</f>
        <v>0</v>
      </c>
      <c r="Z402">
        <f>IF(Table1[[#This Row],[OPERATION]]="NOTE",NUMBERVALUE(LEFT(Table1[[#This Row],[MOD_NAME]],LEN(Table1[[#This Row],[MOD_NAME]])-4)),Table1[[#This Row],[SUB_NAME]])</f>
        <v>0</v>
      </c>
      <c r="AA402" t="str">
        <f>CONCAT(Table1[[#This Row],[Final Obj Type]],"|",Table1[[#This Row],[Final Obj Name]])</f>
        <v>0|0</v>
      </c>
      <c r="AB402" t="e">
        <f>VLOOKUP(Table1[[#This Row],[Final Obj Type]],Classification!B:E,3,FALSE)</f>
        <v>#N/A</v>
      </c>
      <c r="AC402" t="e">
        <f>VLOOKUP(Table1[[#This Row],[Final Obj Type]],Classification!B:E,4,FALSE)</f>
        <v>#N/A</v>
      </c>
      <c r="AD402" t="str">
        <f>IF(Table1[[#This Row],[Position 1]]=0,"/0SAP/",MID(Table1[[#This Row],[Final Obj Name]],Table1[[#This Row],[Position 1]],Table1[[#This Row],[Position 2]]-Table1[[#This Row],[Position 1]]+1))</f>
        <v>/0SAP/</v>
      </c>
      <c r="AE402" t="str">
        <f>VLOOKUP(Table1[[#This Row],[/* Object]],Namespace!A:J,10,FALSE)</f>
        <v>SAP AG</v>
      </c>
      <c r="AF402" t="str">
        <f>IF(VLOOKUP(Table1[[#This Row],[/* Object]],Namespace!A:J,4,FALSE)=0,"",VLOOKUP(Table1[[#This Row],[/* Object]],Namespace!A:J,4,FALSE))</f>
        <v>X</v>
      </c>
      <c r="AG402" t="str">
        <f>IF(VLOOKUP(Table1[[#This Row],[/* Object]],Namespace!A:J,5,FALSE)=0,"",VLOOKUP(Table1[[#This Row],[/* Object]],Namespace!A:J,5,FALSE))</f>
        <v>X</v>
      </c>
      <c r="AH402" t="str">
        <f>IF(VLOOKUP(Table1[[#This Row],[/* Object]],Namespace!A:J,6,FALSE)=0,"",VLOOKUP(Table1[[#This Row],[/* Object]],Namespace!A:J,6,FALSE))</f>
        <v/>
      </c>
      <c r="AI402">
        <f>IFERROR(FIND("/",Table1[[#This Row],[Final Obj Name]],1),0)</f>
        <v>0</v>
      </c>
      <c r="AJ402">
        <f>IF(Table1[[#This Row],[Position 1]]=0,0,FIND("/",Table1[[#This Row],[Final Obj Name]],Table1[[#This Row],[Position 1]]+1))</f>
        <v>0</v>
      </c>
      <c r="AK402" t="str">
        <f>IF(LEFT(Table1[[#This Row],[Final Obj Name]],1)="/",LEFT(Table1[[#This Row],[Final Obj Name]],FIND("/",Table1[[#This Row],[Final Obj Name]],2)),"/0SAP/")</f>
        <v>/0SAP/</v>
      </c>
    </row>
    <row r="403">
      <c r="A403" t="str">
        <v>DOMA</v>
      </c>
      <c r="B403" t="str">
        <v>ZSM_EMAIL</v>
      </c>
      <c r="C403" t="str">
        <v>DOMD</v>
      </c>
      <c r="D403" t="str">
        <v>ZSM_EMAIL</v>
      </c>
      <c r="G403" t="str">
        <v>ALL</v>
      </c>
      <c r="K403" t="str">
        <v>E</v>
      </c>
      <c r="L403" t="str">
        <v>NSHAIK</v>
      </c>
      <c r="M403">
        <v>46013</v>
      </c>
      <c r="N403">
        <v>0.36875</v>
      </c>
      <c r="S403" t="str">
        <v>X</v>
      </c>
      <c r="W403" t="str">
        <v>SP1K961121</v>
      </c>
      <c r="Y403">
        <f>IF(Table1[[#This Row],[OPERATION]]="NOTE","NOTE",Table1[[#This Row],[SUB_TYPE]])</f>
        <v>0</v>
      </c>
      <c r="Z403">
        <f>IF(Table1[[#This Row],[OPERATION]]="NOTE",NUMBERVALUE(LEFT(Table1[[#This Row],[MOD_NAME]],LEN(Table1[[#This Row],[MOD_NAME]])-4)),Table1[[#This Row],[SUB_NAME]])</f>
        <v>0</v>
      </c>
      <c r="AA403" t="str">
        <f>CONCAT(Table1[[#This Row],[Final Obj Type]],"|",Table1[[#This Row],[Final Obj Name]])</f>
        <v>0|0</v>
      </c>
      <c r="AB403" t="e">
        <f>VLOOKUP(Table1[[#This Row],[Final Obj Type]],Classification!B:E,3,FALSE)</f>
        <v>#N/A</v>
      </c>
      <c r="AC403" t="e">
        <f>VLOOKUP(Table1[[#This Row],[Final Obj Type]],Classification!B:E,4,FALSE)</f>
        <v>#N/A</v>
      </c>
      <c r="AD403" t="str">
        <f>IF(Table1[[#This Row],[Position 1]]=0,"/0SAP/",MID(Table1[[#This Row],[Final Obj Name]],Table1[[#This Row],[Position 1]],Table1[[#This Row],[Position 2]]-Table1[[#This Row],[Position 1]]+1))</f>
        <v>/0SAP/</v>
      </c>
      <c r="AE403" t="str">
        <f>VLOOKUP(Table1[[#This Row],[/* Object]],Namespace!A:J,10,FALSE)</f>
        <v>SAP AG</v>
      </c>
      <c r="AF403" t="str">
        <f>IF(VLOOKUP(Table1[[#This Row],[/* Object]],Namespace!A:J,4,FALSE)=0,"",VLOOKUP(Table1[[#This Row],[/* Object]],Namespace!A:J,4,FALSE))</f>
        <v>X</v>
      </c>
      <c r="AG403" t="str">
        <f>IF(VLOOKUP(Table1[[#This Row],[/* Object]],Namespace!A:J,5,FALSE)=0,"",VLOOKUP(Table1[[#This Row],[/* Object]],Namespace!A:J,5,FALSE))</f>
        <v>X</v>
      </c>
      <c r="AH403" t="str">
        <f>IF(VLOOKUP(Table1[[#This Row],[/* Object]],Namespace!A:J,6,FALSE)=0,"",VLOOKUP(Table1[[#This Row],[/* Object]],Namespace!A:J,6,FALSE))</f>
        <v/>
      </c>
      <c r="AI403">
        <f>IFERROR(FIND("/",Table1[[#This Row],[Final Obj Name]],1),0)</f>
        <v>0</v>
      </c>
      <c r="AJ403">
        <f>IF(Table1[[#This Row],[Position 1]]=0,0,FIND("/",Table1[[#This Row],[Final Obj Name]],Table1[[#This Row],[Position 1]]+1))</f>
        <v>0</v>
      </c>
      <c r="AK403" t="str">
        <f>IF(LEFT(Table1[[#This Row],[Final Obj Name]],1)="/",LEFT(Table1[[#This Row],[Final Obj Name]],FIND("/",Table1[[#This Row],[Final Obj Name]],2)),"/0SAP/")</f>
        <v>/0SAP/</v>
      </c>
    </row>
    <row r="404">
      <c r="A404" t="str">
        <v>DOMA</v>
      </c>
      <c r="B404" t="str">
        <v>ZSOURCE</v>
      </c>
      <c r="C404" t="str">
        <v>DOMD</v>
      </c>
      <c r="D404" t="str">
        <v>ZSOURCE</v>
      </c>
      <c r="G404" t="str">
        <v>ALL</v>
      </c>
      <c r="K404" t="str">
        <v>E</v>
      </c>
      <c r="L404" t="str">
        <v>NSHAIK</v>
      </c>
      <c r="M404">
        <v>46013</v>
      </c>
      <c r="N404">
        <v>0.36890046296296</v>
      </c>
      <c r="S404" t="str">
        <v>X</v>
      </c>
      <c r="W404" t="str">
        <v>SP1K961121</v>
      </c>
      <c r="Y404">
        <f>IF(Table1[[#This Row],[OPERATION]]="NOTE","NOTE",Table1[[#This Row],[SUB_TYPE]])</f>
        <v>0</v>
      </c>
      <c r="Z404">
        <f>IF(Table1[[#This Row],[OPERATION]]="NOTE",NUMBERVALUE(LEFT(Table1[[#This Row],[MOD_NAME]],LEN(Table1[[#This Row],[MOD_NAME]])-4)),Table1[[#This Row],[SUB_NAME]])</f>
        <v>0</v>
      </c>
      <c r="AA404" t="str">
        <f>CONCAT(Table1[[#This Row],[Final Obj Type]],"|",Table1[[#This Row],[Final Obj Name]])</f>
        <v>0|0</v>
      </c>
      <c r="AB404" t="e">
        <f>VLOOKUP(Table1[[#This Row],[Final Obj Type]],Classification!B:E,3,FALSE)</f>
        <v>#N/A</v>
      </c>
      <c r="AC404" t="e">
        <f>VLOOKUP(Table1[[#This Row],[Final Obj Type]],Classification!B:E,4,FALSE)</f>
        <v>#N/A</v>
      </c>
      <c r="AD404" t="str">
        <f>IF(Table1[[#This Row],[Position 1]]=0,"/0SAP/",MID(Table1[[#This Row],[Final Obj Name]],Table1[[#This Row],[Position 1]],Table1[[#This Row],[Position 2]]-Table1[[#This Row],[Position 1]]+1))</f>
        <v>/0SAP/</v>
      </c>
      <c r="AE404" t="str">
        <f>VLOOKUP(Table1[[#This Row],[/* Object]],Namespace!A:J,10,FALSE)</f>
        <v>SAP AG</v>
      </c>
      <c r="AF404" t="str">
        <f>IF(VLOOKUP(Table1[[#This Row],[/* Object]],Namespace!A:J,4,FALSE)=0,"",VLOOKUP(Table1[[#This Row],[/* Object]],Namespace!A:J,4,FALSE))</f>
        <v>X</v>
      </c>
      <c r="AG404" t="str">
        <f>IF(VLOOKUP(Table1[[#This Row],[/* Object]],Namespace!A:J,5,FALSE)=0,"",VLOOKUP(Table1[[#This Row],[/* Object]],Namespace!A:J,5,FALSE))</f>
        <v>X</v>
      </c>
      <c r="AH404" t="str">
        <f>IF(VLOOKUP(Table1[[#This Row],[/* Object]],Namespace!A:J,6,FALSE)=0,"",VLOOKUP(Table1[[#This Row],[/* Object]],Namespace!A:J,6,FALSE))</f>
        <v/>
      </c>
      <c r="AI404">
        <f>IFERROR(FIND("/",Table1[[#This Row],[Final Obj Name]],1),0)</f>
        <v>0</v>
      </c>
      <c r="AJ404">
        <f>IF(Table1[[#This Row],[Position 1]]=0,0,FIND("/",Table1[[#This Row],[Final Obj Name]],Table1[[#This Row],[Position 1]]+1))</f>
        <v>0</v>
      </c>
      <c r="AK404" t="str">
        <f>IF(LEFT(Table1[[#This Row],[Final Obj Name]],1)="/",LEFT(Table1[[#This Row],[Final Obj Name]],FIND("/",Table1[[#This Row],[Final Obj Name]],2)),"/0SAP/")</f>
        <v>/0SAP/</v>
      </c>
    </row>
    <row r="405">
      <c r="A405" t="str">
        <v>DOMA</v>
      </c>
      <c r="B405" t="str">
        <v>ZSQE_EMAIL</v>
      </c>
      <c r="C405" t="str">
        <v>DOMD</v>
      </c>
      <c r="D405" t="str">
        <v>ZSQE_EMAIL</v>
      </c>
      <c r="G405" t="str">
        <v>ALL</v>
      </c>
      <c r="K405" t="str">
        <v>E</v>
      </c>
      <c r="L405" t="str">
        <v>NSHAIK</v>
      </c>
      <c r="M405">
        <v>46013</v>
      </c>
      <c r="N405">
        <v>0.36978009259259</v>
      </c>
      <c r="S405" t="str">
        <v>X</v>
      </c>
      <c r="W405" t="str">
        <v>SP1K961121</v>
      </c>
      <c r="Y405">
        <f>IF(Table1[[#This Row],[OPERATION]]="NOTE","NOTE",Table1[[#This Row],[SUB_TYPE]])</f>
        <v>0</v>
      </c>
      <c r="Z405">
        <f>IF(Table1[[#This Row],[OPERATION]]="NOTE",NUMBERVALUE(LEFT(Table1[[#This Row],[MOD_NAME]],LEN(Table1[[#This Row],[MOD_NAME]])-4)),Table1[[#This Row],[SUB_NAME]])</f>
        <v>0</v>
      </c>
      <c r="AA405" t="str">
        <f>CONCAT(Table1[[#This Row],[Final Obj Type]],"|",Table1[[#This Row],[Final Obj Name]])</f>
        <v>0|0</v>
      </c>
      <c r="AB405" t="e">
        <f>VLOOKUP(Table1[[#This Row],[Final Obj Type]],Classification!B:E,3,FALSE)</f>
        <v>#N/A</v>
      </c>
      <c r="AC405" t="e">
        <f>VLOOKUP(Table1[[#This Row],[Final Obj Type]],Classification!B:E,4,FALSE)</f>
        <v>#N/A</v>
      </c>
      <c r="AD405" t="str">
        <f>IF(Table1[[#This Row],[Position 1]]=0,"/0SAP/",MID(Table1[[#This Row],[Final Obj Name]],Table1[[#This Row],[Position 1]],Table1[[#This Row],[Position 2]]-Table1[[#This Row],[Position 1]]+1))</f>
        <v>/0SAP/</v>
      </c>
      <c r="AE405" t="str">
        <f>VLOOKUP(Table1[[#This Row],[/* Object]],Namespace!A:J,10,FALSE)</f>
        <v>SAP AG</v>
      </c>
      <c r="AF405" t="str">
        <f>IF(VLOOKUP(Table1[[#This Row],[/* Object]],Namespace!A:J,4,FALSE)=0,"",VLOOKUP(Table1[[#This Row],[/* Object]],Namespace!A:J,4,FALSE))</f>
        <v>X</v>
      </c>
      <c r="AG405" t="str">
        <f>IF(VLOOKUP(Table1[[#This Row],[/* Object]],Namespace!A:J,5,FALSE)=0,"",VLOOKUP(Table1[[#This Row],[/* Object]],Namespace!A:J,5,FALSE))</f>
        <v>X</v>
      </c>
      <c r="AH405" t="str">
        <f>IF(VLOOKUP(Table1[[#This Row],[/* Object]],Namespace!A:J,6,FALSE)=0,"",VLOOKUP(Table1[[#This Row],[/* Object]],Namespace!A:J,6,FALSE))</f>
        <v/>
      </c>
      <c r="AI405">
        <f>IFERROR(FIND("/",Table1[[#This Row],[Final Obj Name]],1),0)</f>
        <v>0</v>
      </c>
      <c r="AJ405">
        <f>IF(Table1[[#This Row],[Position 1]]=0,0,FIND("/",Table1[[#This Row],[Final Obj Name]],Table1[[#This Row],[Position 1]]+1))</f>
        <v>0</v>
      </c>
      <c r="AK405" t="str">
        <f>IF(LEFT(Table1[[#This Row],[Final Obj Name]],1)="/",LEFT(Table1[[#This Row],[Final Obj Name]],FIND("/",Table1[[#This Row],[Final Obj Name]],2)),"/0SAP/")</f>
        <v>/0SAP/</v>
      </c>
    </row>
    <row r="406">
      <c r="A406" t="str">
        <v>DOMA</v>
      </c>
      <c r="B406" t="str">
        <v>ZSQE_NAME</v>
      </c>
      <c r="C406" t="str">
        <v>DOMD</v>
      </c>
      <c r="D406" t="str">
        <v>ZSQE_NAME</v>
      </c>
      <c r="G406" t="str">
        <v>ALL</v>
      </c>
      <c r="K406" t="str">
        <v>E</v>
      </c>
      <c r="L406" t="str">
        <v>NSHAIK</v>
      </c>
      <c r="M406">
        <v>46013</v>
      </c>
      <c r="N406">
        <v>0.36998842592593</v>
      </c>
      <c r="S406" t="str">
        <v>X</v>
      </c>
      <c r="W406" t="str">
        <v>SP1K961121</v>
      </c>
      <c r="Y406">
        <f>IF(Table1[[#This Row],[OPERATION]]="NOTE","NOTE",Table1[[#This Row],[SUB_TYPE]])</f>
        <v>0</v>
      </c>
      <c r="Z406">
        <f>IF(Table1[[#This Row],[OPERATION]]="NOTE",NUMBERVALUE(LEFT(Table1[[#This Row],[MOD_NAME]],LEN(Table1[[#This Row],[MOD_NAME]])-4)),Table1[[#This Row],[SUB_NAME]])</f>
        <v>0</v>
      </c>
      <c r="AA406" t="str">
        <f>CONCAT(Table1[[#This Row],[Final Obj Type]],"|",Table1[[#This Row],[Final Obj Name]])</f>
        <v>0|0</v>
      </c>
      <c r="AB406" t="e">
        <f>VLOOKUP(Table1[[#This Row],[Final Obj Type]],Classification!B:E,3,FALSE)</f>
        <v>#N/A</v>
      </c>
      <c r="AC406" t="e">
        <f>VLOOKUP(Table1[[#This Row],[Final Obj Type]],Classification!B:E,4,FALSE)</f>
        <v>#N/A</v>
      </c>
      <c r="AD406" t="str">
        <f>IF(Table1[[#This Row],[Position 1]]=0,"/0SAP/",MID(Table1[[#This Row],[Final Obj Name]],Table1[[#This Row],[Position 1]],Table1[[#This Row],[Position 2]]-Table1[[#This Row],[Position 1]]+1))</f>
        <v>/0SAP/</v>
      </c>
      <c r="AE406" t="str">
        <f>VLOOKUP(Table1[[#This Row],[/* Object]],Namespace!A:J,10,FALSE)</f>
        <v>SAP AG</v>
      </c>
      <c r="AF406" t="str">
        <f>IF(VLOOKUP(Table1[[#This Row],[/* Object]],Namespace!A:J,4,FALSE)=0,"",VLOOKUP(Table1[[#This Row],[/* Object]],Namespace!A:J,4,FALSE))</f>
        <v>X</v>
      </c>
      <c r="AG406" t="str">
        <f>IF(VLOOKUP(Table1[[#This Row],[/* Object]],Namespace!A:J,5,FALSE)=0,"",VLOOKUP(Table1[[#This Row],[/* Object]],Namespace!A:J,5,FALSE))</f>
        <v>X</v>
      </c>
      <c r="AH406" t="str">
        <f>IF(VLOOKUP(Table1[[#This Row],[/* Object]],Namespace!A:J,6,FALSE)=0,"",VLOOKUP(Table1[[#This Row],[/* Object]],Namespace!A:J,6,FALSE))</f>
        <v/>
      </c>
      <c r="AI406">
        <f>IFERROR(FIND("/",Table1[[#This Row],[Final Obj Name]],1),0)</f>
        <v>0</v>
      </c>
      <c r="AJ406">
        <f>IF(Table1[[#This Row],[Position 1]]=0,0,FIND("/",Table1[[#This Row],[Final Obj Name]],Table1[[#This Row],[Position 1]]+1))</f>
        <v>0</v>
      </c>
      <c r="AK406" t="str">
        <f>IF(LEFT(Table1[[#This Row],[Final Obj Name]],1)="/",LEFT(Table1[[#This Row],[Final Obj Name]],FIND("/",Table1[[#This Row],[Final Obj Name]],2)),"/0SAP/")</f>
        <v>/0SAP/</v>
      </c>
    </row>
    <row r="407">
      <c r="A407" t="str">
        <v>DOMA</v>
      </c>
      <c r="B407" t="str">
        <v>ZSUP_NAME</v>
      </c>
      <c r="C407" t="str">
        <v>DOMD</v>
      </c>
      <c r="D407" t="str">
        <v>ZSUP_NAME</v>
      </c>
      <c r="G407" t="str">
        <v>ALL</v>
      </c>
      <c r="K407" t="str">
        <v>E</v>
      </c>
      <c r="L407" t="str">
        <v>NSHAIK</v>
      </c>
      <c r="M407">
        <v>46013</v>
      </c>
      <c r="N407">
        <v>0.37038194444444</v>
      </c>
      <c r="S407" t="str">
        <v>X</v>
      </c>
      <c r="W407" t="str">
        <v>SP1K961121</v>
      </c>
      <c r="Y407">
        <f>IF(Table1[[#This Row],[OPERATION]]="NOTE","NOTE",Table1[[#This Row],[SUB_TYPE]])</f>
        <v>0</v>
      </c>
      <c r="Z407">
        <f>IF(Table1[[#This Row],[OPERATION]]="NOTE",NUMBERVALUE(LEFT(Table1[[#This Row],[MOD_NAME]],LEN(Table1[[#This Row],[MOD_NAME]])-4)),Table1[[#This Row],[SUB_NAME]])</f>
        <v>0</v>
      </c>
      <c r="AA407" t="str">
        <f>CONCAT(Table1[[#This Row],[Final Obj Type]],"|",Table1[[#This Row],[Final Obj Name]])</f>
        <v>0|0</v>
      </c>
      <c r="AB407" t="e">
        <f>VLOOKUP(Table1[[#This Row],[Final Obj Type]],Classification!B:E,3,FALSE)</f>
        <v>#N/A</v>
      </c>
      <c r="AC407" t="e">
        <f>VLOOKUP(Table1[[#This Row],[Final Obj Type]],Classification!B:E,4,FALSE)</f>
        <v>#N/A</v>
      </c>
      <c r="AD407" t="str">
        <f>IF(Table1[[#This Row],[Position 1]]=0,"/0SAP/",MID(Table1[[#This Row],[Final Obj Name]],Table1[[#This Row],[Position 1]],Table1[[#This Row],[Position 2]]-Table1[[#This Row],[Position 1]]+1))</f>
        <v>/0SAP/</v>
      </c>
      <c r="AE407" t="str">
        <f>VLOOKUP(Table1[[#This Row],[/* Object]],Namespace!A:J,10,FALSE)</f>
        <v>SAP AG</v>
      </c>
      <c r="AF407" t="str">
        <f>IF(VLOOKUP(Table1[[#This Row],[/* Object]],Namespace!A:J,4,FALSE)=0,"",VLOOKUP(Table1[[#This Row],[/* Object]],Namespace!A:J,4,FALSE))</f>
        <v>X</v>
      </c>
      <c r="AG407" t="str">
        <f>IF(VLOOKUP(Table1[[#This Row],[/* Object]],Namespace!A:J,5,FALSE)=0,"",VLOOKUP(Table1[[#This Row],[/* Object]],Namespace!A:J,5,FALSE))</f>
        <v>X</v>
      </c>
      <c r="AH407" t="str">
        <f>IF(VLOOKUP(Table1[[#This Row],[/* Object]],Namespace!A:J,6,FALSE)=0,"",VLOOKUP(Table1[[#This Row],[/* Object]],Namespace!A:J,6,FALSE))</f>
        <v/>
      </c>
      <c r="AI407">
        <f>IFERROR(FIND("/",Table1[[#This Row],[Final Obj Name]],1),0)</f>
        <v>0</v>
      </c>
      <c r="AJ407">
        <f>IF(Table1[[#This Row],[Position 1]]=0,0,FIND("/",Table1[[#This Row],[Final Obj Name]],Table1[[#This Row],[Position 1]]+1))</f>
        <v>0</v>
      </c>
      <c r="AK407" t="str">
        <f>IF(LEFT(Table1[[#This Row],[Final Obj Name]],1)="/",LEFT(Table1[[#This Row],[Final Obj Name]],FIND("/",Table1[[#This Row],[Final Obj Name]],2)),"/0SAP/")</f>
        <v>/0SAP/</v>
      </c>
    </row>
    <row r="408">
      <c r="A408" t="str">
        <v>DOMA</v>
      </c>
      <c r="B408" t="str">
        <v>ZSYSTEM</v>
      </c>
      <c r="C408" t="str">
        <v>DOMD</v>
      </c>
      <c r="D408" t="str">
        <v>ZSYSTEM</v>
      </c>
      <c r="G408" t="str">
        <v>ALL</v>
      </c>
      <c r="K408" t="str">
        <v>E</v>
      </c>
      <c r="L408" t="str">
        <v>NSHAIK</v>
      </c>
      <c r="M408">
        <v>46013</v>
      </c>
      <c r="N408">
        <v>0.37357638888889</v>
      </c>
      <c r="S408" t="str">
        <v>X</v>
      </c>
      <c r="W408" t="str">
        <v>SP1K961121</v>
      </c>
      <c r="Y408">
        <f>IF(Table1[[#This Row],[OPERATION]]="NOTE","NOTE",Table1[[#This Row],[SUB_TYPE]])</f>
        <v>0</v>
      </c>
      <c r="Z408">
        <f>IF(Table1[[#This Row],[OPERATION]]="NOTE",NUMBERVALUE(LEFT(Table1[[#This Row],[MOD_NAME]],LEN(Table1[[#This Row],[MOD_NAME]])-4)),Table1[[#This Row],[SUB_NAME]])</f>
        <v>0</v>
      </c>
      <c r="AA408" t="str">
        <f>CONCAT(Table1[[#This Row],[Final Obj Type]],"|",Table1[[#This Row],[Final Obj Name]])</f>
        <v>0|0</v>
      </c>
      <c r="AB408" t="e">
        <f>VLOOKUP(Table1[[#This Row],[Final Obj Type]],Classification!B:E,3,FALSE)</f>
        <v>#N/A</v>
      </c>
      <c r="AC408" t="e">
        <f>VLOOKUP(Table1[[#This Row],[Final Obj Type]],Classification!B:E,4,FALSE)</f>
        <v>#N/A</v>
      </c>
      <c r="AD408" t="str">
        <f>IF(Table1[[#This Row],[Position 1]]=0,"/0SAP/",MID(Table1[[#This Row],[Final Obj Name]],Table1[[#This Row],[Position 1]],Table1[[#This Row],[Position 2]]-Table1[[#This Row],[Position 1]]+1))</f>
        <v>/0SAP/</v>
      </c>
      <c r="AE408" t="str">
        <f>VLOOKUP(Table1[[#This Row],[/* Object]],Namespace!A:J,10,FALSE)</f>
        <v>SAP AG</v>
      </c>
      <c r="AF408" t="str">
        <f>IF(VLOOKUP(Table1[[#This Row],[/* Object]],Namespace!A:J,4,FALSE)=0,"",VLOOKUP(Table1[[#This Row],[/* Object]],Namespace!A:J,4,FALSE))</f>
        <v>X</v>
      </c>
      <c r="AG408" t="str">
        <f>IF(VLOOKUP(Table1[[#This Row],[/* Object]],Namespace!A:J,5,FALSE)=0,"",VLOOKUP(Table1[[#This Row],[/* Object]],Namespace!A:J,5,FALSE))</f>
        <v>X</v>
      </c>
      <c r="AH408" t="str">
        <f>IF(VLOOKUP(Table1[[#This Row],[/* Object]],Namespace!A:J,6,FALSE)=0,"",VLOOKUP(Table1[[#This Row],[/* Object]],Namespace!A:J,6,FALSE))</f>
        <v/>
      </c>
      <c r="AI408">
        <f>IFERROR(FIND("/",Table1[[#This Row],[Final Obj Name]],1),0)</f>
        <v>0</v>
      </c>
      <c r="AJ408">
        <f>IF(Table1[[#This Row],[Position 1]]=0,0,FIND("/",Table1[[#This Row],[Final Obj Name]],Table1[[#This Row],[Position 1]]+1))</f>
        <v>0</v>
      </c>
      <c r="AK408" t="str">
        <f>IF(LEFT(Table1[[#This Row],[Final Obj Name]],1)="/",LEFT(Table1[[#This Row],[Final Obj Name]],FIND("/",Table1[[#This Row],[Final Obj Name]],2)),"/0SAP/")</f>
        <v>/0SAP/</v>
      </c>
    </row>
    <row r="409">
      <c r="A409" t="str">
        <v>DOMA</v>
      </c>
      <c r="B409" t="str">
        <v>ZTYPE</v>
      </c>
      <c r="C409" t="str">
        <v>DOMD</v>
      </c>
      <c r="D409" t="str">
        <v>ZTYPE</v>
      </c>
      <c r="G409" t="str">
        <v>ALL</v>
      </c>
      <c r="K409" t="str">
        <v>E</v>
      </c>
      <c r="L409" t="str">
        <v>CJAMES</v>
      </c>
      <c r="M409">
        <v>44053</v>
      </c>
      <c r="N409">
        <v>0.41684027777778</v>
      </c>
      <c r="S409" t="str">
        <v>X</v>
      </c>
      <c r="W409" t="str">
        <v>SP1K911052</v>
      </c>
      <c r="Y409">
        <f>IF(Table1[[#This Row],[OPERATION]]="NOTE","NOTE",Table1[[#This Row],[SUB_TYPE]])</f>
        <v>0</v>
      </c>
      <c r="Z409">
        <f>IF(Table1[[#This Row],[OPERATION]]="NOTE",NUMBERVALUE(LEFT(Table1[[#This Row],[MOD_NAME]],LEN(Table1[[#This Row],[MOD_NAME]])-4)),Table1[[#This Row],[SUB_NAME]])</f>
        <v>0</v>
      </c>
      <c r="AA409" t="str">
        <f>CONCAT(Table1[[#This Row],[Final Obj Type]],"|",Table1[[#This Row],[Final Obj Name]])</f>
        <v>0|0</v>
      </c>
      <c r="AB409" t="e">
        <f>VLOOKUP(Table1[[#This Row],[Final Obj Type]],Classification!B:E,3,FALSE)</f>
        <v>#N/A</v>
      </c>
      <c r="AC409" t="e">
        <f>VLOOKUP(Table1[[#This Row],[Final Obj Type]],Classification!B:E,4,FALSE)</f>
        <v>#N/A</v>
      </c>
      <c r="AD409" t="str">
        <f>IF(Table1[[#This Row],[Position 1]]=0,"/0SAP/",MID(Table1[[#This Row],[Final Obj Name]],Table1[[#This Row],[Position 1]],Table1[[#This Row],[Position 2]]-Table1[[#This Row],[Position 1]]+1))</f>
        <v>/0SAP/</v>
      </c>
      <c r="AE409" t="str">
        <f>VLOOKUP(Table1[[#This Row],[/* Object]],Namespace!A:J,10,FALSE)</f>
        <v>SAP AG</v>
      </c>
      <c r="AF409" t="str">
        <f>IF(VLOOKUP(Table1[[#This Row],[/* Object]],Namespace!A:J,4,FALSE)=0,"",VLOOKUP(Table1[[#This Row],[/* Object]],Namespace!A:J,4,FALSE))</f>
        <v>X</v>
      </c>
      <c r="AG409" t="str">
        <f>IF(VLOOKUP(Table1[[#This Row],[/* Object]],Namespace!A:J,5,FALSE)=0,"",VLOOKUP(Table1[[#This Row],[/* Object]],Namespace!A:J,5,FALSE))</f>
        <v>X</v>
      </c>
      <c r="AH409" t="str">
        <f>IF(VLOOKUP(Table1[[#This Row],[/* Object]],Namespace!A:J,6,FALSE)=0,"",VLOOKUP(Table1[[#This Row],[/* Object]],Namespace!A:J,6,FALSE))</f>
        <v/>
      </c>
      <c r="AI409">
        <f>IFERROR(FIND("/",Table1[[#This Row],[Final Obj Name]],1),0)</f>
        <v>0</v>
      </c>
      <c r="AJ409">
        <f>IF(Table1[[#This Row],[Position 1]]=0,0,FIND("/",Table1[[#This Row],[Final Obj Name]],Table1[[#This Row],[Position 1]]+1))</f>
        <v>0</v>
      </c>
      <c r="AK409" t="str">
        <f>IF(LEFT(Table1[[#This Row],[Final Obj Name]],1)="/",LEFT(Table1[[#This Row],[Final Obj Name]],FIND("/",Table1[[#This Row],[Final Obj Name]],2)),"/0SAP/")</f>
        <v>/0SAP/</v>
      </c>
    </row>
    <row r="410">
      <c r="A410" t="str">
        <v>DOMA</v>
      </c>
      <c r="B410" t="str">
        <v>ZVALIDTEXT</v>
      </c>
      <c r="C410" t="str">
        <v>DOMD</v>
      </c>
      <c r="D410" t="str">
        <v>ZVALIDTEXT</v>
      </c>
      <c r="G410" t="str">
        <v>ALL</v>
      </c>
      <c r="K410" t="str">
        <v>E</v>
      </c>
      <c r="L410" t="str">
        <v>NSHAIK</v>
      </c>
      <c r="M410">
        <v>46013</v>
      </c>
      <c r="N410">
        <v>0.19478009259259</v>
      </c>
      <c r="S410" t="str">
        <v>X</v>
      </c>
      <c r="W410" t="str">
        <v>SP1K961121</v>
      </c>
      <c r="Y410">
        <f>IF(Table1[[#This Row],[OPERATION]]="NOTE","NOTE",Table1[[#This Row],[SUB_TYPE]])</f>
        <v>0</v>
      </c>
      <c r="Z410">
        <f>IF(Table1[[#This Row],[OPERATION]]="NOTE",NUMBERVALUE(LEFT(Table1[[#This Row],[MOD_NAME]],LEN(Table1[[#This Row],[MOD_NAME]])-4)),Table1[[#This Row],[SUB_NAME]])</f>
        <v>0</v>
      </c>
      <c r="AA410" t="str">
        <f>CONCAT(Table1[[#This Row],[Final Obj Type]],"|",Table1[[#This Row],[Final Obj Name]])</f>
        <v>0|0</v>
      </c>
      <c r="AB410" t="e">
        <f>VLOOKUP(Table1[[#This Row],[Final Obj Type]],Classification!B:E,3,FALSE)</f>
        <v>#N/A</v>
      </c>
      <c r="AC410" t="e">
        <f>VLOOKUP(Table1[[#This Row],[Final Obj Type]],Classification!B:E,4,FALSE)</f>
        <v>#N/A</v>
      </c>
      <c r="AD410" t="str">
        <f>IF(Table1[[#This Row],[Position 1]]=0,"/0SAP/",MID(Table1[[#This Row],[Final Obj Name]],Table1[[#This Row],[Position 1]],Table1[[#This Row],[Position 2]]-Table1[[#This Row],[Position 1]]+1))</f>
        <v>/0SAP/</v>
      </c>
      <c r="AE410" t="str">
        <f>VLOOKUP(Table1[[#This Row],[/* Object]],Namespace!A:J,10,FALSE)</f>
        <v>SAP AG</v>
      </c>
      <c r="AF410" t="str">
        <f>IF(VLOOKUP(Table1[[#This Row],[/* Object]],Namespace!A:J,4,FALSE)=0,"",VLOOKUP(Table1[[#This Row],[/* Object]],Namespace!A:J,4,FALSE))</f>
        <v>X</v>
      </c>
      <c r="AG410" t="str">
        <f>IF(VLOOKUP(Table1[[#This Row],[/* Object]],Namespace!A:J,5,FALSE)=0,"",VLOOKUP(Table1[[#This Row],[/* Object]],Namespace!A:J,5,FALSE))</f>
        <v>X</v>
      </c>
      <c r="AH410" t="str">
        <f>IF(VLOOKUP(Table1[[#This Row],[/* Object]],Namespace!A:J,6,FALSE)=0,"",VLOOKUP(Table1[[#This Row],[/* Object]],Namespace!A:J,6,FALSE))</f>
        <v/>
      </c>
      <c r="AI410">
        <f>IFERROR(FIND("/",Table1[[#This Row],[Final Obj Name]],1),0)</f>
        <v>0</v>
      </c>
      <c r="AJ410">
        <f>IF(Table1[[#This Row],[Position 1]]=0,0,FIND("/",Table1[[#This Row],[Final Obj Name]],Table1[[#This Row],[Position 1]]+1))</f>
        <v>0</v>
      </c>
      <c r="AK410" t="str">
        <f>IF(LEFT(Table1[[#This Row],[Final Obj Name]],1)="/",LEFT(Table1[[#This Row],[Final Obj Name]],FIND("/",Table1[[#This Row],[Final Obj Name]],2)),"/0SAP/")</f>
        <v>/0SAP/</v>
      </c>
    </row>
    <row r="411">
      <c r="A411" t="str">
        <v>DOMA</v>
      </c>
      <c r="B411" t="str">
        <v>ZVAT_COUNTRY_REPORT</v>
      </c>
      <c r="C411" t="str">
        <v>DOMD</v>
      </c>
      <c r="D411" t="str">
        <v>ZVAT_COUNTRY_REPORT</v>
      </c>
      <c r="G411" t="str">
        <v>ALL</v>
      </c>
      <c r="K411" t="str">
        <v>E</v>
      </c>
      <c r="L411" t="str">
        <v>JVITER</v>
      </c>
      <c r="M411">
        <v>44722</v>
      </c>
      <c r="N411">
        <v>0.8915625</v>
      </c>
      <c r="S411" t="str">
        <v>X</v>
      </c>
      <c r="W411" t="str">
        <v>S01K913836</v>
      </c>
      <c r="Y411">
        <f>IF(Table1[[#This Row],[OPERATION]]="NOTE","NOTE",Table1[[#This Row],[SUB_TYPE]])</f>
        <v>0</v>
      </c>
      <c r="Z411">
        <f>IF(Table1[[#This Row],[OPERATION]]="NOTE",NUMBERVALUE(LEFT(Table1[[#This Row],[MOD_NAME]],LEN(Table1[[#This Row],[MOD_NAME]])-4)),Table1[[#This Row],[SUB_NAME]])</f>
        <v>0</v>
      </c>
      <c r="AA411" t="str">
        <f>CONCAT(Table1[[#This Row],[Final Obj Type]],"|",Table1[[#This Row],[Final Obj Name]])</f>
        <v>0|0</v>
      </c>
      <c r="AB411" t="e">
        <f>VLOOKUP(Table1[[#This Row],[Final Obj Type]],Classification!B:E,3,FALSE)</f>
        <v>#N/A</v>
      </c>
      <c r="AC411" t="e">
        <f>VLOOKUP(Table1[[#This Row],[Final Obj Type]],Classification!B:E,4,FALSE)</f>
        <v>#N/A</v>
      </c>
      <c r="AD411" t="str">
        <f>IF(Table1[[#This Row],[Position 1]]=0,"/0SAP/",MID(Table1[[#This Row],[Final Obj Name]],Table1[[#This Row],[Position 1]],Table1[[#This Row],[Position 2]]-Table1[[#This Row],[Position 1]]+1))</f>
        <v>/0SAP/</v>
      </c>
      <c r="AE411" t="str">
        <f>VLOOKUP(Table1[[#This Row],[/* Object]],Namespace!A:J,10,FALSE)</f>
        <v>SAP AG</v>
      </c>
      <c r="AF411" t="str">
        <f>IF(VLOOKUP(Table1[[#This Row],[/* Object]],Namespace!A:J,4,FALSE)=0,"",VLOOKUP(Table1[[#This Row],[/* Object]],Namespace!A:J,4,FALSE))</f>
        <v>X</v>
      </c>
      <c r="AG411" t="str">
        <f>IF(VLOOKUP(Table1[[#This Row],[/* Object]],Namespace!A:J,5,FALSE)=0,"",VLOOKUP(Table1[[#This Row],[/* Object]],Namespace!A:J,5,FALSE))</f>
        <v>X</v>
      </c>
      <c r="AH411" t="str">
        <f>IF(VLOOKUP(Table1[[#This Row],[/* Object]],Namespace!A:J,6,FALSE)=0,"",VLOOKUP(Table1[[#This Row],[/* Object]],Namespace!A:J,6,FALSE))</f>
        <v/>
      </c>
      <c r="AI411">
        <f>IFERROR(FIND("/",Table1[[#This Row],[Final Obj Name]],1),0)</f>
        <v>0</v>
      </c>
      <c r="AJ411">
        <f>IF(Table1[[#This Row],[Position 1]]=0,0,FIND("/",Table1[[#This Row],[Final Obj Name]],Table1[[#This Row],[Position 1]]+1))</f>
        <v>0</v>
      </c>
      <c r="AK411" t="str">
        <f>IF(LEFT(Table1[[#This Row],[Final Obj Name]],1)="/",LEFT(Table1[[#This Row],[Final Obj Name]],FIND("/",Table1[[#This Row],[Final Obj Name]],2)),"/0SAP/")</f>
        <v>/0SAP/</v>
      </c>
    </row>
    <row r="412">
      <c r="A412" t="str">
        <v>DOMA</v>
      </c>
      <c r="B412" t="str">
        <v>ZZCOUNT</v>
      </c>
      <c r="C412" t="str">
        <v>DOMD</v>
      </c>
      <c r="D412" t="str">
        <v>ZZCOUNT</v>
      </c>
      <c r="G412" t="str">
        <v>ALL</v>
      </c>
      <c r="K412" t="str">
        <v>E</v>
      </c>
      <c r="L412" t="str">
        <v>CST_IROHIT</v>
      </c>
      <c r="M412">
        <v>44798</v>
      </c>
      <c r="N412">
        <v>0.38943287037037</v>
      </c>
      <c r="S412" t="str">
        <v>X</v>
      </c>
      <c r="W412" t="str">
        <v>SP1K922172</v>
      </c>
      <c r="Y412">
        <f>IF(Table1[[#This Row],[OPERATION]]="NOTE","NOTE",Table1[[#This Row],[SUB_TYPE]])</f>
        <v>0</v>
      </c>
      <c r="Z412">
        <f>IF(Table1[[#This Row],[OPERATION]]="NOTE",NUMBERVALUE(LEFT(Table1[[#This Row],[MOD_NAME]],LEN(Table1[[#This Row],[MOD_NAME]])-4)),Table1[[#This Row],[SUB_NAME]])</f>
        <v>0</v>
      </c>
      <c r="AA412" t="str">
        <f>CONCAT(Table1[[#This Row],[Final Obj Type]],"|",Table1[[#This Row],[Final Obj Name]])</f>
        <v>0|0</v>
      </c>
      <c r="AB412" t="e">
        <f>VLOOKUP(Table1[[#This Row],[Final Obj Type]],Classification!B:E,3,FALSE)</f>
        <v>#N/A</v>
      </c>
      <c r="AC412" t="e">
        <f>VLOOKUP(Table1[[#This Row],[Final Obj Type]],Classification!B:E,4,FALSE)</f>
        <v>#N/A</v>
      </c>
      <c r="AD412" t="str">
        <f>IF(Table1[[#This Row],[Position 1]]=0,"/0SAP/",MID(Table1[[#This Row],[Final Obj Name]],Table1[[#This Row],[Position 1]],Table1[[#This Row],[Position 2]]-Table1[[#This Row],[Position 1]]+1))</f>
        <v>/0SAP/</v>
      </c>
      <c r="AE412" t="str">
        <f>VLOOKUP(Table1[[#This Row],[/* Object]],Namespace!A:J,10,FALSE)</f>
        <v>SAP AG</v>
      </c>
      <c r="AF412" t="str">
        <f>IF(VLOOKUP(Table1[[#This Row],[/* Object]],Namespace!A:J,4,FALSE)=0,"",VLOOKUP(Table1[[#This Row],[/* Object]],Namespace!A:J,4,FALSE))</f>
        <v>X</v>
      </c>
      <c r="AG412" t="str">
        <f>IF(VLOOKUP(Table1[[#This Row],[/* Object]],Namespace!A:J,5,FALSE)=0,"",VLOOKUP(Table1[[#This Row],[/* Object]],Namespace!A:J,5,FALSE))</f>
        <v>X</v>
      </c>
      <c r="AH412" t="str">
        <f>IF(VLOOKUP(Table1[[#This Row],[/* Object]],Namespace!A:J,6,FALSE)=0,"",VLOOKUP(Table1[[#This Row],[/* Object]],Namespace!A:J,6,FALSE))</f>
        <v/>
      </c>
      <c r="AI412">
        <f>IFERROR(FIND("/",Table1[[#This Row],[Final Obj Name]],1),0)</f>
        <v>0</v>
      </c>
      <c r="AJ412">
        <f>IF(Table1[[#This Row],[Position 1]]=0,0,FIND("/",Table1[[#This Row],[Final Obj Name]],Table1[[#This Row],[Position 1]]+1))</f>
        <v>0</v>
      </c>
      <c r="AK412" t="str">
        <f>IF(LEFT(Table1[[#This Row],[Final Obj Name]],1)="/",LEFT(Table1[[#This Row],[Final Obj Name]],FIND("/",Table1[[#This Row],[Final Obj Name]],2)),"/0SAP/")</f>
        <v>/0SAP/</v>
      </c>
    </row>
    <row r="413">
      <c r="A413" t="str">
        <v>DOMA</v>
      </c>
      <c r="B413" t="str">
        <v>ZZEMAILTO</v>
      </c>
      <c r="C413" t="str">
        <v>DOMD</v>
      </c>
      <c r="D413" t="str">
        <v>ZZEMAILTO</v>
      </c>
      <c r="G413" t="str">
        <v>ALL</v>
      </c>
      <c r="K413" t="str">
        <v>E</v>
      </c>
      <c r="L413" t="str">
        <v>NSHAIK</v>
      </c>
      <c r="M413">
        <v>46020</v>
      </c>
      <c r="N413">
        <v>0.30688657407407</v>
      </c>
      <c r="S413" t="str">
        <v>X</v>
      </c>
      <c r="W413" t="str">
        <v>SP1K961294</v>
      </c>
      <c r="Y413">
        <f>IF(Table1[[#This Row],[OPERATION]]="NOTE","NOTE",Table1[[#This Row],[SUB_TYPE]])</f>
        <v>0</v>
      </c>
      <c r="Z413">
        <f>IF(Table1[[#This Row],[OPERATION]]="NOTE",NUMBERVALUE(LEFT(Table1[[#This Row],[MOD_NAME]],LEN(Table1[[#This Row],[MOD_NAME]])-4)),Table1[[#This Row],[SUB_NAME]])</f>
        <v>0</v>
      </c>
      <c r="AA413" t="str">
        <f>CONCAT(Table1[[#This Row],[Final Obj Type]],"|",Table1[[#This Row],[Final Obj Name]])</f>
        <v>0|0</v>
      </c>
      <c r="AB413" t="e">
        <f>VLOOKUP(Table1[[#This Row],[Final Obj Type]],Classification!B:E,3,FALSE)</f>
        <v>#N/A</v>
      </c>
      <c r="AC413" t="e">
        <f>VLOOKUP(Table1[[#This Row],[Final Obj Type]],Classification!B:E,4,FALSE)</f>
        <v>#N/A</v>
      </c>
      <c r="AD413" t="str">
        <f>IF(Table1[[#This Row],[Position 1]]=0,"/0SAP/",MID(Table1[[#This Row],[Final Obj Name]],Table1[[#This Row],[Position 1]],Table1[[#This Row],[Position 2]]-Table1[[#This Row],[Position 1]]+1))</f>
        <v>/0SAP/</v>
      </c>
      <c r="AE413" t="str">
        <f>VLOOKUP(Table1[[#This Row],[/* Object]],Namespace!A:J,10,FALSE)</f>
        <v>SAP AG</v>
      </c>
      <c r="AF413" t="str">
        <f>IF(VLOOKUP(Table1[[#This Row],[/* Object]],Namespace!A:J,4,FALSE)=0,"",VLOOKUP(Table1[[#This Row],[/* Object]],Namespace!A:J,4,FALSE))</f>
        <v>X</v>
      </c>
      <c r="AG413" t="str">
        <f>IF(VLOOKUP(Table1[[#This Row],[/* Object]],Namespace!A:J,5,FALSE)=0,"",VLOOKUP(Table1[[#This Row],[/* Object]],Namespace!A:J,5,FALSE))</f>
        <v>X</v>
      </c>
      <c r="AH413" t="str">
        <f>IF(VLOOKUP(Table1[[#This Row],[/* Object]],Namespace!A:J,6,FALSE)=0,"",VLOOKUP(Table1[[#This Row],[/* Object]],Namespace!A:J,6,FALSE))</f>
        <v/>
      </c>
      <c r="AI413">
        <f>IFERROR(FIND("/",Table1[[#This Row],[Final Obj Name]],1),0)</f>
        <v>0</v>
      </c>
      <c r="AJ413">
        <f>IF(Table1[[#This Row],[Position 1]]=0,0,FIND("/",Table1[[#This Row],[Final Obj Name]],Table1[[#This Row],[Position 1]]+1))</f>
        <v>0</v>
      </c>
      <c r="AK413" t="str">
        <f>IF(LEFT(Table1[[#This Row],[Final Obj Name]],1)="/",LEFT(Table1[[#This Row],[Final Obj Name]],FIND("/",Table1[[#This Row],[Final Obj Name]],2)),"/0SAP/")</f>
        <v>/0SAP/</v>
      </c>
    </row>
    <row r="414">
      <c r="A414" t="str">
        <v>DOMA</v>
      </c>
      <c r="B414" t="str">
        <v>ZZVALTXT</v>
      </c>
      <c r="C414" t="str">
        <v>DOMD</v>
      </c>
      <c r="D414" t="str">
        <v>ZZVALTXT</v>
      </c>
      <c r="G414" t="str">
        <v>ALL</v>
      </c>
      <c r="K414" t="str">
        <v>E</v>
      </c>
      <c r="L414" t="str">
        <v>NSHAIK</v>
      </c>
      <c r="M414">
        <v>46020</v>
      </c>
      <c r="N414">
        <v>0.30701388888889</v>
      </c>
      <c r="S414" t="str">
        <v>X</v>
      </c>
      <c r="W414" t="str">
        <v>SP1K961294</v>
      </c>
      <c r="Y414">
        <f>IF(Table1[[#This Row],[OPERATION]]="NOTE","NOTE",Table1[[#This Row],[SUB_TYPE]])</f>
        <v>0</v>
      </c>
      <c r="Z414">
        <f>IF(Table1[[#This Row],[OPERATION]]="NOTE",NUMBERVALUE(LEFT(Table1[[#This Row],[MOD_NAME]],LEN(Table1[[#This Row],[MOD_NAME]])-4)),Table1[[#This Row],[SUB_NAME]])</f>
        <v>0</v>
      </c>
      <c r="AA414" t="str">
        <f>CONCAT(Table1[[#This Row],[Final Obj Type]],"|",Table1[[#This Row],[Final Obj Name]])</f>
        <v>0|0</v>
      </c>
      <c r="AB414" t="e">
        <f>VLOOKUP(Table1[[#This Row],[Final Obj Type]],Classification!B:E,3,FALSE)</f>
        <v>#N/A</v>
      </c>
      <c r="AC414" t="e">
        <f>VLOOKUP(Table1[[#This Row],[Final Obj Type]],Classification!B:E,4,FALSE)</f>
        <v>#N/A</v>
      </c>
      <c r="AD414" t="str">
        <f>IF(Table1[[#This Row],[Position 1]]=0,"/0SAP/",MID(Table1[[#This Row],[Final Obj Name]],Table1[[#This Row],[Position 1]],Table1[[#This Row],[Position 2]]-Table1[[#This Row],[Position 1]]+1))</f>
        <v>/0SAP/</v>
      </c>
      <c r="AE414" t="str">
        <f>VLOOKUP(Table1[[#This Row],[/* Object]],Namespace!A:J,10,FALSE)</f>
        <v>SAP AG</v>
      </c>
      <c r="AF414" t="str">
        <f>IF(VLOOKUP(Table1[[#This Row],[/* Object]],Namespace!A:J,4,FALSE)=0,"",VLOOKUP(Table1[[#This Row],[/* Object]],Namespace!A:J,4,FALSE))</f>
        <v>X</v>
      </c>
      <c r="AG414" t="str">
        <f>IF(VLOOKUP(Table1[[#This Row],[/* Object]],Namespace!A:J,5,FALSE)=0,"",VLOOKUP(Table1[[#This Row],[/* Object]],Namespace!A:J,5,FALSE))</f>
        <v>X</v>
      </c>
      <c r="AH414" t="str">
        <f>IF(VLOOKUP(Table1[[#This Row],[/* Object]],Namespace!A:J,6,FALSE)=0,"",VLOOKUP(Table1[[#This Row],[/* Object]],Namespace!A:J,6,FALSE))</f>
        <v/>
      </c>
      <c r="AI414">
        <f>IFERROR(FIND("/",Table1[[#This Row],[Final Obj Name]],1),0)</f>
        <v>0</v>
      </c>
      <c r="AJ414">
        <f>IF(Table1[[#This Row],[Position 1]]=0,0,FIND("/",Table1[[#This Row],[Final Obj Name]],Table1[[#This Row],[Position 1]]+1))</f>
        <v>0</v>
      </c>
      <c r="AK414" t="str">
        <f>IF(LEFT(Table1[[#This Row],[Final Obj Name]],1)="/",LEFT(Table1[[#This Row],[Final Obj Name]],FIND("/",Table1[[#This Row],[Final Obj Name]],2)),"/0SAP/")</f>
        <v>/0SAP/</v>
      </c>
    </row>
    <row r="415">
      <c r="A415" t="str">
        <v>DTEL</v>
      </c>
      <c r="B415" t="str">
        <v>ZCTRYDESC</v>
      </c>
      <c r="C415" t="str">
        <v>DTED</v>
      </c>
      <c r="D415" t="str">
        <v>ZCTRYDESC</v>
      </c>
      <c r="G415" t="str">
        <v>ALL</v>
      </c>
      <c r="K415" t="str">
        <v>E</v>
      </c>
      <c r="L415" t="str">
        <v>NSHAIK</v>
      </c>
      <c r="M415">
        <v>46013</v>
      </c>
      <c r="N415">
        <v>0.37384259259259</v>
      </c>
      <c r="W415" t="str">
        <v>SP1K961121</v>
      </c>
      <c r="Y415">
        <f>IF(Table1[[#This Row],[OPERATION]]="NOTE","NOTE",Table1[[#This Row],[SUB_TYPE]])</f>
        <v>0</v>
      </c>
      <c r="Z415">
        <f>IF(Table1[[#This Row],[OPERATION]]="NOTE",NUMBERVALUE(LEFT(Table1[[#This Row],[MOD_NAME]],LEN(Table1[[#This Row],[MOD_NAME]])-4)),Table1[[#This Row],[SUB_NAME]])</f>
        <v>0</v>
      </c>
      <c r="AA415" t="str">
        <f>CONCAT(Table1[[#This Row],[Final Obj Type]],"|",Table1[[#This Row],[Final Obj Name]])</f>
        <v>0|0</v>
      </c>
      <c r="AB415" t="e">
        <f>VLOOKUP(Table1[[#This Row],[Final Obj Type]],Classification!B:E,3,FALSE)</f>
        <v>#N/A</v>
      </c>
      <c r="AC415" t="e">
        <f>VLOOKUP(Table1[[#This Row],[Final Obj Type]],Classification!B:E,4,FALSE)</f>
        <v>#N/A</v>
      </c>
      <c r="AD415" t="str">
        <f>IF(Table1[[#This Row],[Position 1]]=0,"/0SAP/",MID(Table1[[#This Row],[Final Obj Name]],Table1[[#This Row],[Position 1]],Table1[[#This Row],[Position 2]]-Table1[[#This Row],[Position 1]]+1))</f>
        <v>/0SAP/</v>
      </c>
      <c r="AE415" t="str">
        <f>VLOOKUP(Table1[[#This Row],[/* Object]],Namespace!A:J,10,FALSE)</f>
        <v>SAP AG</v>
      </c>
      <c r="AF415" t="str">
        <f>IF(VLOOKUP(Table1[[#This Row],[/* Object]],Namespace!A:J,4,FALSE)=0,"",VLOOKUP(Table1[[#This Row],[/* Object]],Namespace!A:J,4,FALSE))</f>
        <v>X</v>
      </c>
      <c r="AG415" t="str">
        <f>IF(VLOOKUP(Table1[[#This Row],[/* Object]],Namespace!A:J,5,FALSE)=0,"",VLOOKUP(Table1[[#This Row],[/* Object]],Namespace!A:J,5,FALSE))</f>
        <v>X</v>
      </c>
      <c r="AH415" t="str">
        <f>IF(VLOOKUP(Table1[[#This Row],[/* Object]],Namespace!A:J,6,FALSE)=0,"",VLOOKUP(Table1[[#This Row],[/* Object]],Namespace!A:J,6,FALSE))</f>
        <v/>
      </c>
      <c r="AI415">
        <f>IFERROR(FIND("/",Table1[[#This Row],[Final Obj Name]],1),0)</f>
        <v>0</v>
      </c>
      <c r="AJ415">
        <f>IF(Table1[[#This Row],[Position 1]]=0,0,FIND("/",Table1[[#This Row],[Final Obj Name]],Table1[[#This Row],[Position 1]]+1))</f>
        <v>0</v>
      </c>
      <c r="AK415" t="str">
        <f>IF(LEFT(Table1[[#This Row],[Final Obj Name]],1)="/",LEFT(Table1[[#This Row],[Final Obj Name]],FIND("/",Table1[[#This Row],[Final Obj Name]],2)),"/0SAP/")</f>
        <v>/0SAP/</v>
      </c>
    </row>
    <row r="416">
      <c r="A416" t="str">
        <v>DTEL</v>
      </c>
      <c r="B416" t="str">
        <v>ZDEMDGC_ENRIFLG</v>
      </c>
      <c r="C416" t="str">
        <v>DTED</v>
      </c>
      <c r="D416" t="str">
        <v>ZDEMDGC_ENRIFLG</v>
      </c>
      <c r="G416" t="str">
        <v>ALL</v>
      </c>
      <c r="K416" t="str">
        <v>E</v>
      </c>
      <c r="L416" t="str">
        <v>NSHAIK</v>
      </c>
      <c r="M416">
        <v>46013</v>
      </c>
      <c r="N416">
        <v>0.39447916666667</v>
      </c>
      <c r="W416" t="str">
        <v>SP1K961121</v>
      </c>
      <c r="Y416">
        <f>IF(Table1[[#This Row],[OPERATION]]="NOTE","NOTE",Table1[[#This Row],[SUB_TYPE]])</f>
        <v>0</v>
      </c>
      <c r="Z416">
        <f>IF(Table1[[#This Row],[OPERATION]]="NOTE",NUMBERVALUE(LEFT(Table1[[#This Row],[MOD_NAME]],LEN(Table1[[#This Row],[MOD_NAME]])-4)),Table1[[#This Row],[SUB_NAME]])</f>
        <v>0</v>
      </c>
      <c r="AA416" t="str">
        <f>CONCAT(Table1[[#This Row],[Final Obj Type]],"|",Table1[[#This Row],[Final Obj Name]])</f>
        <v>0|0</v>
      </c>
      <c r="AB416" t="e">
        <f>VLOOKUP(Table1[[#This Row],[Final Obj Type]],Classification!B:E,3,FALSE)</f>
        <v>#N/A</v>
      </c>
      <c r="AC416" t="e">
        <f>VLOOKUP(Table1[[#This Row],[Final Obj Type]],Classification!B:E,4,FALSE)</f>
        <v>#N/A</v>
      </c>
      <c r="AD416" t="str">
        <f>IF(Table1[[#This Row],[Position 1]]=0,"/0SAP/",MID(Table1[[#This Row],[Final Obj Name]],Table1[[#This Row],[Position 1]],Table1[[#This Row],[Position 2]]-Table1[[#This Row],[Position 1]]+1))</f>
        <v>/0SAP/</v>
      </c>
      <c r="AE416" t="str">
        <f>VLOOKUP(Table1[[#This Row],[/* Object]],Namespace!A:J,10,FALSE)</f>
        <v>SAP AG</v>
      </c>
      <c r="AF416" t="str">
        <f>IF(VLOOKUP(Table1[[#This Row],[/* Object]],Namespace!A:J,4,FALSE)=0,"",VLOOKUP(Table1[[#This Row],[/* Object]],Namespace!A:J,4,FALSE))</f>
        <v>X</v>
      </c>
      <c r="AG416" t="str">
        <f>IF(VLOOKUP(Table1[[#This Row],[/* Object]],Namespace!A:J,5,FALSE)=0,"",VLOOKUP(Table1[[#This Row],[/* Object]],Namespace!A:J,5,FALSE))</f>
        <v>X</v>
      </c>
      <c r="AH416" t="str">
        <f>IF(VLOOKUP(Table1[[#This Row],[/* Object]],Namespace!A:J,6,FALSE)=0,"",VLOOKUP(Table1[[#This Row],[/* Object]],Namespace!A:J,6,FALSE))</f>
        <v/>
      </c>
      <c r="AI416">
        <f>IFERROR(FIND("/",Table1[[#This Row],[Final Obj Name]],1),0)</f>
        <v>0</v>
      </c>
      <c r="AJ416">
        <f>IF(Table1[[#This Row],[Position 1]]=0,0,FIND("/",Table1[[#This Row],[Final Obj Name]],Table1[[#This Row],[Position 1]]+1))</f>
        <v>0</v>
      </c>
      <c r="AK416" t="str">
        <f>IF(LEFT(Table1[[#This Row],[Final Obj Name]],1)="/",LEFT(Table1[[#This Row],[Final Obj Name]],FIND("/",Table1[[#This Row],[Final Obj Name]],2)),"/0SAP/")</f>
        <v>/0SAP/</v>
      </c>
    </row>
    <row r="417">
      <c r="A417" t="str">
        <v>DTEL</v>
      </c>
      <c r="B417" t="str">
        <v>ZDEMDGC_EXT_SYSTEM</v>
      </c>
      <c r="C417" t="str">
        <v>DTED</v>
      </c>
      <c r="D417" t="str">
        <v>ZDEMDGC_EXT_SYSTEM</v>
      </c>
      <c r="G417" t="str">
        <v>ALL</v>
      </c>
      <c r="K417" t="str">
        <v>E</v>
      </c>
      <c r="L417" t="str">
        <v>NSHAIK</v>
      </c>
      <c r="M417">
        <v>46020</v>
      </c>
      <c r="N417">
        <v>0.27664351851852</v>
      </c>
      <c r="W417" t="str">
        <v>SP1K961121</v>
      </c>
      <c r="Y417">
        <f>IF(Table1[[#This Row],[OPERATION]]="NOTE","NOTE",Table1[[#This Row],[SUB_TYPE]])</f>
        <v>0</v>
      </c>
      <c r="Z417">
        <f>IF(Table1[[#This Row],[OPERATION]]="NOTE",NUMBERVALUE(LEFT(Table1[[#This Row],[MOD_NAME]],LEN(Table1[[#This Row],[MOD_NAME]])-4)),Table1[[#This Row],[SUB_NAME]])</f>
        <v>0</v>
      </c>
      <c r="AA417" t="str">
        <f>CONCAT(Table1[[#This Row],[Final Obj Type]],"|",Table1[[#This Row],[Final Obj Name]])</f>
        <v>0|0</v>
      </c>
      <c r="AB417" t="e">
        <f>VLOOKUP(Table1[[#This Row],[Final Obj Type]],Classification!B:E,3,FALSE)</f>
        <v>#N/A</v>
      </c>
      <c r="AC417" t="e">
        <f>VLOOKUP(Table1[[#This Row],[Final Obj Type]],Classification!B:E,4,FALSE)</f>
        <v>#N/A</v>
      </c>
      <c r="AD417" t="str">
        <f>IF(Table1[[#This Row],[Position 1]]=0,"/0SAP/",MID(Table1[[#This Row],[Final Obj Name]],Table1[[#This Row],[Position 1]],Table1[[#This Row],[Position 2]]-Table1[[#This Row],[Position 1]]+1))</f>
        <v>/0SAP/</v>
      </c>
      <c r="AE417" t="str">
        <f>VLOOKUP(Table1[[#This Row],[/* Object]],Namespace!A:J,10,FALSE)</f>
        <v>SAP AG</v>
      </c>
      <c r="AF417" t="str">
        <f>IF(VLOOKUP(Table1[[#This Row],[/* Object]],Namespace!A:J,4,FALSE)=0,"",VLOOKUP(Table1[[#This Row],[/* Object]],Namespace!A:J,4,FALSE))</f>
        <v>X</v>
      </c>
      <c r="AG417" t="str">
        <f>IF(VLOOKUP(Table1[[#This Row],[/* Object]],Namespace!A:J,5,FALSE)=0,"",VLOOKUP(Table1[[#This Row],[/* Object]],Namespace!A:J,5,FALSE))</f>
        <v>X</v>
      </c>
      <c r="AH417" t="str">
        <f>IF(VLOOKUP(Table1[[#This Row],[/* Object]],Namespace!A:J,6,FALSE)=0,"",VLOOKUP(Table1[[#This Row],[/* Object]],Namespace!A:J,6,FALSE))</f>
        <v/>
      </c>
      <c r="AI417">
        <f>IFERROR(FIND("/",Table1[[#This Row],[Final Obj Name]],1),0)</f>
        <v>0</v>
      </c>
      <c r="AJ417">
        <f>IF(Table1[[#This Row],[Position 1]]=0,0,FIND("/",Table1[[#This Row],[Final Obj Name]],Table1[[#This Row],[Position 1]]+1))</f>
        <v>0</v>
      </c>
      <c r="AK417" t="str">
        <f>IF(LEFT(Table1[[#This Row],[Final Obj Name]],1)="/",LEFT(Table1[[#This Row],[Final Obj Name]],FIND("/",Table1[[#This Row],[Final Obj Name]],2)),"/0SAP/")</f>
        <v>/0SAP/</v>
      </c>
    </row>
    <row r="418">
      <c r="A418" t="str">
        <v>DTEL</v>
      </c>
      <c r="B418" t="str">
        <v>ZDEMDGC_FF_DATE_LAST_UPDATED</v>
      </c>
      <c r="C418" t="str">
        <v>DTED</v>
      </c>
      <c r="D418" t="str">
        <v>ZDEMDGC_FF_DATE_LAST_UPDATED</v>
      </c>
      <c r="G418" t="str">
        <v>ALL</v>
      </c>
      <c r="K418" t="str">
        <v>E</v>
      </c>
      <c r="L418" t="str">
        <v>NSHAIK</v>
      </c>
      <c r="M418">
        <v>46020</v>
      </c>
      <c r="N418">
        <v>0.52091435185185</v>
      </c>
      <c r="W418" t="str">
        <v>SP1K961294</v>
      </c>
      <c r="Y418">
        <f>IF(Table1[[#This Row],[OPERATION]]="NOTE","NOTE",Table1[[#This Row],[SUB_TYPE]])</f>
        <v>0</v>
      </c>
      <c r="Z418">
        <f>IF(Table1[[#This Row],[OPERATION]]="NOTE",NUMBERVALUE(LEFT(Table1[[#This Row],[MOD_NAME]],LEN(Table1[[#This Row],[MOD_NAME]])-4)),Table1[[#This Row],[SUB_NAME]])</f>
        <v>0</v>
      </c>
      <c r="AA418" t="str">
        <f>CONCAT(Table1[[#This Row],[Final Obj Type]],"|",Table1[[#This Row],[Final Obj Name]])</f>
        <v>0|0</v>
      </c>
      <c r="AB418" t="e">
        <f>VLOOKUP(Table1[[#This Row],[Final Obj Type]],Classification!B:E,3,FALSE)</f>
        <v>#N/A</v>
      </c>
      <c r="AC418" t="e">
        <f>VLOOKUP(Table1[[#This Row],[Final Obj Type]],Classification!B:E,4,FALSE)</f>
        <v>#N/A</v>
      </c>
      <c r="AD418" t="str">
        <f>IF(Table1[[#This Row],[Position 1]]=0,"/0SAP/",MID(Table1[[#This Row],[Final Obj Name]],Table1[[#This Row],[Position 1]],Table1[[#This Row],[Position 2]]-Table1[[#This Row],[Position 1]]+1))</f>
        <v>/0SAP/</v>
      </c>
      <c r="AE418" t="str">
        <f>VLOOKUP(Table1[[#This Row],[/* Object]],Namespace!A:J,10,FALSE)</f>
        <v>SAP AG</v>
      </c>
      <c r="AF418" t="str">
        <f>IF(VLOOKUP(Table1[[#This Row],[/* Object]],Namespace!A:J,4,FALSE)=0,"",VLOOKUP(Table1[[#This Row],[/* Object]],Namespace!A:J,4,FALSE))</f>
        <v>X</v>
      </c>
      <c r="AG418" t="str">
        <f>IF(VLOOKUP(Table1[[#This Row],[/* Object]],Namespace!A:J,5,FALSE)=0,"",VLOOKUP(Table1[[#This Row],[/* Object]],Namespace!A:J,5,FALSE))</f>
        <v>X</v>
      </c>
      <c r="AH418" t="str">
        <f>IF(VLOOKUP(Table1[[#This Row],[/* Object]],Namespace!A:J,6,FALSE)=0,"",VLOOKUP(Table1[[#This Row],[/* Object]],Namespace!A:J,6,FALSE))</f>
        <v/>
      </c>
      <c r="AI418">
        <f>IFERROR(FIND("/",Table1[[#This Row],[Final Obj Name]],1),0)</f>
        <v>0</v>
      </c>
      <c r="AJ418">
        <f>IF(Table1[[#This Row],[Position 1]]=0,0,FIND("/",Table1[[#This Row],[Final Obj Name]],Table1[[#This Row],[Position 1]]+1))</f>
        <v>0</v>
      </c>
      <c r="AK418" t="str">
        <f>IF(LEFT(Table1[[#This Row],[Final Obj Name]],1)="/",LEFT(Table1[[#This Row],[Final Obj Name]],FIND("/",Table1[[#This Row],[Final Obj Name]],2)),"/0SAP/")</f>
        <v>/0SAP/</v>
      </c>
    </row>
    <row r="419">
      <c r="A419" t="str">
        <v>DTEL</v>
      </c>
      <c r="B419" t="str">
        <v>ZDEMDGC_FF_OVERALL_STATUS</v>
      </c>
      <c r="C419" t="str">
        <v>DTED</v>
      </c>
      <c r="D419" t="str">
        <v>ZDEMDGC_FF_OVERALL_STATUS</v>
      </c>
      <c r="G419" t="str">
        <v>ALL</v>
      </c>
      <c r="K419" t="str">
        <v>E</v>
      </c>
      <c r="L419" t="str">
        <v>NSHAIK</v>
      </c>
      <c r="M419">
        <v>46020</v>
      </c>
      <c r="N419">
        <v>0.52119212962963</v>
      </c>
      <c r="W419" t="str">
        <v>SP1K961294</v>
      </c>
      <c r="Y419">
        <f>IF(Table1[[#This Row],[OPERATION]]="NOTE","NOTE",Table1[[#This Row],[SUB_TYPE]])</f>
        <v>0</v>
      </c>
      <c r="Z419">
        <f>IF(Table1[[#This Row],[OPERATION]]="NOTE",NUMBERVALUE(LEFT(Table1[[#This Row],[MOD_NAME]],LEN(Table1[[#This Row],[MOD_NAME]])-4)),Table1[[#This Row],[SUB_NAME]])</f>
        <v>0</v>
      </c>
      <c r="AA419" t="str">
        <f>CONCAT(Table1[[#This Row],[Final Obj Type]],"|",Table1[[#This Row],[Final Obj Name]])</f>
        <v>0|0</v>
      </c>
      <c r="AB419" t="e">
        <f>VLOOKUP(Table1[[#This Row],[Final Obj Type]],Classification!B:E,3,FALSE)</f>
        <v>#N/A</v>
      </c>
      <c r="AC419" t="e">
        <f>VLOOKUP(Table1[[#This Row],[Final Obj Type]],Classification!B:E,4,FALSE)</f>
        <v>#N/A</v>
      </c>
      <c r="AD419" t="str">
        <f>IF(Table1[[#This Row],[Position 1]]=0,"/0SAP/",MID(Table1[[#This Row],[Final Obj Name]],Table1[[#This Row],[Position 1]],Table1[[#This Row],[Position 2]]-Table1[[#This Row],[Position 1]]+1))</f>
        <v>/0SAP/</v>
      </c>
      <c r="AE419" t="str">
        <f>VLOOKUP(Table1[[#This Row],[/* Object]],Namespace!A:J,10,FALSE)</f>
        <v>SAP AG</v>
      </c>
      <c r="AF419" t="str">
        <f>IF(VLOOKUP(Table1[[#This Row],[/* Object]],Namespace!A:J,4,FALSE)=0,"",VLOOKUP(Table1[[#This Row],[/* Object]],Namespace!A:J,4,FALSE))</f>
        <v>X</v>
      </c>
      <c r="AG419" t="str">
        <f>IF(VLOOKUP(Table1[[#This Row],[/* Object]],Namespace!A:J,5,FALSE)=0,"",VLOOKUP(Table1[[#This Row],[/* Object]],Namespace!A:J,5,FALSE))</f>
        <v>X</v>
      </c>
      <c r="AH419" t="str">
        <f>IF(VLOOKUP(Table1[[#This Row],[/* Object]],Namespace!A:J,6,FALSE)=0,"",VLOOKUP(Table1[[#This Row],[/* Object]],Namespace!A:J,6,FALSE))</f>
        <v/>
      </c>
      <c r="AI419">
        <f>IFERROR(FIND("/",Table1[[#This Row],[Final Obj Name]],1),0)</f>
        <v>0</v>
      </c>
      <c r="AJ419">
        <f>IF(Table1[[#This Row],[Position 1]]=0,0,FIND("/",Table1[[#This Row],[Final Obj Name]],Table1[[#This Row],[Position 1]]+1))</f>
        <v>0</v>
      </c>
      <c r="AK419" t="str">
        <f>IF(LEFT(Table1[[#This Row],[Final Obj Name]],1)="/",LEFT(Table1[[#This Row],[Final Obj Name]],FIND("/",Table1[[#This Row],[Final Obj Name]],2)),"/0SAP/")</f>
        <v>/0SAP/</v>
      </c>
    </row>
    <row r="420">
      <c r="A420" t="str">
        <v>DTEL</v>
      </c>
      <c r="B420" t="str">
        <v>ZDEMDGC_FF_REJECTION_DESCRIP</v>
      </c>
      <c r="C420" t="str">
        <v>DTED</v>
      </c>
      <c r="D420" t="str">
        <v>ZDEMDGC_FF_REJECTION_DESCRIP</v>
      </c>
      <c r="G420" t="str">
        <v>ALL</v>
      </c>
      <c r="K420" t="str">
        <v>E</v>
      </c>
      <c r="L420" t="str">
        <v>NSHAIK</v>
      </c>
      <c r="M420">
        <v>46020</v>
      </c>
      <c r="N420">
        <v>0.5216087962963</v>
      </c>
      <c r="W420" t="str">
        <v>SP1K961294</v>
      </c>
      <c r="Y420">
        <f>IF(Table1[[#This Row],[OPERATION]]="NOTE","NOTE",Table1[[#This Row],[SUB_TYPE]])</f>
        <v>0</v>
      </c>
      <c r="Z420">
        <f>IF(Table1[[#This Row],[OPERATION]]="NOTE",NUMBERVALUE(LEFT(Table1[[#This Row],[MOD_NAME]],LEN(Table1[[#This Row],[MOD_NAME]])-4)),Table1[[#This Row],[SUB_NAME]])</f>
        <v>0</v>
      </c>
      <c r="AA420" t="str">
        <f>CONCAT(Table1[[#This Row],[Final Obj Type]],"|",Table1[[#This Row],[Final Obj Name]])</f>
        <v>0|0</v>
      </c>
      <c r="AB420" t="e">
        <f>VLOOKUP(Table1[[#This Row],[Final Obj Type]],Classification!B:E,3,FALSE)</f>
        <v>#N/A</v>
      </c>
      <c r="AC420" t="e">
        <f>VLOOKUP(Table1[[#This Row],[Final Obj Type]],Classification!B:E,4,FALSE)</f>
        <v>#N/A</v>
      </c>
      <c r="AD420" t="str">
        <f>IF(Table1[[#This Row],[Position 1]]=0,"/0SAP/",MID(Table1[[#This Row],[Final Obj Name]],Table1[[#This Row],[Position 1]],Table1[[#This Row],[Position 2]]-Table1[[#This Row],[Position 1]]+1))</f>
        <v>/0SAP/</v>
      </c>
      <c r="AE420" t="str">
        <f>VLOOKUP(Table1[[#This Row],[/* Object]],Namespace!A:J,10,FALSE)</f>
        <v>SAP AG</v>
      </c>
      <c r="AF420" t="str">
        <f>IF(VLOOKUP(Table1[[#This Row],[/* Object]],Namespace!A:J,4,FALSE)=0,"",VLOOKUP(Table1[[#This Row],[/* Object]],Namespace!A:J,4,FALSE))</f>
        <v>X</v>
      </c>
      <c r="AG420" t="str">
        <f>IF(VLOOKUP(Table1[[#This Row],[/* Object]],Namespace!A:J,5,FALSE)=0,"",VLOOKUP(Table1[[#This Row],[/* Object]],Namespace!A:J,5,FALSE))</f>
        <v>X</v>
      </c>
      <c r="AH420" t="str">
        <f>IF(VLOOKUP(Table1[[#This Row],[/* Object]],Namespace!A:J,6,FALSE)=0,"",VLOOKUP(Table1[[#This Row],[/* Object]],Namespace!A:J,6,FALSE))</f>
        <v/>
      </c>
      <c r="AI420">
        <f>IFERROR(FIND("/",Table1[[#This Row],[Final Obj Name]],1),0)</f>
        <v>0</v>
      </c>
      <c r="AJ420">
        <f>IF(Table1[[#This Row],[Position 1]]=0,0,FIND("/",Table1[[#This Row],[Final Obj Name]],Table1[[#This Row],[Position 1]]+1))</f>
        <v>0</v>
      </c>
      <c r="AK420" t="str">
        <f>IF(LEFT(Table1[[#This Row],[Final Obj Name]],1)="/",LEFT(Table1[[#This Row],[Final Obj Name]],FIND("/",Table1[[#This Row],[Final Obj Name]],2)),"/0SAP/")</f>
        <v>/0SAP/</v>
      </c>
    </row>
    <row r="421">
      <c r="A421" t="str">
        <v>DTEL</v>
      </c>
      <c r="B421" t="str">
        <v>ZDEMDGC_FF_SFID</v>
      </c>
      <c r="C421" t="str">
        <v>DTED</v>
      </c>
      <c r="D421" t="str">
        <v>ZDEMDGC_FF_SFID</v>
      </c>
      <c r="G421" t="str">
        <v>ALL</v>
      </c>
      <c r="K421" t="str">
        <v>E</v>
      </c>
      <c r="L421" t="str">
        <v>NSHAIK</v>
      </c>
      <c r="M421">
        <v>46020</v>
      </c>
      <c r="N421">
        <v>0.52277777777778</v>
      </c>
      <c r="W421" t="str">
        <v>SP1K961294</v>
      </c>
      <c r="Y421">
        <f>IF(Table1[[#This Row],[OPERATION]]="NOTE","NOTE",Table1[[#This Row],[SUB_TYPE]])</f>
        <v>0</v>
      </c>
      <c r="Z421">
        <f>IF(Table1[[#This Row],[OPERATION]]="NOTE",NUMBERVALUE(LEFT(Table1[[#This Row],[MOD_NAME]],LEN(Table1[[#This Row],[MOD_NAME]])-4)),Table1[[#This Row],[SUB_NAME]])</f>
        <v>0</v>
      </c>
      <c r="AA421" t="str">
        <f>CONCAT(Table1[[#This Row],[Final Obj Type]],"|",Table1[[#This Row],[Final Obj Name]])</f>
        <v>0|0</v>
      </c>
      <c r="AB421" t="e">
        <f>VLOOKUP(Table1[[#This Row],[Final Obj Type]],Classification!B:E,3,FALSE)</f>
        <v>#N/A</v>
      </c>
      <c r="AC421" t="e">
        <f>VLOOKUP(Table1[[#This Row],[Final Obj Type]],Classification!B:E,4,FALSE)</f>
        <v>#N/A</v>
      </c>
      <c r="AD421" t="str">
        <f>IF(Table1[[#This Row],[Position 1]]=0,"/0SAP/",MID(Table1[[#This Row],[Final Obj Name]],Table1[[#This Row],[Position 1]],Table1[[#This Row],[Position 2]]-Table1[[#This Row],[Position 1]]+1))</f>
        <v>/0SAP/</v>
      </c>
      <c r="AE421" t="str">
        <f>VLOOKUP(Table1[[#This Row],[/* Object]],Namespace!A:J,10,FALSE)</f>
        <v>SAP AG</v>
      </c>
      <c r="AF421" t="str">
        <f>IF(VLOOKUP(Table1[[#This Row],[/* Object]],Namespace!A:J,4,FALSE)=0,"",VLOOKUP(Table1[[#This Row],[/* Object]],Namespace!A:J,4,FALSE))</f>
        <v>X</v>
      </c>
      <c r="AG421" t="str">
        <f>IF(VLOOKUP(Table1[[#This Row],[/* Object]],Namespace!A:J,5,FALSE)=0,"",VLOOKUP(Table1[[#This Row],[/* Object]],Namespace!A:J,5,FALSE))</f>
        <v>X</v>
      </c>
      <c r="AH421" t="str">
        <f>IF(VLOOKUP(Table1[[#This Row],[/* Object]],Namespace!A:J,6,FALSE)=0,"",VLOOKUP(Table1[[#This Row],[/* Object]],Namespace!A:J,6,FALSE))</f>
        <v/>
      </c>
      <c r="AI421">
        <f>IFERROR(FIND("/",Table1[[#This Row],[Final Obj Name]],1),0)</f>
        <v>0</v>
      </c>
      <c r="AJ421">
        <f>IF(Table1[[#This Row],[Position 1]]=0,0,FIND("/",Table1[[#This Row],[Final Obj Name]],Table1[[#This Row],[Position 1]]+1))</f>
        <v>0</v>
      </c>
      <c r="AK421" t="str">
        <f>IF(LEFT(Table1[[#This Row],[Final Obj Name]],1)="/",LEFT(Table1[[#This Row],[Final Obj Name]],FIND("/",Table1[[#This Row],[Final Obj Name]],2)),"/0SAP/")</f>
        <v>/0SAP/</v>
      </c>
    </row>
    <row r="422">
      <c r="A422" t="str">
        <v>DTEL</v>
      </c>
      <c r="B422" t="str">
        <v>ZDEMDGC_FF_TIME_LAST_UPDATED</v>
      </c>
      <c r="C422" t="str">
        <v>DTED</v>
      </c>
      <c r="D422" t="str">
        <v>ZDEMDGC_FF_TIME_LAST_UPDATED</v>
      </c>
      <c r="G422" t="str">
        <v>ALL</v>
      </c>
      <c r="K422" t="str">
        <v>E</v>
      </c>
      <c r="L422" t="str">
        <v>NSHAIK</v>
      </c>
      <c r="M422">
        <v>46020</v>
      </c>
      <c r="N422">
        <v>0.52346064814815</v>
      </c>
      <c r="W422" t="str">
        <v>SP1K961294</v>
      </c>
      <c r="Y422">
        <f>IF(Table1[[#This Row],[OPERATION]]="NOTE","NOTE",Table1[[#This Row],[SUB_TYPE]])</f>
        <v>0</v>
      </c>
      <c r="Z422">
        <f>IF(Table1[[#This Row],[OPERATION]]="NOTE",NUMBERVALUE(LEFT(Table1[[#This Row],[MOD_NAME]],LEN(Table1[[#This Row],[MOD_NAME]])-4)),Table1[[#This Row],[SUB_NAME]])</f>
        <v>0</v>
      </c>
      <c r="AA422" t="str">
        <f>CONCAT(Table1[[#This Row],[Final Obj Type]],"|",Table1[[#This Row],[Final Obj Name]])</f>
        <v>0|0</v>
      </c>
      <c r="AB422" t="e">
        <f>VLOOKUP(Table1[[#This Row],[Final Obj Type]],Classification!B:E,3,FALSE)</f>
        <v>#N/A</v>
      </c>
      <c r="AC422" t="e">
        <f>VLOOKUP(Table1[[#This Row],[Final Obj Type]],Classification!B:E,4,FALSE)</f>
        <v>#N/A</v>
      </c>
      <c r="AD422" t="str">
        <f>IF(Table1[[#This Row],[Position 1]]=0,"/0SAP/",MID(Table1[[#This Row],[Final Obj Name]],Table1[[#This Row],[Position 1]],Table1[[#This Row],[Position 2]]-Table1[[#This Row],[Position 1]]+1))</f>
        <v>/0SAP/</v>
      </c>
      <c r="AE422" t="str">
        <f>VLOOKUP(Table1[[#This Row],[/* Object]],Namespace!A:J,10,FALSE)</f>
        <v>SAP AG</v>
      </c>
      <c r="AF422" t="str">
        <f>IF(VLOOKUP(Table1[[#This Row],[/* Object]],Namespace!A:J,4,FALSE)=0,"",VLOOKUP(Table1[[#This Row],[/* Object]],Namespace!A:J,4,FALSE))</f>
        <v>X</v>
      </c>
      <c r="AG422" t="str">
        <f>IF(VLOOKUP(Table1[[#This Row],[/* Object]],Namespace!A:J,5,FALSE)=0,"",VLOOKUP(Table1[[#This Row],[/* Object]],Namespace!A:J,5,FALSE))</f>
        <v>X</v>
      </c>
      <c r="AH422" t="str">
        <f>IF(VLOOKUP(Table1[[#This Row],[/* Object]],Namespace!A:J,6,FALSE)=0,"",VLOOKUP(Table1[[#This Row],[/* Object]],Namespace!A:J,6,FALSE))</f>
        <v/>
      </c>
      <c r="AI422">
        <f>IFERROR(FIND("/",Table1[[#This Row],[Final Obj Name]],1),0)</f>
        <v>0</v>
      </c>
      <c r="AJ422">
        <f>IF(Table1[[#This Row],[Position 1]]=0,0,FIND("/",Table1[[#This Row],[Final Obj Name]],Table1[[#This Row],[Position 1]]+1))</f>
        <v>0</v>
      </c>
      <c r="AK422" t="str">
        <f>IF(LEFT(Table1[[#This Row],[Final Obj Name]],1)="/",LEFT(Table1[[#This Row],[Final Obj Name]],FIND("/",Table1[[#This Row],[Final Obj Name]],2)),"/0SAP/")</f>
        <v>/0SAP/</v>
      </c>
    </row>
    <row r="423">
      <c r="A423" t="str">
        <v>DTEL</v>
      </c>
      <c r="B423" t="str">
        <v>ZDEMDGC_RULE_ACTIVE</v>
      </c>
      <c r="C423" t="str">
        <v>DTED</v>
      </c>
      <c r="D423" t="str">
        <v>ZDEMDGC_RULE_ACTIVE</v>
      </c>
      <c r="G423" t="str">
        <v>ALL</v>
      </c>
      <c r="K423" t="str">
        <v>E</v>
      </c>
      <c r="L423" t="str">
        <v>NSHAIK</v>
      </c>
      <c r="M423">
        <v>46013</v>
      </c>
      <c r="N423">
        <v>0.39489583333333</v>
      </c>
      <c r="W423" t="str">
        <v>SP1K961121</v>
      </c>
      <c r="Y423">
        <f>IF(Table1[[#This Row],[OPERATION]]="NOTE","NOTE",Table1[[#This Row],[SUB_TYPE]])</f>
        <v>0</v>
      </c>
      <c r="Z423">
        <f>IF(Table1[[#This Row],[OPERATION]]="NOTE",NUMBERVALUE(LEFT(Table1[[#This Row],[MOD_NAME]],LEN(Table1[[#This Row],[MOD_NAME]])-4)),Table1[[#This Row],[SUB_NAME]])</f>
        <v>0</v>
      </c>
      <c r="AA423" t="str">
        <f>CONCAT(Table1[[#This Row],[Final Obj Type]],"|",Table1[[#This Row],[Final Obj Name]])</f>
        <v>0|0</v>
      </c>
      <c r="AB423" t="e">
        <f>VLOOKUP(Table1[[#This Row],[Final Obj Type]],Classification!B:E,3,FALSE)</f>
        <v>#N/A</v>
      </c>
      <c r="AC423" t="e">
        <f>VLOOKUP(Table1[[#This Row],[Final Obj Type]],Classification!B:E,4,FALSE)</f>
        <v>#N/A</v>
      </c>
      <c r="AD423" t="str">
        <f>IF(Table1[[#This Row],[Position 1]]=0,"/0SAP/",MID(Table1[[#This Row],[Final Obj Name]],Table1[[#This Row],[Position 1]],Table1[[#This Row],[Position 2]]-Table1[[#This Row],[Position 1]]+1))</f>
        <v>/0SAP/</v>
      </c>
      <c r="AE423" t="str">
        <f>VLOOKUP(Table1[[#This Row],[/* Object]],Namespace!A:J,10,FALSE)</f>
        <v>SAP AG</v>
      </c>
      <c r="AF423" t="str">
        <f>IF(VLOOKUP(Table1[[#This Row],[/* Object]],Namespace!A:J,4,FALSE)=0,"",VLOOKUP(Table1[[#This Row],[/* Object]],Namespace!A:J,4,FALSE))</f>
        <v>X</v>
      </c>
      <c r="AG423" t="str">
        <f>IF(VLOOKUP(Table1[[#This Row],[/* Object]],Namespace!A:J,5,FALSE)=0,"",VLOOKUP(Table1[[#This Row],[/* Object]],Namespace!A:J,5,FALSE))</f>
        <v>X</v>
      </c>
      <c r="AH423" t="str">
        <f>IF(VLOOKUP(Table1[[#This Row],[/* Object]],Namespace!A:J,6,FALSE)=0,"",VLOOKUP(Table1[[#This Row],[/* Object]],Namespace!A:J,6,FALSE))</f>
        <v/>
      </c>
      <c r="AI423">
        <f>IFERROR(FIND("/",Table1[[#This Row],[Final Obj Name]],1),0)</f>
        <v>0</v>
      </c>
      <c r="AJ423">
        <f>IF(Table1[[#This Row],[Position 1]]=0,0,FIND("/",Table1[[#This Row],[Final Obj Name]],Table1[[#This Row],[Position 1]]+1))</f>
        <v>0</v>
      </c>
      <c r="AK423" t="str">
        <f>IF(LEFT(Table1[[#This Row],[Final Obj Name]],1)="/",LEFT(Table1[[#This Row],[Final Obj Name]],FIND("/",Table1[[#This Row],[Final Obj Name]],2)),"/0SAP/")</f>
        <v>/0SAP/</v>
      </c>
    </row>
    <row r="424">
      <c r="A424" t="str">
        <v>DTEL</v>
      </c>
      <c r="B424" t="str">
        <v>ZDEMDGC_SPECIALIST_ROUTING</v>
      </c>
      <c r="C424" t="str">
        <v>DTED</v>
      </c>
      <c r="D424" t="str">
        <v>ZDEMDGC_SPECIALIST_ROUTING</v>
      </c>
      <c r="G424" t="str">
        <v>ALL</v>
      </c>
      <c r="K424" t="str">
        <v>E</v>
      </c>
      <c r="L424" t="str">
        <v>NSHAIK</v>
      </c>
      <c r="M424">
        <v>46013</v>
      </c>
      <c r="N424">
        <v>0.19623842592593</v>
      </c>
      <c r="W424" t="str">
        <v>SP1K961121</v>
      </c>
      <c r="Y424">
        <f>IF(Table1[[#This Row],[OPERATION]]="NOTE","NOTE",Table1[[#This Row],[SUB_TYPE]])</f>
        <v>0</v>
      </c>
      <c r="Z424">
        <f>IF(Table1[[#This Row],[OPERATION]]="NOTE",NUMBERVALUE(LEFT(Table1[[#This Row],[MOD_NAME]],LEN(Table1[[#This Row],[MOD_NAME]])-4)),Table1[[#This Row],[SUB_NAME]])</f>
        <v>0</v>
      </c>
      <c r="AA424" t="str">
        <f>CONCAT(Table1[[#This Row],[Final Obj Type]],"|",Table1[[#This Row],[Final Obj Name]])</f>
        <v>0|0</v>
      </c>
      <c r="AB424" t="e">
        <f>VLOOKUP(Table1[[#This Row],[Final Obj Type]],Classification!B:E,3,FALSE)</f>
        <v>#N/A</v>
      </c>
      <c r="AC424" t="e">
        <f>VLOOKUP(Table1[[#This Row],[Final Obj Type]],Classification!B:E,4,FALSE)</f>
        <v>#N/A</v>
      </c>
      <c r="AD424" t="str">
        <f>IF(Table1[[#This Row],[Position 1]]=0,"/0SAP/",MID(Table1[[#This Row],[Final Obj Name]],Table1[[#This Row],[Position 1]],Table1[[#This Row],[Position 2]]-Table1[[#This Row],[Position 1]]+1))</f>
        <v>/0SAP/</v>
      </c>
      <c r="AE424" t="str">
        <f>VLOOKUP(Table1[[#This Row],[/* Object]],Namespace!A:J,10,FALSE)</f>
        <v>SAP AG</v>
      </c>
      <c r="AF424" t="str">
        <f>IF(VLOOKUP(Table1[[#This Row],[/* Object]],Namespace!A:J,4,FALSE)=0,"",VLOOKUP(Table1[[#This Row],[/* Object]],Namespace!A:J,4,FALSE))</f>
        <v>X</v>
      </c>
      <c r="AG424" t="str">
        <f>IF(VLOOKUP(Table1[[#This Row],[/* Object]],Namespace!A:J,5,FALSE)=0,"",VLOOKUP(Table1[[#This Row],[/* Object]],Namespace!A:J,5,FALSE))</f>
        <v>X</v>
      </c>
      <c r="AH424" t="str">
        <f>IF(VLOOKUP(Table1[[#This Row],[/* Object]],Namespace!A:J,6,FALSE)=0,"",VLOOKUP(Table1[[#This Row],[/* Object]],Namespace!A:J,6,FALSE))</f>
        <v/>
      </c>
      <c r="AI424">
        <f>IFERROR(FIND("/",Table1[[#This Row],[Final Obj Name]],1),0)</f>
        <v>0</v>
      </c>
      <c r="AJ424">
        <f>IF(Table1[[#This Row],[Position 1]]=0,0,FIND("/",Table1[[#This Row],[Final Obj Name]],Table1[[#This Row],[Position 1]]+1))</f>
        <v>0</v>
      </c>
      <c r="AK424" t="str">
        <f>IF(LEFT(Table1[[#This Row],[Final Obj Name]],1)="/",LEFT(Table1[[#This Row],[Final Obj Name]],FIND("/",Table1[[#This Row],[Final Obj Name]],2)),"/0SAP/")</f>
        <v>/0SAP/</v>
      </c>
    </row>
    <row r="425">
      <c r="A425" t="str">
        <v>DTEL</v>
      </c>
      <c r="B425" t="str">
        <v>ZDEMDGC_TRA_GUID</v>
      </c>
      <c r="C425" t="str">
        <v>DTED</v>
      </c>
      <c r="D425" t="str">
        <v>ZDEMDGC_TRA_GUID</v>
      </c>
      <c r="G425" t="str">
        <v>ALL</v>
      </c>
      <c r="K425" t="str">
        <v>E</v>
      </c>
      <c r="L425" t="str">
        <v>NSHAIK</v>
      </c>
      <c r="M425">
        <v>46020</v>
      </c>
      <c r="N425">
        <v>0.30730324074074</v>
      </c>
      <c r="W425" t="str">
        <v>SP1K961294</v>
      </c>
      <c r="Y425">
        <f>IF(Table1[[#This Row],[OPERATION]]="NOTE","NOTE",Table1[[#This Row],[SUB_TYPE]])</f>
        <v>0</v>
      </c>
      <c r="Z425">
        <f>IF(Table1[[#This Row],[OPERATION]]="NOTE",NUMBERVALUE(LEFT(Table1[[#This Row],[MOD_NAME]],LEN(Table1[[#This Row],[MOD_NAME]])-4)),Table1[[#This Row],[SUB_NAME]])</f>
        <v>0</v>
      </c>
      <c r="AA425" t="str">
        <f>CONCAT(Table1[[#This Row],[Final Obj Type]],"|",Table1[[#This Row],[Final Obj Name]])</f>
        <v>0|0</v>
      </c>
      <c r="AB425" t="e">
        <f>VLOOKUP(Table1[[#This Row],[Final Obj Type]],Classification!B:E,3,FALSE)</f>
        <v>#N/A</v>
      </c>
      <c r="AC425" t="e">
        <f>VLOOKUP(Table1[[#This Row],[Final Obj Type]],Classification!B:E,4,FALSE)</f>
        <v>#N/A</v>
      </c>
      <c r="AD425" t="str">
        <f>IF(Table1[[#This Row],[Position 1]]=0,"/0SAP/",MID(Table1[[#This Row],[Final Obj Name]],Table1[[#This Row],[Position 1]],Table1[[#This Row],[Position 2]]-Table1[[#This Row],[Position 1]]+1))</f>
        <v>/0SAP/</v>
      </c>
      <c r="AE425" t="str">
        <f>VLOOKUP(Table1[[#This Row],[/* Object]],Namespace!A:J,10,FALSE)</f>
        <v>SAP AG</v>
      </c>
      <c r="AF425" t="str">
        <f>IF(VLOOKUP(Table1[[#This Row],[/* Object]],Namespace!A:J,4,FALSE)=0,"",VLOOKUP(Table1[[#This Row],[/* Object]],Namespace!A:J,4,FALSE))</f>
        <v>X</v>
      </c>
      <c r="AG425" t="str">
        <f>IF(VLOOKUP(Table1[[#This Row],[/* Object]],Namespace!A:J,5,FALSE)=0,"",VLOOKUP(Table1[[#This Row],[/* Object]],Namespace!A:J,5,FALSE))</f>
        <v>X</v>
      </c>
      <c r="AH425" t="str">
        <f>IF(VLOOKUP(Table1[[#This Row],[/* Object]],Namespace!A:J,6,FALSE)=0,"",VLOOKUP(Table1[[#This Row],[/* Object]],Namespace!A:J,6,FALSE))</f>
        <v/>
      </c>
      <c r="AI425">
        <f>IFERROR(FIND("/",Table1[[#This Row],[Final Obj Name]],1),0)</f>
        <v>0</v>
      </c>
      <c r="AJ425">
        <f>IF(Table1[[#This Row],[Position 1]]=0,0,FIND("/",Table1[[#This Row],[Final Obj Name]],Table1[[#This Row],[Position 1]]+1))</f>
        <v>0</v>
      </c>
      <c r="AK425" t="str">
        <f>IF(LEFT(Table1[[#This Row],[Final Obj Name]],1)="/",LEFT(Table1[[#This Row],[Final Obj Name]],FIND("/",Table1[[#This Row],[Final Obj Name]],2)),"/0SAP/")</f>
        <v>/0SAP/</v>
      </c>
    </row>
    <row r="426">
      <c r="A426" t="str">
        <v>DTEL</v>
      </c>
      <c r="B426" t="str">
        <v>ZDEMDGC_TRA_SRCSYSTEM</v>
      </c>
      <c r="C426" t="str">
        <v>DTED</v>
      </c>
      <c r="D426" t="str">
        <v>ZDEMDGC_TRA_SRCSYSTEM</v>
      </c>
      <c r="G426" t="str">
        <v>ALL</v>
      </c>
      <c r="K426" t="str">
        <v>E</v>
      </c>
      <c r="L426" t="str">
        <v>NSHAIK</v>
      </c>
      <c r="M426">
        <v>46020</v>
      </c>
      <c r="N426">
        <v>0.31100694444444</v>
      </c>
      <c r="W426" t="str">
        <v>SP1K961294</v>
      </c>
      <c r="Y426">
        <f>IF(Table1[[#This Row],[OPERATION]]="NOTE","NOTE",Table1[[#This Row],[SUB_TYPE]])</f>
        <v>0</v>
      </c>
      <c r="Z426">
        <f>IF(Table1[[#This Row],[OPERATION]]="NOTE",NUMBERVALUE(LEFT(Table1[[#This Row],[MOD_NAME]],LEN(Table1[[#This Row],[MOD_NAME]])-4)),Table1[[#This Row],[SUB_NAME]])</f>
        <v>0</v>
      </c>
      <c r="AA426" t="str">
        <f>CONCAT(Table1[[#This Row],[Final Obj Type]],"|",Table1[[#This Row],[Final Obj Name]])</f>
        <v>0|0</v>
      </c>
      <c r="AB426" t="e">
        <f>VLOOKUP(Table1[[#This Row],[Final Obj Type]],Classification!B:E,3,FALSE)</f>
        <v>#N/A</v>
      </c>
      <c r="AC426" t="e">
        <f>VLOOKUP(Table1[[#This Row],[Final Obj Type]],Classification!B:E,4,FALSE)</f>
        <v>#N/A</v>
      </c>
      <c r="AD426" t="str">
        <f>IF(Table1[[#This Row],[Position 1]]=0,"/0SAP/",MID(Table1[[#This Row],[Final Obj Name]],Table1[[#This Row],[Position 1]],Table1[[#This Row],[Position 2]]-Table1[[#This Row],[Position 1]]+1))</f>
        <v>/0SAP/</v>
      </c>
      <c r="AE426" t="str">
        <f>VLOOKUP(Table1[[#This Row],[/* Object]],Namespace!A:J,10,FALSE)</f>
        <v>SAP AG</v>
      </c>
      <c r="AF426" t="str">
        <f>IF(VLOOKUP(Table1[[#This Row],[/* Object]],Namespace!A:J,4,FALSE)=0,"",VLOOKUP(Table1[[#This Row],[/* Object]],Namespace!A:J,4,FALSE))</f>
        <v>X</v>
      </c>
      <c r="AG426" t="str">
        <f>IF(VLOOKUP(Table1[[#This Row],[/* Object]],Namespace!A:J,5,FALSE)=0,"",VLOOKUP(Table1[[#This Row],[/* Object]],Namespace!A:J,5,FALSE))</f>
        <v>X</v>
      </c>
      <c r="AH426" t="str">
        <f>IF(VLOOKUP(Table1[[#This Row],[/* Object]],Namespace!A:J,6,FALSE)=0,"",VLOOKUP(Table1[[#This Row],[/* Object]],Namespace!A:J,6,FALSE))</f>
        <v/>
      </c>
      <c r="AI426">
        <f>IFERROR(FIND("/",Table1[[#This Row],[Final Obj Name]],1),0)</f>
        <v>0</v>
      </c>
      <c r="AJ426">
        <f>IF(Table1[[#This Row],[Position 1]]=0,0,FIND("/",Table1[[#This Row],[Final Obj Name]],Table1[[#This Row],[Position 1]]+1))</f>
        <v>0</v>
      </c>
      <c r="AK426" t="str">
        <f>IF(LEFT(Table1[[#This Row],[Final Obj Name]],1)="/",LEFT(Table1[[#This Row],[Final Obj Name]],FIND("/",Table1[[#This Row],[Final Obj Name]],2)),"/0SAP/")</f>
        <v>/0SAP/</v>
      </c>
    </row>
    <row r="427">
      <c r="A427" t="str">
        <v>DTEL</v>
      </c>
      <c r="B427" t="str">
        <v>ZDEMDGC_TRA_SRCSYSTEM_ID</v>
      </c>
      <c r="C427" t="str">
        <v>DTED</v>
      </c>
      <c r="D427" t="str">
        <v>ZDEMDGC_TRA_SRCSYSTEM_ID</v>
      </c>
      <c r="G427" t="str">
        <v>ALL</v>
      </c>
      <c r="K427" t="str">
        <v>E</v>
      </c>
      <c r="L427" t="str">
        <v>NSHAIK</v>
      </c>
      <c r="M427">
        <v>46020</v>
      </c>
      <c r="N427">
        <v>0.30821759259259</v>
      </c>
      <c r="W427" t="str">
        <v>SP1K961294</v>
      </c>
      <c r="Y427">
        <f>IF(Table1[[#This Row],[OPERATION]]="NOTE","NOTE",Table1[[#This Row],[SUB_TYPE]])</f>
        <v>0</v>
      </c>
      <c r="Z427">
        <f>IF(Table1[[#This Row],[OPERATION]]="NOTE",NUMBERVALUE(LEFT(Table1[[#This Row],[MOD_NAME]],LEN(Table1[[#This Row],[MOD_NAME]])-4)),Table1[[#This Row],[SUB_NAME]])</f>
        <v>0</v>
      </c>
      <c r="AA427" t="str">
        <f>CONCAT(Table1[[#This Row],[Final Obj Type]],"|",Table1[[#This Row],[Final Obj Name]])</f>
        <v>0|0</v>
      </c>
      <c r="AB427" t="e">
        <f>VLOOKUP(Table1[[#This Row],[Final Obj Type]],Classification!B:E,3,FALSE)</f>
        <v>#N/A</v>
      </c>
      <c r="AC427" t="e">
        <f>VLOOKUP(Table1[[#This Row],[Final Obj Type]],Classification!B:E,4,FALSE)</f>
        <v>#N/A</v>
      </c>
      <c r="AD427" t="str">
        <f>IF(Table1[[#This Row],[Position 1]]=0,"/0SAP/",MID(Table1[[#This Row],[Final Obj Name]],Table1[[#This Row],[Position 1]],Table1[[#This Row],[Position 2]]-Table1[[#This Row],[Position 1]]+1))</f>
        <v>/0SAP/</v>
      </c>
      <c r="AE427" t="str">
        <f>VLOOKUP(Table1[[#This Row],[/* Object]],Namespace!A:J,10,FALSE)</f>
        <v>SAP AG</v>
      </c>
      <c r="AF427" t="str">
        <f>IF(VLOOKUP(Table1[[#This Row],[/* Object]],Namespace!A:J,4,FALSE)=0,"",VLOOKUP(Table1[[#This Row],[/* Object]],Namespace!A:J,4,FALSE))</f>
        <v>X</v>
      </c>
      <c r="AG427" t="str">
        <f>IF(VLOOKUP(Table1[[#This Row],[/* Object]],Namespace!A:J,5,FALSE)=0,"",VLOOKUP(Table1[[#This Row],[/* Object]],Namespace!A:J,5,FALSE))</f>
        <v>X</v>
      </c>
      <c r="AH427" t="str">
        <f>IF(VLOOKUP(Table1[[#This Row],[/* Object]],Namespace!A:J,6,FALSE)=0,"",VLOOKUP(Table1[[#This Row],[/* Object]],Namespace!A:J,6,FALSE))</f>
        <v/>
      </c>
      <c r="AI427">
        <f>IFERROR(FIND("/",Table1[[#This Row],[Final Obj Name]],1),0)</f>
        <v>0</v>
      </c>
      <c r="AJ427">
        <f>IF(Table1[[#This Row],[Position 1]]=0,0,FIND("/",Table1[[#This Row],[Final Obj Name]],Table1[[#This Row],[Position 1]]+1))</f>
        <v>0</v>
      </c>
      <c r="AK427" t="str">
        <f>IF(LEFT(Table1[[#This Row],[Final Obj Name]],1)="/",LEFT(Table1[[#This Row],[Final Obj Name]],FIND("/",Table1[[#This Row],[Final Obj Name]],2)),"/0SAP/")</f>
        <v>/0SAP/</v>
      </c>
    </row>
    <row r="428">
      <c r="A428" t="str">
        <v>DTEL</v>
      </c>
      <c r="B428" t="str">
        <v>ZDEMDGM_ID_TYPE</v>
      </c>
      <c r="C428" t="str">
        <v>DTED</v>
      </c>
      <c r="D428" t="str">
        <v>ZDEMDGM_ID_TYPE</v>
      </c>
      <c r="G428" t="str">
        <v>ALL</v>
      </c>
      <c r="K428" t="str">
        <v>E</v>
      </c>
      <c r="L428" t="str">
        <v>NSHAIK</v>
      </c>
      <c r="M428">
        <v>46020</v>
      </c>
      <c r="N428">
        <v>0.27734953703704</v>
      </c>
      <c r="W428" t="str">
        <v>SP1K961294</v>
      </c>
      <c r="Y428">
        <f>IF(Table1[[#This Row],[OPERATION]]="NOTE","NOTE",Table1[[#This Row],[SUB_TYPE]])</f>
        <v>0</v>
      </c>
      <c r="Z428">
        <f>IF(Table1[[#This Row],[OPERATION]]="NOTE",NUMBERVALUE(LEFT(Table1[[#This Row],[MOD_NAME]],LEN(Table1[[#This Row],[MOD_NAME]])-4)),Table1[[#This Row],[SUB_NAME]])</f>
        <v>0</v>
      </c>
      <c r="AA428" t="str">
        <f>CONCAT(Table1[[#This Row],[Final Obj Type]],"|",Table1[[#This Row],[Final Obj Name]])</f>
        <v>0|0</v>
      </c>
      <c r="AB428" t="e">
        <f>VLOOKUP(Table1[[#This Row],[Final Obj Type]],Classification!B:E,3,FALSE)</f>
        <v>#N/A</v>
      </c>
      <c r="AC428" t="e">
        <f>VLOOKUP(Table1[[#This Row],[Final Obj Type]],Classification!B:E,4,FALSE)</f>
        <v>#N/A</v>
      </c>
      <c r="AD428" t="str">
        <f>IF(Table1[[#This Row],[Position 1]]=0,"/0SAP/",MID(Table1[[#This Row],[Final Obj Name]],Table1[[#This Row],[Position 1]],Table1[[#This Row],[Position 2]]-Table1[[#This Row],[Position 1]]+1))</f>
        <v>/0SAP/</v>
      </c>
      <c r="AE428" t="str">
        <f>VLOOKUP(Table1[[#This Row],[/* Object]],Namespace!A:J,10,FALSE)</f>
        <v>SAP AG</v>
      </c>
      <c r="AF428" t="str">
        <f>IF(VLOOKUP(Table1[[#This Row],[/* Object]],Namespace!A:J,4,FALSE)=0,"",VLOOKUP(Table1[[#This Row],[/* Object]],Namespace!A:J,4,FALSE))</f>
        <v>X</v>
      </c>
      <c r="AG428" t="str">
        <f>IF(VLOOKUP(Table1[[#This Row],[/* Object]],Namespace!A:J,5,FALSE)=0,"",VLOOKUP(Table1[[#This Row],[/* Object]],Namespace!A:J,5,FALSE))</f>
        <v>X</v>
      </c>
      <c r="AH428" t="str">
        <f>IF(VLOOKUP(Table1[[#This Row],[/* Object]],Namespace!A:J,6,FALSE)=0,"",VLOOKUP(Table1[[#This Row],[/* Object]],Namespace!A:J,6,FALSE))</f>
        <v/>
      </c>
      <c r="AI428">
        <f>IFERROR(FIND("/",Table1[[#This Row],[Final Obj Name]],1),0)</f>
        <v>0</v>
      </c>
      <c r="AJ428">
        <f>IF(Table1[[#This Row],[Position 1]]=0,0,FIND("/",Table1[[#This Row],[Final Obj Name]],Table1[[#This Row],[Position 1]]+1))</f>
        <v>0</v>
      </c>
      <c r="AK428" t="str">
        <f>IF(LEFT(Table1[[#This Row],[Final Obj Name]],1)="/",LEFT(Table1[[#This Row],[Final Obj Name]],FIND("/",Table1[[#This Row],[Final Obj Name]],2)),"/0SAP/")</f>
        <v>/0SAP/</v>
      </c>
    </row>
    <row r="429">
      <c r="A429" t="str">
        <v>DTEL</v>
      </c>
      <c r="B429" t="str">
        <v>ZDEMDGM_REFERENCE_ACTIVE</v>
      </c>
      <c r="C429" t="str">
        <v>DTED</v>
      </c>
      <c r="D429" t="str">
        <v>ZDEMDGM_REFERENCE_ACTIVE</v>
      </c>
      <c r="G429" t="str">
        <v>ALL</v>
      </c>
      <c r="K429" t="str">
        <v>E</v>
      </c>
      <c r="L429" t="str">
        <v>NSHAIK</v>
      </c>
      <c r="M429">
        <v>46020</v>
      </c>
      <c r="N429">
        <v>0.27789351851852</v>
      </c>
      <c r="W429" t="str">
        <v>SP1K961294</v>
      </c>
      <c r="Y429">
        <f>IF(Table1[[#This Row],[OPERATION]]="NOTE","NOTE",Table1[[#This Row],[SUB_TYPE]])</f>
        <v>0</v>
      </c>
      <c r="Z429">
        <f>IF(Table1[[#This Row],[OPERATION]]="NOTE",NUMBERVALUE(LEFT(Table1[[#This Row],[MOD_NAME]],LEN(Table1[[#This Row],[MOD_NAME]])-4)),Table1[[#This Row],[SUB_NAME]])</f>
        <v>0</v>
      </c>
      <c r="AA429" t="str">
        <f>CONCAT(Table1[[#This Row],[Final Obj Type]],"|",Table1[[#This Row],[Final Obj Name]])</f>
        <v>0|0</v>
      </c>
      <c r="AB429" t="e">
        <f>VLOOKUP(Table1[[#This Row],[Final Obj Type]],Classification!B:E,3,FALSE)</f>
        <v>#N/A</v>
      </c>
      <c r="AC429" t="e">
        <f>VLOOKUP(Table1[[#This Row],[Final Obj Type]],Classification!B:E,4,FALSE)</f>
        <v>#N/A</v>
      </c>
      <c r="AD429" t="str">
        <f>IF(Table1[[#This Row],[Position 1]]=0,"/0SAP/",MID(Table1[[#This Row],[Final Obj Name]],Table1[[#This Row],[Position 1]],Table1[[#This Row],[Position 2]]-Table1[[#This Row],[Position 1]]+1))</f>
        <v>/0SAP/</v>
      </c>
      <c r="AE429" t="str">
        <f>VLOOKUP(Table1[[#This Row],[/* Object]],Namespace!A:J,10,FALSE)</f>
        <v>SAP AG</v>
      </c>
      <c r="AF429" t="str">
        <f>IF(VLOOKUP(Table1[[#This Row],[/* Object]],Namespace!A:J,4,FALSE)=0,"",VLOOKUP(Table1[[#This Row],[/* Object]],Namespace!A:J,4,FALSE))</f>
        <v>X</v>
      </c>
      <c r="AG429" t="str">
        <f>IF(VLOOKUP(Table1[[#This Row],[/* Object]],Namespace!A:J,5,FALSE)=0,"",VLOOKUP(Table1[[#This Row],[/* Object]],Namespace!A:J,5,FALSE))</f>
        <v>X</v>
      </c>
      <c r="AH429" t="str">
        <f>IF(VLOOKUP(Table1[[#This Row],[/* Object]],Namespace!A:J,6,FALSE)=0,"",VLOOKUP(Table1[[#This Row],[/* Object]],Namespace!A:J,6,FALSE))</f>
        <v/>
      </c>
      <c r="AI429">
        <f>IFERROR(FIND("/",Table1[[#This Row],[Final Obj Name]],1),0)</f>
        <v>0</v>
      </c>
      <c r="AJ429">
        <f>IF(Table1[[#This Row],[Position 1]]=0,0,FIND("/",Table1[[#This Row],[Final Obj Name]],Table1[[#This Row],[Position 1]]+1))</f>
        <v>0</v>
      </c>
      <c r="AK429" t="str">
        <f>IF(LEFT(Table1[[#This Row],[Final Obj Name]],1)="/",LEFT(Table1[[#This Row],[Final Obj Name]],FIND("/",Table1[[#This Row],[Final Obj Name]],2)),"/0SAP/")</f>
        <v>/0SAP/</v>
      </c>
    </row>
    <row r="430">
      <c r="A430" t="str">
        <v>DTEL</v>
      </c>
      <c r="B430" t="str">
        <v>ZDEMDGM_REFERENCE_MATERIAL</v>
      </c>
      <c r="C430" t="str">
        <v>DTED</v>
      </c>
      <c r="D430" t="str">
        <v>ZDEMDGM_REFERENCE_MATERIAL</v>
      </c>
      <c r="G430" t="str">
        <v>ALL</v>
      </c>
      <c r="K430" t="str">
        <v>E</v>
      </c>
      <c r="L430" t="str">
        <v>NSHAIK</v>
      </c>
      <c r="M430">
        <v>46020</v>
      </c>
      <c r="N430">
        <v>0.28766203703704</v>
      </c>
      <c r="W430" t="str">
        <v>SP1K961294</v>
      </c>
      <c r="Y430">
        <f>IF(Table1[[#This Row],[OPERATION]]="NOTE","NOTE",Table1[[#This Row],[SUB_TYPE]])</f>
        <v>0</v>
      </c>
      <c r="Z430">
        <f>IF(Table1[[#This Row],[OPERATION]]="NOTE",NUMBERVALUE(LEFT(Table1[[#This Row],[MOD_NAME]],LEN(Table1[[#This Row],[MOD_NAME]])-4)),Table1[[#This Row],[SUB_NAME]])</f>
        <v>0</v>
      </c>
      <c r="AA430" t="str">
        <f>CONCAT(Table1[[#This Row],[Final Obj Type]],"|",Table1[[#This Row],[Final Obj Name]])</f>
        <v>0|0</v>
      </c>
      <c r="AB430" t="e">
        <f>VLOOKUP(Table1[[#This Row],[Final Obj Type]],Classification!B:E,3,FALSE)</f>
        <v>#N/A</v>
      </c>
      <c r="AC430" t="e">
        <f>VLOOKUP(Table1[[#This Row],[Final Obj Type]],Classification!B:E,4,FALSE)</f>
        <v>#N/A</v>
      </c>
      <c r="AD430" t="str">
        <f>IF(Table1[[#This Row],[Position 1]]=0,"/0SAP/",MID(Table1[[#This Row],[Final Obj Name]],Table1[[#This Row],[Position 1]],Table1[[#This Row],[Position 2]]-Table1[[#This Row],[Position 1]]+1))</f>
        <v>/0SAP/</v>
      </c>
      <c r="AE430" t="str">
        <f>VLOOKUP(Table1[[#This Row],[/* Object]],Namespace!A:J,10,FALSE)</f>
        <v>SAP AG</v>
      </c>
      <c r="AF430" t="str">
        <f>IF(VLOOKUP(Table1[[#This Row],[/* Object]],Namespace!A:J,4,FALSE)=0,"",VLOOKUP(Table1[[#This Row],[/* Object]],Namespace!A:J,4,FALSE))</f>
        <v>X</v>
      </c>
      <c r="AG430" t="str">
        <f>IF(VLOOKUP(Table1[[#This Row],[/* Object]],Namespace!A:J,5,FALSE)=0,"",VLOOKUP(Table1[[#This Row],[/* Object]],Namespace!A:J,5,FALSE))</f>
        <v>X</v>
      </c>
      <c r="AH430" t="str">
        <f>IF(VLOOKUP(Table1[[#This Row],[/* Object]],Namespace!A:J,6,FALSE)=0,"",VLOOKUP(Table1[[#This Row],[/* Object]],Namespace!A:J,6,FALSE))</f>
        <v/>
      </c>
      <c r="AI430">
        <f>IFERROR(FIND("/",Table1[[#This Row],[Final Obj Name]],1),0)</f>
        <v>0</v>
      </c>
      <c r="AJ430">
        <f>IF(Table1[[#This Row],[Position 1]]=0,0,FIND("/",Table1[[#This Row],[Final Obj Name]],Table1[[#This Row],[Position 1]]+1))</f>
        <v>0</v>
      </c>
      <c r="AK430" t="str">
        <f>IF(LEFT(Table1[[#This Row],[Final Obj Name]],1)="/",LEFT(Table1[[#This Row],[Final Obj Name]],FIND("/",Table1[[#This Row],[Final Obj Name]],2)),"/0SAP/")</f>
        <v>/0SAP/</v>
      </c>
    </row>
    <row r="431">
      <c r="A431" t="str">
        <v>DTEL</v>
      </c>
      <c r="B431" t="str">
        <v>ZDEMDGS_COMMODITY</v>
      </c>
      <c r="C431" t="str">
        <v>DTED</v>
      </c>
      <c r="D431" t="str">
        <v>ZDEMDGS_COMMODITY</v>
      </c>
      <c r="G431" t="str">
        <v>ALL</v>
      </c>
      <c r="K431" t="str">
        <v>E</v>
      </c>
      <c r="L431" t="str">
        <v>NSHAIK</v>
      </c>
      <c r="M431">
        <v>46013</v>
      </c>
      <c r="N431">
        <v>0.28523148148148</v>
      </c>
      <c r="W431" t="str">
        <v>SP1K961121</v>
      </c>
      <c r="Y431">
        <f>IF(Table1[[#This Row],[OPERATION]]="NOTE","NOTE",Table1[[#This Row],[SUB_TYPE]])</f>
        <v>0</v>
      </c>
      <c r="Z431">
        <f>IF(Table1[[#This Row],[OPERATION]]="NOTE",NUMBERVALUE(LEFT(Table1[[#This Row],[MOD_NAME]],LEN(Table1[[#This Row],[MOD_NAME]])-4)),Table1[[#This Row],[SUB_NAME]])</f>
        <v>0</v>
      </c>
      <c r="AA431" t="str">
        <f>CONCAT(Table1[[#This Row],[Final Obj Type]],"|",Table1[[#This Row],[Final Obj Name]])</f>
        <v>0|0</v>
      </c>
      <c r="AB431" t="e">
        <f>VLOOKUP(Table1[[#This Row],[Final Obj Type]],Classification!B:E,3,FALSE)</f>
        <v>#N/A</v>
      </c>
      <c r="AC431" t="e">
        <f>VLOOKUP(Table1[[#This Row],[Final Obj Type]],Classification!B:E,4,FALSE)</f>
        <v>#N/A</v>
      </c>
      <c r="AD431" t="str">
        <f>IF(Table1[[#This Row],[Position 1]]=0,"/0SAP/",MID(Table1[[#This Row],[Final Obj Name]],Table1[[#This Row],[Position 1]],Table1[[#This Row],[Position 2]]-Table1[[#This Row],[Position 1]]+1))</f>
        <v>/0SAP/</v>
      </c>
      <c r="AE431" t="str">
        <f>VLOOKUP(Table1[[#This Row],[/* Object]],Namespace!A:J,10,FALSE)</f>
        <v>SAP AG</v>
      </c>
      <c r="AF431" t="str">
        <f>IF(VLOOKUP(Table1[[#This Row],[/* Object]],Namespace!A:J,4,FALSE)=0,"",VLOOKUP(Table1[[#This Row],[/* Object]],Namespace!A:J,4,FALSE))</f>
        <v>X</v>
      </c>
      <c r="AG431" t="str">
        <f>IF(VLOOKUP(Table1[[#This Row],[/* Object]],Namespace!A:J,5,FALSE)=0,"",VLOOKUP(Table1[[#This Row],[/* Object]],Namespace!A:J,5,FALSE))</f>
        <v>X</v>
      </c>
      <c r="AH431" t="str">
        <f>IF(VLOOKUP(Table1[[#This Row],[/* Object]],Namespace!A:J,6,FALSE)=0,"",VLOOKUP(Table1[[#This Row],[/* Object]],Namespace!A:J,6,FALSE))</f>
        <v/>
      </c>
      <c r="AI431">
        <f>IFERROR(FIND("/",Table1[[#This Row],[Final Obj Name]],1),0)</f>
        <v>0</v>
      </c>
      <c r="AJ431">
        <f>IF(Table1[[#This Row],[Position 1]]=0,0,FIND("/",Table1[[#This Row],[Final Obj Name]],Table1[[#This Row],[Position 1]]+1))</f>
        <v>0</v>
      </c>
      <c r="AK431" t="str">
        <f>IF(LEFT(Table1[[#This Row],[Final Obj Name]],1)="/",LEFT(Table1[[#This Row],[Final Obj Name]],FIND("/",Table1[[#This Row],[Final Obj Name]],2)),"/0SAP/")</f>
        <v>/0SAP/</v>
      </c>
    </row>
    <row r="432">
      <c r="A432" t="str">
        <v>DTEL</v>
      </c>
      <c r="B432" t="str">
        <v>ZDEMDGS_COMMODITY_DIR_ROLE</v>
      </c>
      <c r="C432" t="str">
        <v>DTED</v>
      </c>
      <c r="D432" t="str">
        <v>ZDEMDGS_COMMODITY_DIR_ROLE</v>
      </c>
      <c r="G432" t="str">
        <v>ALL</v>
      </c>
      <c r="K432" t="str">
        <v>E</v>
      </c>
      <c r="L432" t="str">
        <v>NSHAIK</v>
      </c>
      <c r="M432">
        <v>46013</v>
      </c>
      <c r="N432">
        <v>0.28560185185185</v>
      </c>
      <c r="W432" t="str">
        <v>SP1K961121</v>
      </c>
      <c r="Y432">
        <f>IF(Table1[[#This Row],[OPERATION]]="NOTE","NOTE",Table1[[#This Row],[SUB_TYPE]])</f>
        <v>0</v>
      </c>
      <c r="Z432">
        <f>IF(Table1[[#This Row],[OPERATION]]="NOTE",NUMBERVALUE(LEFT(Table1[[#This Row],[MOD_NAME]],LEN(Table1[[#This Row],[MOD_NAME]])-4)),Table1[[#This Row],[SUB_NAME]])</f>
        <v>0</v>
      </c>
      <c r="AA432" t="str">
        <f>CONCAT(Table1[[#This Row],[Final Obj Type]],"|",Table1[[#This Row],[Final Obj Name]])</f>
        <v>0|0</v>
      </c>
      <c r="AB432" t="e">
        <f>VLOOKUP(Table1[[#This Row],[Final Obj Type]],Classification!B:E,3,FALSE)</f>
        <v>#N/A</v>
      </c>
      <c r="AC432" t="e">
        <f>VLOOKUP(Table1[[#This Row],[Final Obj Type]],Classification!B:E,4,FALSE)</f>
        <v>#N/A</v>
      </c>
      <c r="AD432" t="str">
        <f>IF(Table1[[#This Row],[Position 1]]=0,"/0SAP/",MID(Table1[[#This Row],[Final Obj Name]],Table1[[#This Row],[Position 1]],Table1[[#This Row],[Position 2]]-Table1[[#This Row],[Position 1]]+1))</f>
        <v>/0SAP/</v>
      </c>
      <c r="AE432" t="str">
        <f>VLOOKUP(Table1[[#This Row],[/* Object]],Namespace!A:J,10,FALSE)</f>
        <v>SAP AG</v>
      </c>
      <c r="AF432" t="str">
        <f>IF(VLOOKUP(Table1[[#This Row],[/* Object]],Namespace!A:J,4,FALSE)=0,"",VLOOKUP(Table1[[#This Row],[/* Object]],Namespace!A:J,4,FALSE))</f>
        <v>X</v>
      </c>
      <c r="AG432" t="str">
        <f>IF(VLOOKUP(Table1[[#This Row],[/* Object]],Namespace!A:J,5,FALSE)=0,"",VLOOKUP(Table1[[#This Row],[/* Object]],Namespace!A:J,5,FALSE))</f>
        <v>X</v>
      </c>
      <c r="AH432" t="str">
        <f>IF(VLOOKUP(Table1[[#This Row],[/* Object]],Namespace!A:J,6,FALSE)=0,"",VLOOKUP(Table1[[#This Row],[/* Object]],Namespace!A:J,6,FALSE))</f>
        <v/>
      </c>
      <c r="AI432">
        <f>IFERROR(FIND("/",Table1[[#This Row],[Final Obj Name]],1),0)</f>
        <v>0</v>
      </c>
      <c r="AJ432">
        <f>IF(Table1[[#This Row],[Position 1]]=0,0,FIND("/",Table1[[#This Row],[Final Obj Name]],Table1[[#This Row],[Position 1]]+1))</f>
        <v>0</v>
      </c>
      <c r="AK432" t="str">
        <f>IF(LEFT(Table1[[#This Row],[Final Obj Name]],1)="/",LEFT(Table1[[#This Row],[Final Obj Name]],FIND("/",Table1[[#This Row],[Final Obj Name]],2)),"/0SAP/")</f>
        <v>/0SAP/</v>
      </c>
    </row>
    <row r="433">
      <c r="A433" t="str">
        <v>DTEL</v>
      </c>
      <c r="B433" t="str">
        <v>ZDEMDGS_COMMODITY_ID</v>
      </c>
      <c r="C433" t="str">
        <v>DTED</v>
      </c>
      <c r="D433" t="str">
        <v>ZDEMDGS_COMMODITY_ID</v>
      </c>
      <c r="G433" t="str">
        <v>ALL</v>
      </c>
      <c r="K433" t="str">
        <v>E</v>
      </c>
      <c r="L433" t="str">
        <v>NSHAIK</v>
      </c>
      <c r="M433">
        <v>46013</v>
      </c>
      <c r="N433">
        <v>0.28578703703704</v>
      </c>
      <c r="W433" t="str">
        <v>SP1K961121</v>
      </c>
      <c r="Y433">
        <f>IF(Table1[[#This Row],[OPERATION]]="NOTE","NOTE",Table1[[#This Row],[SUB_TYPE]])</f>
        <v>0</v>
      </c>
      <c r="Z433">
        <f>IF(Table1[[#This Row],[OPERATION]]="NOTE",NUMBERVALUE(LEFT(Table1[[#This Row],[MOD_NAME]],LEN(Table1[[#This Row],[MOD_NAME]])-4)),Table1[[#This Row],[SUB_NAME]])</f>
        <v>0</v>
      </c>
      <c r="AA433" t="str">
        <f>CONCAT(Table1[[#This Row],[Final Obj Type]],"|",Table1[[#This Row],[Final Obj Name]])</f>
        <v>0|0</v>
      </c>
      <c r="AB433" t="e">
        <f>VLOOKUP(Table1[[#This Row],[Final Obj Type]],Classification!B:E,3,FALSE)</f>
        <v>#N/A</v>
      </c>
      <c r="AC433" t="e">
        <f>VLOOKUP(Table1[[#This Row],[Final Obj Type]],Classification!B:E,4,FALSE)</f>
        <v>#N/A</v>
      </c>
      <c r="AD433" t="str">
        <f>IF(Table1[[#This Row],[Position 1]]=0,"/0SAP/",MID(Table1[[#This Row],[Final Obj Name]],Table1[[#This Row],[Position 1]],Table1[[#This Row],[Position 2]]-Table1[[#This Row],[Position 1]]+1))</f>
        <v>/0SAP/</v>
      </c>
      <c r="AE433" t="str">
        <f>VLOOKUP(Table1[[#This Row],[/* Object]],Namespace!A:J,10,FALSE)</f>
        <v>SAP AG</v>
      </c>
      <c r="AF433" t="str">
        <f>IF(VLOOKUP(Table1[[#This Row],[/* Object]],Namespace!A:J,4,FALSE)=0,"",VLOOKUP(Table1[[#This Row],[/* Object]],Namespace!A:J,4,FALSE))</f>
        <v>X</v>
      </c>
      <c r="AG433" t="str">
        <f>IF(VLOOKUP(Table1[[#This Row],[/* Object]],Namespace!A:J,5,FALSE)=0,"",VLOOKUP(Table1[[#This Row],[/* Object]],Namespace!A:J,5,FALSE))</f>
        <v>X</v>
      </c>
      <c r="AH433" t="str">
        <f>IF(VLOOKUP(Table1[[#This Row],[/* Object]],Namespace!A:J,6,FALSE)=0,"",VLOOKUP(Table1[[#This Row],[/* Object]],Namespace!A:J,6,FALSE))</f>
        <v/>
      </c>
      <c r="AI433">
        <f>IFERROR(FIND("/",Table1[[#This Row],[Final Obj Name]],1),0)</f>
        <v>0</v>
      </c>
      <c r="AJ433">
        <f>IF(Table1[[#This Row],[Position 1]]=0,0,FIND("/",Table1[[#This Row],[Final Obj Name]],Table1[[#This Row],[Position 1]]+1))</f>
        <v>0</v>
      </c>
      <c r="AK433" t="str">
        <f>IF(LEFT(Table1[[#This Row],[Final Obj Name]],1)="/",LEFT(Table1[[#This Row],[Final Obj Name]],FIND("/",Table1[[#This Row],[Final Obj Name]],2)),"/0SAP/")</f>
        <v>/0SAP/</v>
      </c>
    </row>
    <row r="434">
      <c r="A434" t="str">
        <v>DTEL</v>
      </c>
      <c r="B434" t="str">
        <v>ZDEMDGS_COMMODITY_MGR_ROLE</v>
      </c>
      <c r="C434" t="str">
        <v>DTED</v>
      </c>
      <c r="D434" t="str">
        <v>ZDEMDGS_COMMODITY_MGR_ROLE</v>
      </c>
      <c r="G434" t="str">
        <v>ALL</v>
      </c>
      <c r="K434" t="str">
        <v>E</v>
      </c>
      <c r="L434" t="str">
        <v>NSHAIK</v>
      </c>
      <c r="M434">
        <v>46013</v>
      </c>
      <c r="N434">
        <v>0.28599537037037</v>
      </c>
      <c r="W434" t="str">
        <v>SP1K961121</v>
      </c>
      <c r="Y434">
        <f>IF(Table1[[#This Row],[OPERATION]]="NOTE","NOTE",Table1[[#This Row],[SUB_TYPE]])</f>
        <v>0</v>
      </c>
      <c r="Z434">
        <f>IF(Table1[[#This Row],[OPERATION]]="NOTE",NUMBERVALUE(LEFT(Table1[[#This Row],[MOD_NAME]],LEN(Table1[[#This Row],[MOD_NAME]])-4)),Table1[[#This Row],[SUB_NAME]])</f>
        <v>0</v>
      </c>
      <c r="AA434" t="str">
        <f>CONCAT(Table1[[#This Row],[Final Obj Type]],"|",Table1[[#This Row],[Final Obj Name]])</f>
        <v>0|0</v>
      </c>
      <c r="AB434" t="e">
        <f>VLOOKUP(Table1[[#This Row],[Final Obj Type]],Classification!B:E,3,FALSE)</f>
        <v>#N/A</v>
      </c>
      <c r="AC434" t="e">
        <f>VLOOKUP(Table1[[#This Row],[Final Obj Type]],Classification!B:E,4,FALSE)</f>
        <v>#N/A</v>
      </c>
      <c r="AD434" t="str">
        <f>IF(Table1[[#This Row],[Position 1]]=0,"/0SAP/",MID(Table1[[#This Row],[Final Obj Name]],Table1[[#This Row],[Position 1]],Table1[[#This Row],[Position 2]]-Table1[[#This Row],[Position 1]]+1))</f>
        <v>/0SAP/</v>
      </c>
      <c r="AE434" t="str">
        <f>VLOOKUP(Table1[[#This Row],[/* Object]],Namespace!A:J,10,FALSE)</f>
        <v>SAP AG</v>
      </c>
      <c r="AF434" t="str">
        <f>IF(VLOOKUP(Table1[[#This Row],[/* Object]],Namespace!A:J,4,FALSE)=0,"",VLOOKUP(Table1[[#This Row],[/* Object]],Namespace!A:J,4,FALSE))</f>
        <v>X</v>
      </c>
      <c r="AG434" t="str">
        <f>IF(VLOOKUP(Table1[[#This Row],[/* Object]],Namespace!A:J,5,FALSE)=0,"",VLOOKUP(Table1[[#This Row],[/* Object]],Namespace!A:J,5,FALSE))</f>
        <v>X</v>
      </c>
      <c r="AH434" t="str">
        <f>IF(VLOOKUP(Table1[[#This Row],[/* Object]],Namespace!A:J,6,FALSE)=0,"",VLOOKUP(Table1[[#This Row],[/* Object]],Namespace!A:J,6,FALSE))</f>
        <v/>
      </c>
      <c r="AI434">
        <f>IFERROR(FIND("/",Table1[[#This Row],[Final Obj Name]],1),0)</f>
        <v>0</v>
      </c>
      <c r="AJ434">
        <f>IF(Table1[[#This Row],[Position 1]]=0,0,FIND("/",Table1[[#This Row],[Final Obj Name]],Table1[[#This Row],[Position 1]]+1))</f>
        <v>0</v>
      </c>
      <c r="AK434" t="str">
        <f>IF(LEFT(Table1[[#This Row],[Final Obj Name]],1)="/",LEFT(Table1[[#This Row],[Final Obj Name]],FIND("/",Table1[[#This Row],[Final Obj Name]],2)),"/0SAP/")</f>
        <v>/0SAP/</v>
      </c>
    </row>
    <row r="435">
      <c r="A435" t="str">
        <v>DTEL</v>
      </c>
      <c r="B435" t="str">
        <v>ZDEMDGS_COMMODITY_REGION</v>
      </c>
      <c r="C435" t="str">
        <v>DTED</v>
      </c>
      <c r="D435" t="str">
        <v>ZDEMDGS_COMMODITY_REGION</v>
      </c>
      <c r="G435" t="str">
        <v>ALL</v>
      </c>
      <c r="K435" t="str">
        <v>E</v>
      </c>
      <c r="L435" t="str">
        <v>NSHAIK</v>
      </c>
      <c r="M435">
        <v>46013</v>
      </c>
      <c r="N435">
        <v>0.2862037037037</v>
      </c>
      <c r="W435" t="str">
        <v>SP1K961121</v>
      </c>
      <c r="Y435">
        <f>IF(Table1[[#This Row],[OPERATION]]="NOTE","NOTE",Table1[[#This Row],[SUB_TYPE]])</f>
        <v>0</v>
      </c>
      <c r="Z435">
        <f>IF(Table1[[#This Row],[OPERATION]]="NOTE",NUMBERVALUE(LEFT(Table1[[#This Row],[MOD_NAME]],LEN(Table1[[#This Row],[MOD_NAME]])-4)),Table1[[#This Row],[SUB_NAME]])</f>
        <v>0</v>
      </c>
      <c r="AA435" t="str">
        <f>CONCAT(Table1[[#This Row],[Final Obj Type]],"|",Table1[[#This Row],[Final Obj Name]])</f>
        <v>0|0</v>
      </c>
      <c r="AB435" t="e">
        <f>VLOOKUP(Table1[[#This Row],[Final Obj Type]],Classification!B:E,3,FALSE)</f>
        <v>#N/A</v>
      </c>
      <c r="AC435" t="e">
        <f>VLOOKUP(Table1[[#This Row],[Final Obj Type]],Classification!B:E,4,FALSE)</f>
        <v>#N/A</v>
      </c>
      <c r="AD435" t="str">
        <f>IF(Table1[[#This Row],[Position 1]]=0,"/0SAP/",MID(Table1[[#This Row],[Final Obj Name]],Table1[[#This Row],[Position 1]],Table1[[#This Row],[Position 2]]-Table1[[#This Row],[Position 1]]+1))</f>
        <v>/0SAP/</v>
      </c>
      <c r="AE435" t="str">
        <f>VLOOKUP(Table1[[#This Row],[/* Object]],Namespace!A:J,10,FALSE)</f>
        <v>SAP AG</v>
      </c>
      <c r="AF435" t="str">
        <f>IF(VLOOKUP(Table1[[#This Row],[/* Object]],Namespace!A:J,4,FALSE)=0,"",VLOOKUP(Table1[[#This Row],[/* Object]],Namespace!A:J,4,FALSE))</f>
        <v>X</v>
      </c>
      <c r="AG435" t="str">
        <f>IF(VLOOKUP(Table1[[#This Row],[/* Object]],Namespace!A:J,5,FALSE)=0,"",VLOOKUP(Table1[[#This Row],[/* Object]],Namespace!A:J,5,FALSE))</f>
        <v>X</v>
      </c>
      <c r="AH435" t="str">
        <f>IF(VLOOKUP(Table1[[#This Row],[/* Object]],Namespace!A:J,6,FALSE)=0,"",VLOOKUP(Table1[[#This Row],[/* Object]],Namespace!A:J,6,FALSE))</f>
        <v/>
      </c>
      <c r="AI435">
        <f>IFERROR(FIND("/",Table1[[#This Row],[Final Obj Name]],1),0)</f>
        <v>0</v>
      </c>
      <c r="AJ435">
        <f>IF(Table1[[#This Row],[Position 1]]=0,0,FIND("/",Table1[[#This Row],[Final Obj Name]],Table1[[#This Row],[Position 1]]+1))</f>
        <v>0</v>
      </c>
      <c r="AK435" t="str">
        <f>IF(LEFT(Table1[[#This Row],[Final Obj Name]],1)="/",LEFT(Table1[[#This Row],[Final Obj Name]],FIND("/",Table1[[#This Row],[Final Obj Name]],2)),"/0SAP/")</f>
        <v>/0SAP/</v>
      </c>
    </row>
    <row r="436">
      <c r="A436" t="str">
        <v>DTEL</v>
      </c>
      <c r="B436" t="str">
        <v>ZDEMDGS_ERPINST</v>
      </c>
      <c r="C436" t="str">
        <v>DTED</v>
      </c>
      <c r="D436" t="str">
        <v>ZDEMDGS_ERPINST</v>
      </c>
      <c r="G436" t="str">
        <v>ALL</v>
      </c>
      <c r="K436" t="str">
        <v>E</v>
      </c>
      <c r="L436" t="str">
        <v>NSHAIK</v>
      </c>
      <c r="M436">
        <v>46013</v>
      </c>
      <c r="N436">
        <v>0.23976851851852</v>
      </c>
      <c r="W436" t="str">
        <v>SP1K961121</v>
      </c>
      <c r="Y436">
        <f>IF(Table1[[#This Row],[OPERATION]]="NOTE","NOTE",Table1[[#This Row],[SUB_TYPE]])</f>
        <v>0</v>
      </c>
      <c r="Z436">
        <f>IF(Table1[[#This Row],[OPERATION]]="NOTE",NUMBERVALUE(LEFT(Table1[[#This Row],[MOD_NAME]],LEN(Table1[[#This Row],[MOD_NAME]])-4)),Table1[[#This Row],[SUB_NAME]])</f>
        <v>0</v>
      </c>
      <c r="AA436" t="str">
        <f>CONCAT(Table1[[#This Row],[Final Obj Type]],"|",Table1[[#This Row],[Final Obj Name]])</f>
        <v>0|0</v>
      </c>
      <c r="AB436" t="e">
        <f>VLOOKUP(Table1[[#This Row],[Final Obj Type]],Classification!B:E,3,FALSE)</f>
        <v>#N/A</v>
      </c>
      <c r="AC436" t="e">
        <f>VLOOKUP(Table1[[#This Row],[Final Obj Type]],Classification!B:E,4,FALSE)</f>
        <v>#N/A</v>
      </c>
      <c r="AD436" t="str">
        <f>IF(Table1[[#This Row],[Position 1]]=0,"/0SAP/",MID(Table1[[#This Row],[Final Obj Name]],Table1[[#This Row],[Position 1]],Table1[[#This Row],[Position 2]]-Table1[[#This Row],[Position 1]]+1))</f>
        <v>/0SAP/</v>
      </c>
      <c r="AE436" t="str">
        <f>VLOOKUP(Table1[[#This Row],[/* Object]],Namespace!A:J,10,FALSE)</f>
        <v>SAP AG</v>
      </c>
      <c r="AF436" t="str">
        <f>IF(VLOOKUP(Table1[[#This Row],[/* Object]],Namespace!A:J,4,FALSE)=0,"",VLOOKUP(Table1[[#This Row],[/* Object]],Namespace!A:J,4,FALSE))</f>
        <v>X</v>
      </c>
      <c r="AG436" t="str">
        <f>IF(VLOOKUP(Table1[[#This Row],[/* Object]],Namespace!A:J,5,FALSE)=0,"",VLOOKUP(Table1[[#This Row],[/* Object]],Namespace!A:J,5,FALSE))</f>
        <v>X</v>
      </c>
      <c r="AH436" t="str">
        <f>IF(VLOOKUP(Table1[[#This Row],[/* Object]],Namespace!A:J,6,FALSE)=0,"",VLOOKUP(Table1[[#This Row],[/* Object]],Namespace!A:J,6,FALSE))</f>
        <v/>
      </c>
      <c r="AI436">
        <f>IFERROR(FIND("/",Table1[[#This Row],[Final Obj Name]],1),0)</f>
        <v>0</v>
      </c>
      <c r="AJ436">
        <f>IF(Table1[[#This Row],[Position 1]]=0,0,FIND("/",Table1[[#This Row],[Final Obj Name]],Table1[[#This Row],[Position 1]]+1))</f>
        <v>0</v>
      </c>
      <c r="AK436" t="str">
        <f>IF(LEFT(Table1[[#This Row],[Final Obj Name]],1)="/",LEFT(Table1[[#This Row],[Final Obj Name]],FIND("/",Table1[[#This Row],[Final Obj Name]],2)),"/0SAP/")</f>
        <v>/0SAP/</v>
      </c>
    </row>
    <row r="437">
      <c r="A437" t="str">
        <v>DTEL</v>
      </c>
      <c r="B437" t="str">
        <v>ZDEMDGS_GEOGRAPHY</v>
      </c>
      <c r="C437" t="str">
        <v>DTED</v>
      </c>
      <c r="D437" t="str">
        <v>ZDEMDGS_GEOGRAPHY</v>
      </c>
      <c r="G437" t="str">
        <v>ALL</v>
      </c>
      <c r="K437" t="str">
        <v>E</v>
      </c>
      <c r="L437" t="str">
        <v>NSHAIK</v>
      </c>
      <c r="M437">
        <v>46013</v>
      </c>
      <c r="N437">
        <v>0.24013888888889</v>
      </c>
      <c r="W437" t="str">
        <v>SP1K961121</v>
      </c>
      <c r="Y437">
        <f>IF(Table1[[#This Row],[OPERATION]]="NOTE","NOTE",Table1[[#This Row],[SUB_TYPE]])</f>
        <v>0</v>
      </c>
      <c r="Z437">
        <f>IF(Table1[[#This Row],[OPERATION]]="NOTE",NUMBERVALUE(LEFT(Table1[[#This Row],[MOD_NAME]],LEN(Table1[[#This Row],[MOD_NAME]])-4)),Table1[[#This Row],[SUB_NAME]])</f>
        <v>0</v>
      </c>
      <c r="AA437" t="str">
        <f>CONCAT(Table1[[#This Row],[Final Obj Type]],"|",Table1[[#This Row],[Final Obj Name]])</f>
        <v>0|0</v>
      </c>
      <c r="AB437" t="e">
        <f>VLOOKUP(Table1[[#This Row],[Final Obj Type]],Classification!B:E,3,FALSE)</f>
        <v>#N/A</v>
      </c>
      <c r="AC437" t="e">
        <f>VLOOKUP(Table1[[#This Row],[Final Obj Type]],Classification!B:E,4,FALSE)</f>
        <v>#N/A</v>
      </c>
      <c r="AD437" t="str">
        <f>IF(Table1[[#This Row],[Position 1]]=0,"/0SAP/",MID(Table1[[#This Row],[Final Obj Name]],Table1[[#This Row],[Position 1]],Table1[[#This Row],[Position 2]]-Table1[[#This Row],[Position 1]]+1))</f>
        <v>/0SAP/</v>
      </c>
      <c r="AE437" t="str">
        <f>VLOOKUP(Table1[[#This Row],[/* Object]],Namespace!A:J,10,FALSE)</f>
        <v>SAP AG</v>
      </c>
      <c r="AF437" t="str">
        <f>IF(VLOOKUP(Table1[[#This Row],[/* Object]],Namespace!A:J,4,FALSE)=0,"",VLOOKUP(Table1[[#This Row],[/* Object]],Namespace!A:J,4,FALSE))</f>
        <v>X</v>
      </c>
      <c r="AG437" t="str">
        <f>IF(VLOOKUP(Table1[[#This Row],[/* Object]],Namespace!A:J,5,FALSE)=0,"",VLOOKUP(Table1[[#This Row],[/* Object]],Namespace!A:J,5,FALSE))</f>
        <v>X</v>
      </c>
      <c r="AH437" t="str">
        <f>IF(VLOOKUP(Table1[[#This Row],[/* Object]],Namespace!A:J,6,FALSE)=0,"",VLOOKUP(Table1[[#This Row],[/* Object]],Namespace!A:J,6,FALSE))</f>
        <v/>
      </c>
      <c r="AI437">
        <f>IFERROR(FIND("/",Table1[[#This Row],[Final Obj Name]],1),0)</f>
        <v>0</v>
      </c>
      <c r="AJ437">
        <f>IF(Table1[[#This Row],[Position 1]]=0,0,FIND("/",Table1[[#This Row],[Final Obj Name]],Table1[[#This Row],[Position 1]]+1))</f>
        <v>0</v>
      </c>
      <c r="AK437" t="str">
        <f>IF(LEFT(Table1[[#This Row],[Final Obj Name]],1)="/",LEFT(Table1[[#This Row],[Final Obj Name]],FIND("/",Table1[[#This Row],[Final Obj Name]],2)),"/0SAP/")</f>
        <v>/0SAP/</v>
      </c>
    </row>
    <row r="438">
      <c r="A438" t="str">
        <v>DTEL</v>
      </c>
      <c r="B438" t="str">
        <v>ZDEMDGS_PRIORITY_DUE_DATE_MSG</v>
      </c>
      <c r="C438" t="str">
        <v>DTED</v>
      </c>
      <c r="D438" t="str">
        <v>ZDEMDGS_PRIORITY_DUE_DATE_MSG</v>
      </c>
      <c r="G438" t="str">
        <v>ALL</v>
      </c>
      <c r="K438" t="str">
        <v>E</v>
      </c>
      <c r="L438" t="str">
        <v>NSHAIK</v>
      </c>
      <c r="M438">
        <v>46013</v>
      </c>
      <c r="N438">
        <v>0.19672453703704</v>
      </c>
      <c r="W438" t="str">
        <v>SP1K961121</v>
      </c>
      <c r="Y438">
        <f>IF(Table1[[#This Row],[OPERATION]]="NOTE","NOTE",Table1[[#This Row],[SUB_TYPE]])</f>
        <v>0</v>
      </c>
      <c r="Z438">
        <f>IF(Table1[[#This Row],[OPERATION]]="NOTE",NUMBERVALUE(LEFT(Table1[[#This Row],[MOD_NAME]],LEN(Table1[[#This Row],[MOD_NAME]])-4)),Table1[[#This Row],[SUB_NAME]])</f>
        <v>0</v>
      </c>
      <c r="AA438" t="str">
        <f>CONCAT(Table1[[#This Row],[Final Obj Type]],"|",Table1[[#This Row],[Final Obj Name]])</f>
        <v>0|0</v>
      </c>
      <c r="AB438" t="e">
        <f>VLOOKUP(Table1[[#This Row],[Final Obj Type]],Classification!B:E,3,FALSE)</f>
        <v>#N/A</v>
      </c>
      <c r="AC438" t="e">
        <f>VLOOKUP(Table1[[#This Row],[Final Obj Type]],Classification!B:E,4,FALSE)</f>
        <v>#N/A</v>
      </c>
      <c r="AD438" t="str">
        <f>IF(Table1[[#This Row],[Position 1]]=0,"/0SAP/",MID(Table1[[#This Row],[Final Obj Name]],Table1[[#This Row],[Position 1]],Table1[[#This Row],[Position 2]]-Table1[[#This Row],[Position 1]]+1))</f>
        <v>/0SAP/</v>
      </c>
      <c r="AE438" t="str">
        <f>VLOOKUP(Table1[[#This Row],[/* Object]],Namespace!A:J,10,FALSE)</f>
        <v>SAP AG</v>
      </c>
      <c r="AF438" t="str">
        <f>IF(VLOOKUP(Table1[[#This Row],[/* Object]],Namespace!A:J,4,FALSE)=0,"",VLOOKUP(Table1[[#This Row],[/* Object]],Namespace!A:J,4,FALSE))</f>
        <v>X</v>
      </c>
      <c r="AG438" t="str">
        <f>IF(VLOOKUP(Table1[[#This Row],[/* Object]],Namespace!A:J,5,FALSE)=0,"",VLOOKUP(Table1[[#This Row],[/* Object]],Namespace!A:J,5,FALSE))</f>
        <v>X</v>
      </c>
      <c r="AH438" t="str">
        <f>IF(VLOOKUP(Table1[[#This Row],[/* Object]],Namespace!A:J,6,FALSE)=0,"",VLOOKUP(Table1[[#This Row],[/* Object]],Namespace!A:J,6,FALSE))</f>
        <v/>
      </c>
      <c r="AI438">
        <f>IFERROR(FIND("/",Table1[[#This Row],[Final Obj Name]],1),0)</f>
        <v>0</v>
      </c>
      <c r="AJ438">
        <f>IF(Table1[[#This Row],[Position 1]]=0,0,FIND("/",Table1[[#This Row],[Final Obj Name]],Table1[[#This Row],[Position 1]]+1))</f>
        <v>0</v>
      </c>
      <c r="AK438" t="str">
        <f>IF(LEFT(Table1[[#This Row],[Final Obj Name]],1)="/",LEFT(Table1[[#This Row],[Final Obj Name]],FIND("/",Table1[[#This Row],[Final Obj Name]],2)),"/0SAP/")</f>
        <v>/0SAP/</v>
      </c>
    </row>
    <row r="439">
      <c r="A439" t="str">
        <v>DTEL</v>
      </c>
      <c r="B439" t="str">
        <v>ZDEMDGS_PRIORITY_MANDATORY</v>
      </c>
      <c r="C439" t="str">
        <v>DTED</v>
      </c>
      <c r="D439" t="str">
        <v>ZDEMDGS_PRIORITY_MANDATORY</v>
      </c>
      <c r="G439" t="str">
        <v>ALL</v>
      </c>
      <c r="K439" t="str">
        <v>E</v>
      </c>
      <c r="L439" t="str">
        <v>NSHAIK</v>
      </c>
      <c r="M439">
        <v>46013</v>
      </c>
      <c r="N439">
        <v>0.19704861111111</v>
      </c>
      <c r="W439" t="str">
        <v>SP1K961121</v>
      </c>
      <c r="Y439">
        <f>IF(Table1[[#This Row],[OPERATION]]="NOTE","NOTE",Table1[[#This Row],[SUB_TYPE]])</f>
        <v>0</v>
      </c>
      <c r="Z439">
        <f>IF(Table1[[#This Row],[OPERATION]]="NOTE",NUMBERVALUE(LEFT(Table1[[#This Row],[MOD_NAME]],LEN(Table1[[#This Row],[MOD_NAME]])-4)),Table1[[#This Row],[SUB_NAME]])</f>
        <v>0</v>
      </c>
      <c r="AA439" t="str">
        <f>CONCAT(Table1[[#This Row],[Final Obj Type]],"|",Table1[[#This Row],[Final Obj Name]])</f>
        <v>0|0</v>
      </c>
      <c r="AB439" t="e">
        <f>VLOOKUP(Table1[[#This Row],[Final Obj Type]],Classification!B:E,3,FALSE)</f>
        <v>#N/A</v>
      </c>
      <c r="AC439" t="e">
        <f>VLOOKUP(Table1[[#This Row],[Final Obj Type]],Classification!B:E,4,FALSE)</f>
        <v>#N/A</v>
      </c>
      <c r="AD439" t="str">
        <f>IF(Table1[[#This Row],[Position 1]]=0,"/0SAP/",MID(Table1[[#This Row],[Final Obj Name]],Table1[[#This Row],[Position 1]],Table1[[#This Row],[Position 2]]-Table1[[#This Row],[Position 1]]+1))</f>
        <v>/0SAP/</v>
      </c>
      <c r="AE439" t="str">
        <f>VLOOKUP(Table1[[#This Row],[/* Object]],Namespace!A:J,10,FALSE)</f>
        <v>SAP AG</v>
      </c>
      <c r="AF439" t="str">
        <f>IF(VLOOKUP(Table1[[#This Row],[/* Object]],Namespace!A:J,4,FALSE)=0,"",VLOOKUP(Table1[[#This Row],[/* Object]],Namespace!A:J,4,FALSE))</f>
        <v>X</v>
      </c>
      <c r="AG439" t="str">
        <f>IF(VLOOKUP(Table1[[#This Row],[/* Object]],Namespace!A:J,5,FALSE)=0,"",VLOOKUP(Table1[[#This Row],[/* Object]],Namespace!A:J,5,FALSE))</f>
        <v>X</v>
      </c>
      <c r="AH439" t="str">
        <f>IF(VLOOKUP(Table1[[#This Row],[/* Object]],Namespace!A:J,6,FALSE)=0,"",VLOOKUP(Table1[[#This Row],[/* Object]],Namespace!A:J,6,FALSE))</f>
        <v/>
      </c>
      <c r="AI439">
        <f>IFERROR(FIND("/",Table1[[#This Row],[Final Obj Name]],1),0)</f>
        <v>0</v>
      </c>
      <c r="AJ439">
        <f>IF(Table1[[#This Row],[Position 1]]=0,0,FIND("/",Table1[[#This Row],[Final Obj Name]],Table1[[#This Row],[Position 1]]+1))</f>
        <v>0</v>
      </c>
      <c r="AK439" t="str">
        <f>IF(LEFT(Table1[[#This Row],[Final Obj Name]],1)="/",LEFT(Table1[[#This Row],[Final Obj Name]],FIND("/",Table1[[#This Row],[Final Obj Name]],2)),"/0SAP/")</f>
        <v>/0SAP/</v>
      </c>
    </row>
    <row r="440">
      <c r="A440" t="str">
        <v>DTEL</v>
      </c>
      <c r="B440" t="str">
        <v>ZDEMDGS_RELATED_DOMAIN</v>
      </c>
      <c r="C440" t="str">
        <v>DTED</v>
      </c>
      <c r="D440" t="str">
        <v>ZDEMDGS_RELATED_DOMAIN</v>
      </c>
      <c r="G440" t="str">
        <v>ALL</v>
      </c>
      <c r="K440" t="str">
        <v>E</v>
      </c>
      <c r="L440" t="str">
        <v>NSHAIK</v>
      </c>
      <c r="M440">
        <v>46013</v>
      </c>
      <c r="N440">
        <v>0.24043981481481</v>
      </c>
      <c r="W440" t="str">
        <v>SP1K961121</v>
      </c>
      <c r="Y440">
        <f>IF(Table1[[#This Row],[OPERATION]]="NOTE","NOTE",Table1[[#This Row],[SUB_TYPE]])</f>
        <v>0</v>
      </c>
      <c r="Z440">
        <f>IF(Table1[[#This Row],[OPERATION]]="NOTE",NUMBERVALUE(LEFT(Table1[[#This Row],[MOD_NAME]],LEN(Table1[[#This Row],[MOD_NAME]])-4)),Table1[[#This Row],[SUB_NAME]])</f>
        <v>0</v>
      </c>
      <c r="AA440" t="str">
        <f>CONCAT(Table1[[#This Row],[Final Obj Type]],"|",Table1[[#This Row],[Final Obj Name]])</f>
        <v>0|0</v>
      </c>
      <c r="AB440" t="e">
        <f>VLOOKUP(Table1[[#This Row],[Final Obj Type]],Classification!B:E,3,FALSE)</f>
        <v>#N/A</v>
      </c>
      <c r="AC440" t="e">
        <f>VLOOKUP(Table1[[#This Row],[Final Obj Type]],Classification!B:E,4,FALSE)</f>
        <v>#N/A</v>
      </c>
      <c r="AD440" t="str">
        <f>IF(Table1[[#This Row],[Position 1]]=0,"/0SAP/",MID(Table1[[#This Row],[Final Obj Name]],Table1[[#This Row],[Position 1]],Table1[[#This Row],[Position 2]]-Table1[[#This Row],[Position 1]]+1))</f>
        <v>/0SAP/</v>
      </c>
      <c r="AE440" t="str">
        <f>VLOOKUP(Table1[[#This Row],[/* Object]],Namespace!A:J,10,FALSE)</f>
        <v>SAP AG</v>
      </c>
      <c r="AF440" t="str">
        <f>IF(VLOOKUP(Table1[[#This Row],[/* Object]],Namespace!A:J,4,FALSE)=0,"",VLOOKUP(Table1[[#This Row],[/* Object]],Namespace!A:J,4,FALSE))</f>
        <v>X</v>
      </c>
      <c r="AG440" t="str">
        <f>IF(VLOOKUP(Table1[[#This Row],[/* Object]],Namespace!A:J,5,FALSE)=0,"",VLOOKUP(Table1[[#This Row],[/* Object]],Namespace!A:J,5,FALSE))</f>
        <v>X</v>
      </c>
      <c r="AH440" t="str">
        <f>IF(VLOOKUP(Table1[[#This Row],[/* Object]],Namespace!A:J,6,FALSE)=0,"",VLOOKUP(Table1[[#This Row],[/* Object]],Namespace!A:J,6,FALSE))</f>
        <v/>
      </c>
      <c r="AI440">
        <f>IFERROR(FIND("/",Table1[[#This Row],[Final Obj Name]],1),0)</f>
        <v>0</v>
      </c>
      <c r="AJ440">
        <f>IF(Table1[[#This Row],[Position 1]]=0,0,FIND("/",Table1[[#This Row],[Final Obj Name]],Table1[[#This Row],[Position 1]]+1))</f>
        <v>0</v>
      </c>
      <c r="AK440" t="str">
        <f>IF(LEFT(Table1[[#This Row],[Final Obj Name]],1)="/",LEFT(Table1[[#This Row],[Final Obj Name]],FIND("/",Table1[[#This Row],[Final Obj Name]],2)),"/0SAP/")</f>
        <v>/0SAP/</v>
      </c>
    </row>
    <row r="441">
      <c r="A441" t="str">
        <v>DTEL</v>
      </c>
      <c r="B441" t="str">
        <v>ZDEMDGS_RELATE_DIRECTION</v>
      </c>
      <c r="C441" t="str">
        <v>DTED</v>
      </c>
      <c r="D441" t="str">
        <v>ZDEMDGS_RELATE_DIRECTION</v>
      </c>
      <c r="G441" t="str">
        <v>ALL</v>
      </c>
      <c r="K441" t="str">
        <v>E</v>
      </c>
      <c r="L441" t="str">
        <v>NSHAIK</v>
      </c>
      <c r="M441">
        <v>46013</v>
      </c>
      <c r="N441">
        <v>0.24076388888889</v>
      </c>
      <c r="W441" t="str">
        <v>SP1K961121</v>
      </c>
      <c r="Y441">
        <f>IF(Table1[[#This Row],[OPERATION]]="NOTE","NOTE",Table1[[#This Row],[SUB_TYPE]])</f>
        <v>0</v>
      </c>
      <c r="Z441">
        <f>IF(Table1[[#This Row],[OPERATION]]="NOTE",NUMBERVALUE(LEFT(Table1[[#This Row],[MOD_NAME]],LEN(Table1[[#This Row],[MOD_NAME]])-4)),Table1[[#This Row],[SUB_NAME]])</f>
        <v>0</v>
      </c>
      <c r="AA441" t="str">
        <f>CONCAT(Table1[[#This Row],[Final Obj Type]],"|",Table1[[#This Row],[Final Obj Name]])</f>
        <v>0|0</v>
      </c>
      <c r="AB441" t="e">
        <f>VLOOKUP(Table1[[#This Row],[Final Obj Type]],Classification!B:E,3,FALSE)</f>
        <v>#N/A</v>
      </c>
      <c r="AC441" t="e">
        <f>VLOOKUP(Table1[[#This Row],[Final Obj Type]],Classification!B:E,4,FALSE)</f>
        <v>#N/A</v>
      </c>
      <c r="AD441" t="str">
        <f>IF(Table1[[#This Row],[Position 1]]=0,"/0SAP/",MID(Table1[[#This Row],[Final Obj Name]],Table1[[#This Row],[Position 1]],Table1[[#This Row],[Position 2]]-Table1[[#This Row],[Position 1]]+1))</f>
        <v>/0SAP/</v>
      </c>
      <c r="AE441" t="str">
        <f>VLOOKUP(Table1[[#This Row],[/* Object]],Namespace!A:J,10,FALSE)</f>
        <v>SAP AG</v>
      </c>
      <c r="AF441" t="str">
        <f>IF(VLOOKUP(Table1[[#This Row],[/* Object]],Namespace!A:J,4,FALSE)=0,"",VLOOKUP(Table1[[#This Row],[/* Object]],Namespace!A:J,4,FALSE))</f>
        <v>X</v>
      </c>
      <c r="AG441" t="str">
        <f>IF(VLOOKUP(Table1[[#This Row],[/* Object]],Namespace!A:J,5,FALSE)=0,"",VLOOKUP(Table1[[#This Row],[/* Object]],Namespace!A:J,5,FALSE))</f>
        <v>X</v>
      </c>
      <c r="AH441" t="str">
        <f>IF(VLOOKUP(Table1[[#This Row],[/* Object]],Namespace!A:J,6,FALSE)=0,"",VLOOKUP(Table1[[#This Row],[/* Object]],Namespace!A:J,6,FALSE))</f>
        <v/>
      </c>
      <c r="AI441">
        <f>IFERROR(FIND("/",Table1[[#This Row],[Final Obj Name]],1),0)</f>
        <v>0</v>
      </c>
      <c r="AJ441">
        <f>IF(Table1[[#This Row],[Position 1]]=0,0,FIND("/",Table1[[#This Row],[Final Obj Name]],Table1[[#This Row],[Position 1]]+1))</f>
        <v>0</v>
      </c>
      <c r="AK441" t="str">
        <f>IF(LEFT(Table1[[#This Row],[Final Obj Name]],1)="/",LEFT(Table1[[#This Row],[Final Obj Name]],FIND("/",Table1[[#This Row],[Final Obj Name]],2)),"/0SAP/")</f>
        <v>/0SAP/</v>
      </c>
    </row>
    <row r="442">
      <c r="A442" t="str">
        <v>DTEL</v>
      </c>
      <c r="B442" t="str">
        <v>ZDEMDGS_RUCODE</v>
      </c>
      <c r="C442" t="str">
        <v>DTED</v>
      </c>
      <c r="D442" t="str">
        <v>ZDEMDGS_RUCODE</v>
      </c>
      <c r="G442" t="str">
        <v>ALL</v>
      </c>
      <c r="K442" t="str">
        <v>E</v>
      </c>
      <c r="L442" t="str">
        <v>NSHAIK</v>
      </c>
      <c r="M442">
        <v>46013</v>
      </c>
      <c r="N442">
        <v>0.25239583333333</v>
      </c>
      <c r="W442" t="str">
        <v>SP1K961121</v>
      </c>
      <c r="Y442">
        <f>IF(Table1[[#This Row],[OPERATION]]="NOTE","NOTE",Table1[[#This Row],[SUB_TYPE]])</f>
        <v>0</v>
      </c>
      <c r="Z442">
        <f>IF(Table1[[#This Row],[OPERATION]]="NOTE",NUMBERVALUE(LEFT(Table1[[#This Row],[MOD_NAME]],LEN(Table1[[#This Row],[MOD_NAME]])-4)),Table1[[#This Row],[SUB_NAME]])</f>
        <v>0</v>
      </c>
      <c r="AA442" t="str">
        <f>CONCAT(Table1[[#This Row],[Final Obj Type]],"|",Table1[[#This Row],[Final Obj Name]])</f>
        <v>0|0</v>
      </c>
      <c r="AB442" t="e">
        <f>VLOOKUP(Table1[[#This Row],[Final Obj Type]],Classification!B:E,3,FALSE)</f>
        <v>#N/A</v>
      </c>
      <c r="AC442" t="e">
        <f>VLOOKUP(Table1[[#This Row],[Final Obj Type]],Classification!B:E,4,FALSE)</f>
        <v>#N/A</v>
      </c>
      <c r="AD442" t="str">
        <f>IF(Table1[[#This Row],[Position 1]]=0,"/0SAP/",MID(Table1[[#This Row],[Final Obj Name]],Table1[[#This Row],[Position 1]],Table1[[#This Row],[Position 2]]-Table1[[#This Row],[Position 1]]+1))</f>
        <v>/0SAP/</v>
      </c>
      <c r="AE442" t="str">
        <f>VLOOKUP(Table1[[#This Row],[/* Object]],Namespace!A:J,10,FALSE)</f>
        <v>SAP AG</v>
      </c>
      <c r="AF442" t="str">
        <f>IF(VLOOKUP(Table1[[#This Row],[/* Object]],Namespace!A:J,4,FALSE)=0,"",VLOOKUP(Table1[[#This Row],[/* Object]],Namespace!A:J,4,FALSE))</f>
        <v>X</v>
      </c>
      <c r="AG442" t="str">
        <f>IF(VLOOKUP(Table1[[#This Row],[/* Object]],Namespace!A:J,5,FALSE)=0,"",VLOOKUP(Table1[[#This Row],[/* Object]],Namespace!A:J,5,FALSE))</f>
        <v>X</v>
      </c>
      <c r="AH442" t="str">
        <f>IF(VLOOKUP(Table1[[#This Row],[/* Object]],Namespace!A:J,6,FALSE)=0,"",VLOOKUP(Table1[[#This Row],[/* Object]],Namespace!A:J,6,FALSE))</f>
        <v/>
      </c>
      <c r="AI442">
        <f>IFERROR(FIND("/",Table1[[#This Row],[Final Obj Name]],1),0)</f>
        <v>0</v>
      </c>
      <c r="AJ442">
        <f>IF(Table1[[#This Row],[Position 1]]=0,0,FIND("/",Table1[[#This Row],[Final Obj Name]],Table1[[#This Row],[Position 1]]+1))</f>
        <v>0</v>
      </c>
      <c r="AK442" t="str">
        <f>IF(LEFT(Table1[[#This Row],[Final Obj Name]],1)="/",LEFT(Table1[[#This Row],[Final Obj Name]],FIND("/",Table1[[#This Row],[Final Obj Name]],2)),"/0SAP/")</f>
        <v>/0SAP/</v>
      </c>
    </row>
    <row r="443">
      <c r="A443" t="str">
        <v>DTEL</v>
      </c>
      <c r="B443" t="str">
        <v>ZDEMDGS_RUCODE_AND_SITE_VALID</v>
      </c>
      <c r="C443" t="str">
        <v>DTED</v>
      </c>
      <c r="D443" t="str">
        <v>ZDEMDGS_RUCODE_AND_SITE_VALID</v>
      </c>
      <c r="G443" t="str">
        <v>ALL</v>
      </c>
      <c r="K443" t="str">
        <v>E</v>
      </c>
      <c r="L443" t="str">
        <v>NSHAIK</v>
      </c>
      <c r="M443">
        <v>46013</v>
      </c>
      <c r="N443">
        <v>0.25274305555556</v>
      </c>
      <c r="W443" t="str">
        <v>SP1K961121</v>
      </c>
      <c r="Y443">
        <f>IF(Table1[[#This Row],[OPERATION]]="NOTE","NOTE",Table1[[#This Row],[SUB_TYPE]])</f>
        <v>0</v>
      </c>
      <c r="Z443">
        <f>IF(Table1[[#This Row],[OPERATION]]="NOTE",NUMBERVALUE(LEFT(Table1[[#This Row],[MOD_NAME]],LEN(Table1[[#This Row],[MOD_NAME]])-4)),Table1[[#This Row],[SUB_NAME]])</f>
        <v>0</v>
      </c>
      <c r="AA443" t="str">
        <f>CONCAT(Table1[[#This Row],[Final Obj Type]],"|",Table1[[#This Row],[Final Obj Name]])</f>
        <v>0|0</v>
      </c>
      <c r="AB443" t="e">
        <f>VLOOKUP(Table1[[#This Row],[Final Obj Type]],Classification!B:E,3,FALSE)</f>
        <v>#N/A</v>
      </c>
      <c r="AC443" t="e">
        <f>VLOOKUP(Table1[[#This Row],[Final Obj Type]],Classification!B:E,4,FALSE)</f>
        <v>#N/A</v>
      </c>
      <c r="AD443" t="str">
        <f>IF(Table1[[#This Row],[Position 1]]=0,"/0SAP/",MID(Table1[[#This Row],[Final Obj Name]],Table1[[#This Row],[Position 1]],Table1[[#This Row],[Position 2]]-Table1[[#This Row],[Position 1]]+1))</f>
        <v>/0SAP/</v>
      </c>
      <c r="AE443" t="str">
        <f>VLOOKUP(Table1[[#This Row],[/* Object]],Namespace!A:J,10,FALSE)</f>
        <v>SAP AG</v>
      </c>
      <c r="AF443" t="str">
        <f>IF(VLOOKUP(Table1[[#This Row],[/* Object]],Namespace!A:J,4,FALSE)=0,"",VLOOKUP(Table1[[#This Row],[/* Object]],Namespace!A:J,4,FALSE))</f>
        <v>X</v>
      </c>
      <c r="AG443" t="str">
        <f>IF(VLOOKUP(Table1[[#This Row],[/* Object]],Namespace!A:J,5,FALSE)=0,"",VLOOKUP(Table1[[#This Row],[/* Object]],Namespace!A:J,5,FALSE))</f>
        <v>X</v>
      </c>
      <c r="AH443" t="str">
        <f>IF(VLOOKUP(Table1[[#This Row],[/* Object]],Namespace!A:J,6,FALSE)=0,"",VLOOKUP(Table1[[#This Row],[/* Object]],Namespace!A:J,6,FALSE))</f>
        <v/>
      </c>
      <c r="AI443">
        <f>IFERROR(FIND("/",Table1[[#This Row],[Final Obj Name]],1),0)</f>
        <v>0</v>
      </c>
      <c r="AJ443">
        <f>IF(Table1[[#This Row],[Position 1]]=0,0,FIND("/",Table1[[#This Row],[Final Obj Name]],Table1[[#This Row],[Position 1]]+1))</f>
        <v>0</v>
      </c>
      <c r="AK443" t="str">
        <f>IF(LEFT(Table1[[#This Row],[Final Obj Name]],1)="/",LEFT(Table1[[#This Row],[Final Obj Name]],FIND("/",Table1[[#This Row],[Final Obj Name]],2)),"/0SAP/")</f>
        <v>/0SAP/</v>
      </c>
    </row>
    <row r="444">
      <c r="A444" t="str">
        <v>DTEL</v>
      </c>
      <c r="B444" t="str">
        <v>ZDEMDGS_RUCODE_TEXT</v>
      </c>
      <c r="C444" t="str">
        <v>DTED</v>
      </c>
      <c r="D444" t="str">
        <v>ZDEMDGS_RUCODE_TEXT</v>
      </c>
      <c r="G444" t="str">
        <v>ALL</v>
      </c>
      <c r="K444" t="str">
        <v>E</v>
      </c>
      <c r="L444" t="str">
        <v>NSHAIK</v>
      </c>
      <c r="M444">
        <v>46013</v>
      </c>
      <c r="N444">
        <v>0.25302083333333</v>
      </c>
      <c r="W444" t="str">
        <v>SP1K961121</v>
      </c>
      <c r="Y444">
        <f>IF(Table1[[#This Row],[OPERATION]]="NOTE","NOTE",Table1[[#This Row],[SUB_TYPE]])</f>
        <v>0</v>
      </c>
      <c r="Z444">
        <f>IF(Table1[[#This Row],[OPERATION]]="NOTE",NUMBERVALUE(LEFT(Table1[[#This Row],[MOD_NAME]],LEN(Table1[[#This Row],[MOD_NAME]])-4)),Table1[[#This Row],[SUB_NAME]])</f>
        <v>0</v>
      </c>
      <c r="AA444" t="str">
        <f>CONCAT(Table1[[#This Row],[Final Obj Type]],"|",Table1[[#This Row],[Final Obj Name]])</f>
        <v>0|0</v>
      </c>
      <c r="AB444" t="e">
        <f>VLOOKUP(Table1[[#This Row],[Final Obj Type]],Classification!B:E,3,FALSE)</f>
        <v>#N/A</v>
      </c>
      <c r="AC444" t="e">
        <f>VLOOKUP(Table1[[#This Row],[Final Obj Type]],Classification!B:E,4,FALSE)</f>
        <v>#N/A</v>
      </c>
      <c r="AD444" t="str">
        <f>IF(Table1[[#This Row],[Position 1]]=0,"/0SAP/",MID(Table1[[#This Row],[Final Obj Name]],Table1[[#This Row],[Position 1]],Table1[[#This Row],[Position 2]]-Table1[[#This Row],[Position 1]]+1))</f>
        <v>/0SAP/</v>
      </c>
      <c r="AE444" t="str">
        <f>VLOOKUP(Table1[[#This Row],[/* Object]],Namespace!A:J,10,FALSE)</f>
        <v>SAP AG</v>
      </c>
      <c r="AF444" t="str">
        <f>IF(VLOOKUP(Table1[[#This Row],[/* Object]],Namespace!A:J,4,FALSE)=0,"",VLOOKUP(Table1[[#This Row],[/* Object]],Namespace!A:J,4,FALSE))</f>
        <v>X</v>
      </c>
      <c r="AG444" t="str">
        <f>IF(VLOOKUP(Table1[[#This Row],[/* Object]],Namespace!A:J,5,FALSE)=0,"",VLOOKUP(Table1[[#This Row],[/* Object]],Namespace!A:J,5,FALSE))</f>
        <v>X</v>
      </c>
      <c r="AH444" t="str">
        <f>IF(VLOOKUP(Table1[[#This Row],[/* Object]],Namespace!A:J,6,FALSE)=0,"",VLOOKUP(Table1[[#This Row],[/* Object]],Namespace!A:J,6,FALSE))</f>
        <v/>
      </c>
      <c r="AI444">
        <f>IFERROR(FIND("/",Table1[[#This Row],[Final Obj Name]],1),0)</f>
        <v>0</v>
      </c>
      <c r="AJ444">
        <f>IF(Table1[[#This Row],[Position 1]]=0,0,FIND("/",Table1[[#This Row],[Final Obj Name]],Table1[[#This Row],[Position 1]]+1))</f>
        <v>0</v>
      </c>
      <c r="AK444" t="str">
        <f>IF(LEFT(Table1[[#This Row],[Final Obj Name]],1)="/",LEFT(Table1[[#This Row],[Final Obj Name]],FIND("/",Table1[[#This Row],[Final Obj Name]],2)),"/0SAP/")</f>
        <v>/0SAP/</v>
      </c>
    </row>
    <row r="445">
      <c r="A445" t="str">
        <v>DTEL</v>
      </c>
      <c r="B445" t="str">
        <v>ZDEMDGS_RU_ADDR_EDIT</v>
      </c>
      <c r="C445" t="str">
        <v>DTED</v>
      </c>
      <c r="D445" t="str">
        <v>ZDEMDGS_RU_ADDR_EDIT</v>
      </c>
      <c r="G445" t="str">
        <v>ALL</v>
      </c>
      <c r="K445" t="str">
        <v>E</v>
      </c>
      <c r="L445" t="str">
        <v>NSHAIK</v>
      </c>
      <c r="M445">
        <v>46013</v>
      </c>
      <c r="N445">
        <v>0.25324074074074</v>
      </c>
      <c r="W445" t="str">
        <v>SP1K961121</v>
      </c>
      <c r="Y445">
        <f>IF(Table1[[#This Row],[OPERATION]]="NOTE","NOTE",Table1[[#This Row],[SUB_TYPE]])</f>
        <v>0</v>
      </c>
      <c r="Z445">
        <f>IF(Table1[[#This Row],[OPERATION]]="NOTE",NUMBERVALUE(LEFT(Table1[[#This Row],[MOD_NAME]],LEN(Table1[[#This Row],[MOD_NAME]])-4)),Table1[[#This Row],[SUB_NAME]])</f>
        <v>0</v>
      </c>
      <c r="AA445" t="str">
        <f>CONCAT(Table1[[#This Row],[Final Obj Type]],"|",Table1[[#This Row],[Final Obj Name]])</f>
        <v>0|0</v>
      </c>
      <c r="AB445" t="e">
        <f>VLOOKUP(Table1[[#This Row],[Final Obj Type]],Classification!B:E,3,FALSE)</f>
        <v>#N/A</v>
      </c>
      <c r="AC445" t="e">
        <f>VLOOKUP(Table1[[#This Row],[Final Obj Type]],Classification!B:E,4,FALSE)</f>
        <v>#N/A</v>
      </c>
      <c r="AD445" t="str">
        <f>IF(Table1[[#This Row],[Position 1]]=0,"/0SAP/",MID(Table1[[#This Row],[Final Obj Name]],Table1[[#This Row],[Position 1]],Table1[[#This Row],[Position 2]]-Table1[[#This Row],[Position 1]]+1))</f>
        <v>/0SAP/</v>
      </c>
      <c r="AE445" t="str">
        <f>VLOOKUP(Table1[[#This Row],[/* Object]],Namespace!A:J,10,FALSE)</f>
        <v>SAP AG</v>
      </c>
      <c r="AF445" t="str">
        <f>IF(VLOOKUP(Table1[[#This Row],[/* Object]],Namespace!A:J,4,FALSE)=0,"",VLOOKUP(Table1[[#This Row],[/* Object]],Namespace!A:J,4,FALSE))</f>
        <v>X</v>
      </c>
      <c r="AG445" t="str">
        <f>IF(VLOOKUP(Table1[[#This Row],[/* Object]],Namespace!A:J,5,FALSE)=0,"",VLOOKUP(Table1[[#This Row],[/* Object]],Namespace!A:J,5,FALSE))</f>
        <v>X</v>
      </c>
      <c r="AH445" t="str">
        <f>IF(VLOOKUP(Table1[[#This Row],[/* Object]],Namespace!A:J,6,FALSE)=0,"",VLOOKUP(Table1[[#This Row],[/* Object]],Namespace!A:J,6,FALSE))</f>
        <v/>
      </c>
      <c r="AI445">
        <f>IFERROR(FIND("/",Table1[[#This Row],[Final Obj Name]],1),0)</f>
        <v>0</v>
      </c>
      <c r="AJ445">
        <f>IF(Table1[[#This Row],[Position 1]]=0,0,FIND("/",Table1[[#This Row],[Final Obj Name]],Table1[[#This Row],[Position 1]]+1))</f>
        <v>0</v>
      </c>
      <c r="AK445" t="str">
        <f>IF(LEFT(Table1[[#This Row],[Final Obj Name]],1)="/",LEFT(Table1[[#This Row],[Final Obj Name]],FIND("/",Table1[[#This Row],[Final Obj Name]],2)),"/0SAP/")</f>
        <v>/0SAP/</v>
      </c>
    </row>
    <row r="446">
      <c r="A446" t="str">
        <v>DTEL</v>
      </c>
      <c r="B446" t="str">
        <v>ZDEMDGS_RU_POSTAL_CODE_10</v>
      </c>
      <c r="C446" t="str">
        <v>DTED</v>
      </c>
      <c r="D446" t="str">
        <v>ZDEMDGS_RU_POSTAL_CODE_10</v>
      </c>
      <c r="G446" t="str">
        <v>ALL</v>
      </c>
      <c r="K446" t="str">
        <v>E</v>
      </c>
      <c r="L446" t="str">
        <v>NSHAIK</v>
      </c>
      <c r="M446">
        <v>46013</v>
      </c>
      <c r="N446">
        <v>0.2534375</v>
      </c>
      <c r="W446" t="str">
        <v>SP1K961121</v>
      </c>
      <c r="Y446">
        <f>IF(Table1[[#This Row],[OPERATION]]="NOTE","NOTE",Table1[[#This Row],[SUB_TYPE]])</f>
        <v>0</v>
      </c>
      <c r="Z446">
        <f>IF(Table1[[#This Row],[OPERATION]]="NOTE",NUMBERVALUE(LEFT(Table1[[#This Row],[MOD_NAME]],LEN(Table1[[#This Row],[MOD_NAME]])-4)),Table1[[#This Row],[SUB_NAME]])</f>
        <v>0</v>
      </c>
      <c r="AA446" t="str">
        <f>CONCAT(Table1[[#This Row],[Final Obj Type]],"|",Table1[[#This Row],[Final Obj Name]])</f>
        <v>0|0</v>
      </c>
      <c r="AB446" t="e">
        <f>VLOOKUP(Table1[[#This Row],[Final Obj Type]],Classification!B:E,3,FALSE)</f>
        <v>#N/A</v>
      </c>
      <c r="AC446" t="e">
        <f>VLOOKUP(Table1[[#This Row],[Final Obj Type]],Classification!B:E,4,FALSE)</f>
        <v>#N/A</v>
      </c>
      <c r="AD446" t="str">
        <f>IF(Table1[[#This Row],[Position 1]]=0,"/0SAP/",MID(Table1[[#This Row],[Final Obj Name]],Table1[[#This Row],[Position 1]],Table1[[#This Row],[Position 2]]-Table1[[#This Row],[Position 1]]+1))</f>
        <v>/0SAP/</v>
      </c>
      <c r="AE446" t="str">
        <f>VLOOKUP(Table1[[#This Row],[/* Object]],Namespace!A:J,10,FALSE)</f>
        <v>SAP AG</v>
      </c>
      <c r="AF446" t="str">
        <f>IF(VLOOKUP(Table1[[#This Row],[/* Object]],Namespace!A:J,4,FALSE)=0,"",VLOOKUP(Table1[[#This Row],[/* Object]],Namespace!A:J,4,FALSE))</f>
        <v>X</v>
      </c>
      <c r="AG446" t="str">
        <f>IF(VLOOKUP(Table1[[#This Row],[/* Object]],Namespace!A:J,5,FALSE)=0,"",VLOOKUP(Table1[[#This Row],[/* Object]],Namespace!A:J,5,FALSE))</f>
        <v>X</v>
      </c>
      <c r="AH446" t="str">
        <f>IF(VLOOKUP(Table1[[#This Row],[/* Object]],Namespace!A:J,6,FALSE)=0,"",VLOOKUP(Table1[[#This Row],[/* Object]],Namespace!A:J,6,FALSE))</f>
        <v/>
      </c>
      <c r="AI446">
        <f>IFERROR(FIND("/",Table1[[#This Row],[Final Obj Name]],1),0)</f>
        <v>0</v>
      </c>
      <c r="AJ446">
        <f>IF(Table1[[#This Row],[Position 1]]=0,0,FIND("/",Table1[[#This Row],[Final Obj Name]],Table1[[#This Row],[Position 1]]+1))</f>
        <v>0</v>
      </c>
      <c r="AK446" t="str">
        <f>IF(LEFT(Table1[[#This Row],[Final Obj Name]],1)="/",LEFT(Table1[[#This Row],[Final Obj Name]],FIND("/",Table1[[#This Row],[Final Obj Name]],2)),"/0SAP/")</f>
        <v>/0SAP/</v>
      </c>
    </row>
    <row r="447">
      <c r="A447" t="str">
        <v>DTEL</v>
      </c>
      <c r="B447" t="str">
        <v>ZDEMDGS_RU_REGION_ADVANCED_CHK</v>
      </c>
      <c r="C447" t="str">
        <v>DTED</v>
      </c>
      <c r="D447" t="str">
        <v>ZDEMDGS_RU_REGION_ADVANCED_CHK</v>
      </c>
      <c r="G447" t="str">
        <v>ALL</v>
      </c>
      <c r="K447" t="str">
        <v>E</v>
      </c>
      <c r="L447" t="str">
        <v>NSHAIK</v>
      </c>
      <c r="M447">
        <v>46013</v>
      </c>
      <c r="N447">
        <v>0.25363425925926</v>
      </c>
      <c r="W447" t="str">
        <v>SP1K961121</v>
      </c>
      <c r="Y447">
        <f>IF(Table1[[#This Row],[OPERATION]]="NOTE","NOTE",Table1[[#This Row],[SUB_TYPE]])</f>
        <v>0</v>
      </c>
      <c r="Z447">
        <f>IF(Table1[[#This Row],[OPERATION]]="NOTE",NUMBERVALUE(LEFT(Table1[[#This Row],[MOD_NAME]],LEN(Table1[[#This Row],[MOD_NAME]])-4)),Table1[[#This Row],[SUB_NAME]])</f>
        <v>0</v>
      </c>
      <c r="AA447" t="str">
        <f>CONCAT(Table1[[#This Row],[Final Obj Type]],"|",Table1[[#This Row],[Final Obj Name]])</f>
        <v>0|0</v>
      </c>
      <c r="AB447" t="e">
        <f>VLOOKUP(Table1[[#This Row],[Final Obj Type]],Classification!B:E,3,FALSE)</f>
        <v>#N/A</v>
      </c>
      <c r="AC447" t="e">
        <f>VLOOKUP(Table1[[#This Row],[Final Obj Type]],Classification!B:E,4,FALSE)</f>
        <v>#N/A</v>
      </c>
      <c r="AD447" t="str">
        <f>IF(Table1[[#This Row],[Position 1]]=0,"/0SAP/",MID(Table1[[#This Row],[Final Obj Name]],Table1[[#This Row],[Position 1]],Table1[[#This Row],[Position 2]]-Table1[[#This Row],[Position 1]]+1))</f>
        <v>/0SAP/</v>
      </c>
      <c r="AE447" t="str">
        <f>VLOOKUP(Table1[[#This Row],[/* Object]],Namespace!A:J,10,FALSE)</f>
        <v>SAP AG</v>
      </c>
      <c r="AF447" t="str">
        <f>IF(VLOOKUP(Table1[[#This Row],[/* Object]],Namespace!A:J,4,FALSE)=0,"",VLOOKUP(Table1[[#This Row],[/* Object]],Namespace!A:J,4,FALSE))</f>
        <v>X</v>
      </c>
      <c r="AG447" t="str">
        <f>IF(VLOOKUP(Table1[[#This Row],[/* Object]],Namespace!A:J,5,FALSE)=0,"",VLOOKUP(Table1[[#This Row],[/* Object]],Namespace!A:J,5,FALSE))</f>
        <v>X</v>
      </c>
      <c r="AH447" t="str">
        <f>IF(VLOOKUP(Table1[[#This Row],[/* Object]],Namespace!A:J,6,FALSE)=0,"",VLOOKUP(Table1[[#This Row],[/* Object]],Namespace!A:J,6,FALSE))</f>
        <v/>
      </c>
      <c r="AI447">
        <f>IFERROR(FIND("/",Table1[[#This Row],[Final Obj Name]],1),0)</f>
        <v>0</v>
      </c>
      <c r="AJ447">
        <f>IF(Table1[[#This Row],[Position 1]]=0,0,FIND("/",Table1[[#This Row],[Final Obj Name]],Table1[[#This Row],[Position 1]]+1))</f>
        <v>0</v>
      </c>
      <c r="AK447" t="str">
        <f>IF(LEFT(Table1[[#This Row],[Final Obj Name]],1)="/",LEFT(Table1[[#This Row],[Final Obj Name]],FIND("/",Table1[[#This Row],[Final Obj Name]],2)),"/0SAP/")</f>
        <v>/0SAP/</v>
      </c>
    </row>
    <row r="448">
      <c r="A448" t="str">
        <v>DTEL</v>
      </c>
      <c r="B448" t="str">
        <v>ZDEMDGS_RU_SORT02</v>
      </c>
      <c r="C448" t="str">
        <v>DTED</v>
      </c>
      <c r="D448" t="str">
        <v>ZDEMDGS_RU_SORT02</v>
      </c>
      <c r="G448" t="str">
        <v>ALL</v>
      </c>
      <c r="K448" t="str">
        <v>E</v>
      </c>
      <c r="L448" t="str">
        <v>NSHAIK</v>
      </c>
      <c r="M448">
        <v>46013</v>
      </c>
      <c r="N448">
        <v>0.25383101851852</v>
      </c>
      <c r="W448" t="str">
        <v>SP1K961121</v>
      </c>
      <c r="Y448">
        <f>IF(Table1[[#This Row],[OPERATION]]="NOTE","NOTE",Table1[[#This Row],[SUB_TYPE]])</f>
        <v>0</v>
      </c>
      <c r="Z448">
        <f>IF(Table1[[#This Row],[OPERATION]]="NOTE",NUMBERVALUE(LEFT(Table1[[#This Row],[MOD_NAME]],LEN(Table1[[#This Row],[MOD_NAME]])-4)),Table1[[#This Row],[SUB_NAME]])</f>
        <v>0</v>
      </c>
      <c r="AA448" t="str">
        <f>CONCAT(Table1[[#This Row],[Final Obj Type]],"|",Table1[[#This Row],[Final Obj Name]])</f>
        <v>0|0</v>
      </c>
      <c r="AB448" t="e">
        <f>VLOOKUP(Table1[[#This Row],[Final Obj Type]],Classification!B:E,3,FALSE)</f>
        <v>#N/A</v>
      </c>
      <c r="AC448" t="e">
        <f>VLOOKUP(Table1[[#This Row],[Final Obj Type]],Classification!B:E,4,FALSE)</f>
        <v>#N/A</v>
      </c>
      <c r="AD448" t="str">
        <f>IF(Table1[[#This Row],[Position 1]]=0,"/0SAP/",MID(Table1[[#This Row],[Final Obj Name]],Table1[[#This Row],[Position 1]],Table1[[#This Row],[Position 2]]-Table1[[#This Row],[Position 1]]+1))</f>
        <v>/0SAP/</v>
      </c>
      <c r="AE448" t="str">
        <f>VLOOKUP(Table1[[#This Row],[/* Object]],Namespace!A:J,10,FALSE)</f>
        <v>SAP AG</v>
      </c>
      <c r="AF448" t="str">
        <f>IF(VLOOKUP(Table1[[#This Row],[/* Object]],Namespace!A:J,4,FALSE)=0,"",VLOOKUP(Table1[[#This Row],[/* Object]],Namespace!A:J,4,FALSE))</f>
        <v>X</v>
      </c>
      <c r="AG448" t="str">
        <f>IF(VLOOKUP(Table1[[#This Row],[/* Object]],Namespace!A:J,5,FALSE)=0,"",VLOOKUP(Table1[[#This Row],[/* Object]],Namespace!A:J,5,FALSE))</f>
        <v>X</v>
      </c>
      <c r="AH448" t="str">
        <f>IF(VLOOKUP(Table1[[#This Row],[/* Object]],Namespace!A:J,6,FALSE)=0,"",VLOOKUP(Table1[[#This Row],[/* Object]],Namespace!A:J,6,FALSE))</f>
        <v/>
      </c>
      <c r="AI448">
        <f>IFERROR(FIND("/",Table1[[#This Row],[Final Obj Name]],1),0)</f>
        <v>0</v>
      </c>
      <c r="AJ448">
        <f>IF(Table1[[#This Row],[Position 1]]=0,0,FIND("/",Table1[[#This Row],[Final Obj Name]],Table1[[#This Row],[Position 1]]+1))</f>
        <v>0</v>
      </c>
      <c r="AK448" t="str">
        <f>IF(LEFT(Table1[[#This Row],[Final Obj Name]],1)="/",LEFT(Table1[[#This Row],[Final Obj Name]],FIND("/",Table1[[#This Row],[Final Obj Name]],2)),"/0SAP/")</f>
        <v>/0SAP/</v>
      </c>
    </row>
    <row r="449">
      <c r="A449" t="str">
        <v>DTEL</v>
      </c>
      <c r="B449" t="str">
        <v>ZDEMDGS_RU_TAX_REQ</v>
      </c>
      <c r="C449" t="str">
        <v>DTED</v>
      </c>
      <c r="D449" t="str">
        <v>ZDEMDGS_RU_TAX_REQ</v>
      </c>
      <c r="G449" t="str">
        <v>ALL</v>
      </c>
      <c r="K449" t="str">
        <v>E</v>
      </c>
      <c r="L449" t="str">
        <v>NSHAIK</v>
      </c>
      <c r="M449">
        <v>46013</v>
      </c>
      <c r="N449">
        <v>0.25405092592593</v>
      </c>
      <c r="W449" t="str">
        <v>SP1K961121</v>
      </c>
      <c r="Y449">
        <f>IF(Table1[[#This Row],[OPERATION]]="NOTE","NOTE",Table1[[#This Row],[SUB_TYPE]])</f>
        <v>0</v>
      </c>
      <c r="Z449">
        <f>IF(Table1[[#This Row],[OPERATION]]="NOTE",NUMBERVALUE(LEFT(Table1[[#This Row],[MOD_NAME]],LEN(Table1[[#This Row],[MOD_NAME]])-4)),Table1[[#This Row],[SUB_NAME]])</f>
        <v>0</v>
      </c>
      <c r="AA449" t="str">
        <f>CONCAT(Table1[[#This Row],[Final Obj Type]],"|",Table1[[#This Row],[Final Obj Name]])</f>
        <v>0|0</v>
      </c>
      <c r="AB449" t="e">
        <f>VLOOKUP(Table1[[#This Row],[Final Obj Type]],Classification!B:E,3,FALSE)</f>
        <v>#N/A</v>
      </c>
      <c r="AC449" t="e">
        <f>VLOOKUP(Table1[[#This Row],[Final Obj Type]],Classification!B:E,4,FALSE)</f>
        <v>#N/A</v>
      </c>
      <c r="AD449" t="str">
        <f>IF(Table1[[#This Row],[Position 1]]=0,"/0SAP/",MID(Table1[[#This Row],[Final Obj Name]],Table1[[#This Row],[Position 1]],Table1[[#This Row],[Position 2]]-Table1[[#This Row],[Position 1]]+1))</f>
        <v>/0SAP/</v>
      </c>
      <c r="AE449" t="str">
        <f>VLOOKUP(Table1[[#This Row],[/* Object]],Namespace!A:J,10,FALSE)</f>
        <v>SAP AG</v>
      </c>
      <c r="AF449" t="str">
        <f>IF(VLOOKUP(Table1[[#This Row],[/* Object]],Namespace!A:J,4,FALSE)=0,"",VLOOKUP(Table1[[#This Row],[/* Object]],Namespace!A:J,4,FALSE))</f>
        <v>X</v>
      </c>
      <c r="AG449" t="str">
        <f>IF(VLOOKUP(Table1[[#This Row],[/* Object]],Namespace!A:J,5,FALSE)=0,"",VLOOKUP(Table1[[#This Row],[/* Object]],Namespace!A:J,5,FALSE))</f>
        <v>X</v>
      </c>
      <c r="AH449" t="str">
        <f>IF(VLOOKUP(Table1[[#This Row],[/* Object]],Namespace!A:J,6,FALSE)=0,"",VLOOKUP(Table1[[#This Row],[/* Object]],Namespace!A:J,6,FALSE))</f>
        <v/>
      </c>
      <c r="AI449">
        <f>IFERROR(FIND("/",Table1[[#This Row],[Final Obj Name]],1),0)</f>
        <v>0</v>
      </c>
      <c r="AJ449">
        <f>IF(Table1[[#This Row],[Position 1]]=0,0,FIND("/",Table1[[#This Row],[Final Obj Name]],Table1[[#This Row],[Position 1]]+1))</f>
        <v>0</v>
      </c>
      <c r="AK449" t="str">
        <f>IF(LEFT(Table1[[#This Row],[Final Obj Name]],1)="/",LEFT(Table1[[#This Row],[Final Obj Name]],FIND("/",Table1[[#This Row],[Final Obj Name]],2)),"/0SAP/")</f>
        <v>/0SAP/</v>
      </c>
    </row>
    <row r="450">
      <c r="A450" t="str">
        <v>DTEL</v>
      </c>
      <c r="B450" t="str">
        <v>ZDEMDG_AREA</v>
      </c>
      <c r="C450" t="str">
        <v>DTED</v>
      </c>
      <c r="D450" t="str">
        <v>ZDEMDG_AREA</v>
      </c>
      <c r="G450" t="str">
        <v>ALL</v>
      </c>
      <c r="K450" t="str">
        <v>E</v>
      </c>
      <c r="L450" t="str">
        <v>NSHAIK</v>
      </c>
      <c r="M450">
        <v>46013</v>
      </c>
      <c r="N450">
        <v>0.25447916666667</v>
      </c>
      <c r="W450" t="str">
        <v>SP1K961121</v>
      </c>
      <c r="Y450">
        <f>IF(Table1[[#This Row],[OPERATION]]="NOTE","NOTE",Table1[[#This Row],[SUB_TYPE]])</f>
        <v>0</v>
      </c>
      <c r="Z450">
        <f>IF(Table1[[#This Row],[OPERATION]]="NOTE",NUMBERVALUE(LEFT(Table1[[#This Row],[MOD_NAME]],LEN(Table1[[#This Row],[MOD_NAME]])-4)),Table1[[#This Row],[SUB_NAME]])</f>
        <v>0</v>
      </c>
      <c r="AA450" t="str">
        <f>CONCAT(Table1[[#This Row],[Final Obj Type]],"|",Table1[[#This Row],[Final Obj Name]])</f>
        <v>0|0</v>
      </c>
      <c r="AB450" t="e">
        <f>VLOOKUP(Table1[[#This Row],[Final Obj Type]],Classification!B:E,3,FALSE)</f>
        <v>#N/A</v>
      </c>
      <c r="AC450" t="e">
        <f>VLOOKUP(Table1[[#This Row],[Final Obj Type]],Classification!B:E,4,FALSE)</f>
        <v>#N/A</v>
      </c>
      <c r="AD450" t="str">
        <f>IF(Table1[[#This Row],[Position 1]]=0,"/0SAP/",MID(Table1[[#This Row],[Final Obj Name]],Table1[[#This Row],[Position 1]],Table1[[#This Row],[Position 2]]-Table1[[#This Row],[Position 1]]+1))</f>
        <v>/0SAP/</v>
      </c>
      <c r="AE450" t="str">
        <f>VLOOKUP(Table1[[#This Row],[/* Object]],Namespace!A:J,10,FALSE)</f>
        <v>SAP AG</v>
      </c>
      <c r="AF450" t="str">
        <f>IF(VLOOKUP(Table1[[#This Row],[/* Object]],Namespace!A:J,4,FALSE)=0,"",VLOOKUP(Table1[[#This Row],[/* Object]],Namespace!A:J,4,FALSE))</f>
        <v>X</v>
      </c>
      <c r="AG450" t="str">
        <f>IF(VLOOKUP(Table1[[#This Row],[/* Object]],Namespace!A:J,5,FALSE)=0,"",VLOOKUP(Table1[[#This Row],[/* Object]],Namespace!A:J,5,FALSE))</f>
        <v>X</v>
      </c>
      <c r="AH450" t="str">
        <f>IF(VLOOKUP(Table1[[#This Row],[/* Object]],Namespace!A:J,6,FALSE)=0,"",VLOOKUP(Table1[[#This Row],[/* Object]],Namespace!A:J,6,FALSE))</f>
        <v/>
      </c>
      <c r="AI450">
        <f>IFERROR(FIND("/",Table1[[#This Row],[Final Obj Name]],1),0)</f>
        <v>0</v>
      </c>
      <c r="AJ450">
        <f>IF(Table1[[#This Row],[Position 1]]=0,0,FIND("/",Table1[[#This Row],[Final Obj Name]],Table1[[#This Row],[Position 1]]+1))</f>
        <v>0</v>
      </c>
      <c r="AK450" t="str">
        <f>IF(LEFT(Table1[[#This Row],[Final Obj Name]],1)="/",LEFT(Table1[[#This Row],[Final Obj Name]],FIND("/",Table1[[#This Row],[Final Obj Name]],2)),"/0SAP/")</f>
        <v>/0SAP/</v>
      </c>
    </row>
    <row r="451">
      <c r="A451" t="str">
        <v>DTEL</v>
      </c>
      <c r="B451" t="str">
        <v>ZDEMDG_ERPIDEN</v>
      </c>
      <c r="C451" t="str">
        <v>DTED</v>
      </c>
      <c r="D451" t="str">
        <v>ZDEMDG_ERPIDEN</v>
      </c>
      <c r="G451" t="str">
        <v>ALL</v>
      </c>
      <c r="K451" t="str">
        <v>E</v>
      </c>
      <c r="L451" t="str">
        <v>NSHAIK</v>
      </c>
      <c r="M451">
        <v>46013</v>
      </c>
      <c r="N451">
        <v>0.2547337962963</v>
      </c>
      <c r="W451" t="str">
        <v>SP1K961121</v>
      </c>
      <c r="Y451">
        <f>IF(Table1[[#This Row],[OPERATION]]="NOTE","NOTE",Table1[[#This Row],[SUB_TYPE]])</f>
        <v>0</v>
      </c>
      <c r="Z451">
        <f>IF(Table1[[#This Row],[OPERATION]]="NOTE",NUMBERVALUE(LEFT(Table1[[#This Row],[MOD_NAME]],LEN(Table1[[#This Row],[MOD_NAME]])-4)),Table1[[#This Row],[SUB_NAME]])</f>
        <v>0</v>
      </c>
      <c r="AA451" t="str">
        <f>CONCAT(Table1[[#This Row],[Final Obj Type]],"|",Table1[[#This Row],[Final Obj Name]])</f>
        <v>0|0</v>
      </c>
      <c r="AB451" t="e">
        <f>VLOOKUP(Table1[[#This Row],[Final Obj Type]],Classification!B:E,3,FALSE)</f>
        <v>#N/A</v>
      </c>
      <c r="AC451" t="e">
        <f>VLOOKUP(Table1[[#This Row],[Final Obj Type]],Classification!B:E,4,FALSE)</f>
        <v>#N/A</v>
      </c>
      <c r="AD451" t="str">
        <f>IF(Table1[[#This Row],[Position 1]]=0,"/0SAP/",MID(Table1[[#This Row],[Final Obj Name]],Table1[[#This Row],[Position 1]],Table1[[#This Row],[Position 2]]-Table1[[#This Row],[Position 1]]+1))</f>
        <v>/0SAP/</v>
      </c>
      <c r="AE451" t="str">
        <f>VLOOKUP(Table1[[#This Row],[/* Object]],Namespace!A:J,10,FALSE)</f>
        <v>SAP AG</v>
      </c>
      <c r="AF451" t="str">
        <f>IF(VLOOKUP(Table1[[#This Row],[/* Object]],Namespace!A:J,4,FALSE)=0,"",VLOOKUP(Table1[[#This Row],[/* Object]],Namespace!A:J,4,FALSE))</f>
        <v>X</v>
      </c>
      <c r="AG451" t="str">
        <f>IF(VLOOKUP(Table1[[#This Row],[/* Object]],Namespace!A:J,5,FALSE)=0,"",VLOOKUP(Table1[[#This Row],[/* Object]],Namespace!A:J,5,FALSE))</f>
        <v>X</v>
      </c>
      <c r="AH451" t="str">
        <f>IF(VLOOKUP(Table1[[#This Row],[/* Object]],Namespace!A:J,6,FALSE)=0,"",VLOOKUP(Table1[[#This Row],[/* Object]],Namespace!A:J,6,FALSE))</f>
        <v/>
      </c>
      <c r="AI451">
        <f>IFERROR(FIND("/",Table1[[#This Row],[Final Obj Name]],1),0)</f>
        <v>0</v>
      </c>
      <c r="AJ451">
        <f>IF(Table1[[#This Row],[Position 1]]=0,0,FIND("/",Table1[[#This Row],[Final Obj Name]],Table1[[#This Row],[Position 1]]+1))</f>
        <v>0</v>
      </c>
      <c r="AK451" t="str">
        <f>IF(LEFT(Table1[[#This Row],[Final Obj Name]],1)="/",LEFT(Table1[[#This Row],[Final Obj Name]],FIND("/",Table1[[#This Row],[Final Obj Name]],2)),"/0SAP/")</f>
        <v>/0SAP/</v>
      </c>
    </row>
    <row r="452">
      <c r="A452" t="str">
        <v>DTEL</v>
      </c>
      <c r="B452" t="str">
        <v>ZDEMDG_ORACLEOU</v>
      </c>
      <c r="C452" t="str">
        <v>DTED</v>
      </c>
      <c r="D452" t="str">
        <v>ZDEMDG_ORACLEOU</v>
      </c>
      <c r="G452" t="str">
        <v>ALL</v>
      </c>
      <c r="K452" t="str">
        <v>E</v>
      </c>
      <c r="L452" t="str">
        <v>NSHAIK</v>
      </c>
      <c r="M452">
        <v>46013</v>
      </c>
      <c r="N452">
        <v>0.25496527777778</v>
      </c>
      <c r="W452" t="str">
        <v>SP1K961121</v>
      </c>
      <c r="Y452">
        <f>IF(Table1[[#This Row],[OPERATION]]="NOTE","NOTE",Table1[[#This Row],[SUB_TYPE]])</f>
        <v>0</v>
      </c>
      <c r="Z452">
        <f>IF(Table1[[#This Row],[OPERATION]]="NOTE",NUMBERVALUE(LEFT(Table1[[#This Row],[MOD_NAME]],LEN(Table1[[#This Row],[MOD_NAME]])-4)),Table1[[#This Row],[SUB_NAME]])</f>
        <v>0</v>
      </c>
      <c r="AA452" t="str">
        <f>CONCAT(Table1[[#This Row],[Final Obj Type]],"|",Table1[[#This Row],[Final Obj Name]])</f>
        <v>0|0</v>
      </c>
      <c r="AB452" t="e">
        <f>VLOOKUP(Table1[[#This Row],[Final Obj Type]],Classification!B:E,3,FALSE)</f>
        <v>#N/A</v>
      </c>
      <c r="AC452" t="e">
        <f>VLOOKUP(Table1[[#This Row],[Final Obj Type]],Classification!B:E,4,FALSE)</f>
        <v>#N/A</v>
      </c>
      <c r="AD452" t="str">
        <f>IF(Table1[[#This Row],[Position 1]]=0,"/0SAP/",MID(Table1[[#This Row],[Final Obj Name]],Table1[[#This Row],[Position 1]],Table1[[#This Row],[Position 2]]-Table1[[#This Row],[Position 1]]+1))</f>
        <v>/0SAP/</v>
      </c>
      <c r="AE452" t="str">
        <f>VLOOKUP(Table1[[#This Row],[/* Object]],Namespace!A:J,10,FALSE)</f>
        <v>SAP AG</v>
      </c>
      <c r="AF452" t="str">
        <f>IF(VLOOKUP(Table1[[#This Row],[/* Object]],Namespace!A:J,4,FALSE)=0,"",VLOOKUP(Table1[[#This Row],[/* Object]],Namespace!A:J,4,FALSE))</f>
        <v>X</v>
      </c>
      <c r="AG452" t="str">
        <f>IF(VLOOKUP(Table1[[#This Row],[/* Object]],Namespace!A:J,5,FALSE)=0,"",VLOOKUP(Table1[[#This Row],[/* Object]],Namespace!A:J,5,FALSE))</f>
        <v>X</v>
      </c>
      <c r="AH452" t="str">
        <f>IF(VLOOKUP(Table1[[#This Row],[/* Object]],Namespace!A:J,6,FALSE)=0,"",VLOOKUP(Table1[[#This Row],[/* Object]],Namespace!A:J,6,FALSE))</f>
        <v/>
      </c>
      <c r="AI452">
        <f>IFERROR(FIND("/",Table1[[#This Row],[Final Obj Name]],1),0)</f>
        <v>0</v>
      </c>
      <c r="AJ452">
        <f>IF(Table1[[#This Row],[Position 1]]=0,0,FIND("/",Table1[[#This Row],[Final Obj Name]],Table1[[#This Row],[Position 1]]+1))</f>
        <v>0</v>
      </c>
      <c r="AK452" t="str">
        <f>IF(LEFT(Table1[[#This Row],[Final Obj Name]],1)="/",LEFT(Table1[[#This Row],[Final Obj Name]],FIND("/",Table1[[#This Row],[Final Obj Name]],2)),"/0SAP/")</f>
        <v>/0SAP/</v>
      </c>
    </row>
    <row r="453">
      <c r="A453" t="str">
        <v>DTEL</v>
      </c>
      <c r="B453" t="str">
        <v>ZDEMDG_SOURCENUM</v>
      </c>
      <c r="C453" t="str">
        <v>DTED</v>
      </c>
      <c r="D453" t="str">
        <v>ZDEMDG_SOURCENUM</v>
      </c>
      <c r="G453" t="str">
        <v>ALL</v>
      </c>
      <c r="K453" t="str">
        <v>E</v>
      </c>
      <c r="L453" t="str">
        <v>NSHAIK</v>
      </c>
      <c r="M453">
        <v>46013</v>
      </c>
      <c r="N453">
        <v>0.25516203703704</v>
      </c>
      <c r="W453" t="str">
        <v>SP1K961121</v>
      </c>
      <c r="Y453">
        <f>IF(Table1[[#This Row],[OPERATION]]="NOTE","NOTE",Table1[[#This Row],[SUB_TYPE]])</f>
        <v>0</v>
      </c>
      <c r="Z453">
        <f>IF(Table1[[#This Row],[OPERATION]]="NOTE",NUMBERVALUE(LEFT(Table1[[#This Row],[MOD_NAME]],LEN(Table1[[#This Row],[MOD_NAME]])-4)),Table1[[#This Row],[SUB_NAME]])</f>
        <v>0</v>
      </c>
      <c r="AA453" t="str">
        <f>CONCAT(Table1[[#This Row],[Final Obj Type]],"|",Table1[[#This Row],[Final Obj Name]])</f>
        <v>0|0</v>
      </c>
      <c r="AB453" t="e">
        <f>VLOOKUP(Table1[[#This Row],[Final Obj Type]],Classification!B:E,3,FALSE)</f>
        <v>#N/A</v>
      </c>
      <c r="AC453" t="e">
        <f>VLOOKUP(Table1[[#This Row],[Final Obj Type]],Classification!B:E,4,FALSE)</f>
        <v>#N/A</v>
      </c>
      <c r="AD453" t="str">
        <f>IF(Table1[[#This Row],[Position 1]]=0,"/0SAP/",MID(Table1[[#This Row],[Final Obj Name]],Table1[[#This Row],[Position 1]],Table1[[#This Row],[Position 2]]-Table1[[#This Row],[Position 1]]+1))</f>
        <v>/0SAP/</v>
      </c>
      <c r="AE453" t="str">
        <f>VLOOKUP(Table1[[#This Row],[/* Object]],Namespace!A:J,10,FALSE)</f>
        <v>SAP AG</v>
      </c>
      <c r="AF453" t="str">
        <f>IF(VLOOKUP(Table1[[#This Row],[/* Object]],Namespace!A:J,4,FALSE)=0,"",VLOOKUP(Table1[[#This Row],[/* Object]],Namespace!A:J,4,FALSE))</f>
        <v>X</v>
      </c>
      <c r="AG453" t="str">
        <f>IF(VLOOKUP(Table1[[#This Row],[/* Object]],Namespace!A:J,5,FALSE)=0,"",VLOOKUP(Table1[[#This Row],[/* Object]],Namespace!A:J,5,FALSE))</f>
        <v>X</v>
      </c>
      <c r="AH453" t="str">
        <f>IF(VLOOKUP(Table1[[#This Row],[/* Object]],Namespace!A:J,6,FALSE)=0,"",VLOOKUP(Table1[[#This Row],[/* Object]],Namespace!A:J,6,FALSE))</f>
        <v/>
      </c>
      <c r="AI453">
        <f>IFERROR(FIND("/",Table1[[#This Row],[Final Obj Name]],1),0)</f>
        <v>0</v>
      </c>
      <c r="AJ453">
        <f>IF(Table1[[#This Row],[Position 1]]=0,0,FIND("/",Table1[[#This Row],[Final Obj Name]],Table1[[#This Row],[Position 1]]+1))</f>
        <v>0</v>
      </c>
      <c r="AK453" t="str">
        <f>IF(LEFT(Table1[[#This Row],[Final Obj Name]],1)="/",LEFT(Table1[[#This Row],[Final Obj Name]],FIND("/",Table1[[#This Row],[Final Obj Name]],2)),"/0SAP/")</f>
        <v>/0SAP/</v>
      </c>
    </row>
    <row r="454">
      <c r="A454" t="str">
        <v>DTEL</v>
      </c>
      <c r="B454" t="str">
        <v>ZDEMGS_COMMMODITY_L3</v>
      </c>
      <c r="C454" t="str">
        <v>DTED</v>
      </c>
      <c r="D454" t="str">
        <v>ZDEMGS_COMMMODITY_L3</v>
      </c>
      <c r="G454" t="str">
        <v>ALL</v>
      </c>
      <c r="K454" t="str">
        <v>E</v>
      </c>
      <c r="L454" t="str">
        <v>NSHAIK</v>
      </c>
      <c r="M454">
        <v>46013</v>
      </c>
      <c r="N454">
        <v>0.29324074074074</v>
      </c>
      <c r="W454" t="str">
        <v>SP1K961121</v>
      </c>
      <c r="Y454">
        <f>IF(Table1[[#This Row],[OPERATION]]="NOTE","NOTE",Table1[[#This Row],[SUB_TYPE]])</f>
        <v>0</v>
      </c>
      <c r="Z454">
        <f>IF(Table1[[#This Row],[OPERATION]]="NOTE",NUMBERVALUE(LEFT(Table1[[#This Row],[MOD_NAME]],LEN(Table1[[#This Row],[MOD_NAME]])-4)),Table1[[#This Row],[SUB_NAME]])</f>
        <v>0</v>
      </c>
      <c r="AA454" t="str">
        <f>CONCAT(Table1[[#This Row],[Final Obj Type]],"|",Table1[[#This Row],[Final Obj Name]])</f>
        <v>0|0</v>
      </c>
      <c r="AB454" t="e">
        <f>VLOOKUP(Table1[[#This Row],[Final Obj Type]],Classification!B:E,3,FALSE)</f>
        <v>#N/A</v>
      </c>
      <c r="AC454" t="e">
        <f>VLOOKUP(Table1[[#This Row],[Final Obj Type]],Classification!B:E,4,FALSE)</f>
        <v>#N/A</v>
      </c>
      <c r="AD454" t="str">
        <f>IF(Table1[[#This Row],[Position 1]]=0,"/0SAP/",MID(Table1[[#This Row],[Final Obj Name]],Table1[[#This Row],[Position 1]],Table1[[#This Row],[Position 2]]-Table1[[#This Row],[Position 1]]+1))</f>
        <v>/0SAP/</v>
      </c>
      <c r="AE454" t="str">
        <f>VLOOKUP(Table1[[#This Row],[/* Object]],Namespace!A:J,10,FALSE)</f>
        <v>SAP AG</v>
      </c>
      <c r="AF454" t="str">
        <f>IF(VLOOKUP(Table1[[#This Row],[/* Object]],Namespace!A:J,4,FALSE)=0,"",VLOOKUP(Table1[[#This Row],[/* Object]],Namespace!A:J,4,FALSE))</f>
        <v>X</v>
      </c>
      <c r="AG454" t="str">
        <f>IF(VLOOKUP(Table1[[#This Row],[/* Object]],Namespace!A:J,5,FALSE)=0,"",VLOOKUP(Table1[[#This Row],[/* Object]],Namespace!A:J,5,FALSE))</f>
        <v>X</v>
      </c>
      <c r="AH454" t="str">
        <f>IF(VLOOKUP(Table1[[#This Row],[/* Object]],Namespace!A:J,6,FALSE)=0,"",VLOOKUP(Table1[[#This Row],[/* Object]],Namespace!A:J,6,FALSE))</f>
        <v/>
      </c>
      <c r="AI454">
        <f>IFERROR(FIND("/",Table1[[#This Row],[Final Obj Name]],1),0)</f>
        <v>0</v>
      </c>
      <c r="AJ454">
        <f>IF(Table1[[#This Row],[Position 1]]=0,0,FIND("/",Table1[[#This Row],[Final Obj Name]],Table1[[#This Row],[Position 1]]+1))</f>
        <v>0</v>
      </c>
      <c r="AK454" t="str">
        <f>IF(LEFT(Table1[[#This Row],[Final Obj Name]],1)="/",LEFT(Table1[[#This Row],[Final Obj Name]],FIND("/",Table1[[#This Row],[Final Obj Name]],2)),"/0SAP/")</f>
        <v>/0SAP/</v>
      </c>
    </row>
    <row r="455">
      <c r="A455" t="str">
        <v>DTEL</v>
      </c>
      <c r="B455" t="str">
        <v>ZDEMGS_COMMMODITY_L4</v>
      </c>
      <c r="C455" t="str">
        <v>DTED</v>
      </c>
      <c r="D455" t="str">
        <v>ZDEMGS_COMMMODITY_L4</v>
      </c>
      <c r="G455" t="str">
        <v>ALL</v>
      </c>
      <c r="K455" t="str">
        <v>E</v>
      </c>
      <c r="L455" t="str">
        <v>NSHAIK</v>
      </c>
      <c r="M455">
        <v>46013</v>
      </c>
      <c r="N455">
        <v>0.2934837962963</v>
      </c>
      <c r="W455" t="str">
        <v>SP1K961121</v>
      </c>
      <c r="Y455">
        <f>IF(Table1[[#This Row],[OPERATION]]="NOTE","NOTE",Table1[[#This Row],[SUB_TYPE]])</f>
        <v>0</v>
      </c>
      <c r="Z455">
        <f>IF(Table1[[#This Row],[OPERATION]]="NOTE",NUMBERVALUE(LEFT(Table1[[#This Row],[MOD_NAME]],LEN(Table1[[#This Row],[MOD_NAME]])-4)),Table1[[#This Row],[SUB_NAME]])</f>
        <v>0</v>
      </c>
      <c r="AA455" t="str">
        <f>CONCAT(Table1[[#This Row],[Final Obj Type]],"|",Table1[[#This Row],[Final Obj Name]])</f>
        <v>0|0</v>
      </c>
      <c r="AB455" t="e">
        <f>VLOOKUP(Table1[[#This Row],[Final Obj Type]],Classification!B:E,3,FALSE)</f>
        <v>#N/A</v>
      </c>
      <c r="AC455" t="e">
        <f>VLOOKUP(Table1[[#This Row],[Final Obj Type]],Classification!B:E,4,FALSE)</f>
        <v>#N/A</v>
      </c>
      <c r="AD455" t="str">
        <f>IF(Table1[[#This Row],[Position 1]]=0,"/0SAP/",MID(Table1[[#This Row],[Final Obj Name]],Table1[[#This Row],[Position 1]],Table1[[#This Row],[Position 2]]-Table1[[#This Row],[Position 1]]+1))</f>
        <v>/0SAP/</v>
      </c>
      <c r="AE455" t="str">
        <f>VLOOKUP(Table1[[#This Row],[/* Object]],Namespace!A:J,10,FALSE)</f>
        <v>SAP AG</v>
      </c>
      <c r="AF455" t="str">
        <f>IF(VLOOKUP(Table1[[#This Row],[/* Object]],Namespace!A:J,4,FALSE)=0,"",VLOOKUP(Table1[[#This Row],[/* Object]],Namespace!A:J,4,FALSE))</f>
        <v>X</v>
      </c>
      <c r="AG455" t="str">
        <f>IF(VLOOKUP(Table1[[#This Row],[/* Object]],Namespace!A:J,5,FALSE)=0,"",VLOOKUP(Table1[[#This Row],[/* Object]],Namespace!A:J,5,FALSE))</f>
        <v>X</v>
      </c>
      <c r="AH455" t="str">
        <f>IF(VLOOKUP(Table1[[#This Row],[/* Object]],Namespace!A:J,6,FALSE)=0,"",VLOOKUP(Table1[[#This Row],[/* Object]],Namespace!A:J,6,FALSE))</f>
        <v/>
      </c>
      <c r="AI455">
        <f>IFERROR(FIND("/",Table1[[#This Row],[Final Obj Name]],1),0)</f>
        <v>0</v>
      </c>
      <c r="AJ455">
        <f>IF(Table1[[#This Row],[Position 1]]=0,0,FIND("/",Table1[[#This Row],[Final Obj Name]],Table1[[#This Row],[Position 1]]+1))</f>
        <v>0</v>
      </c>
      <c r="AK455" t="str">
        <f>IF(LEFT(Table1[[#This Row],[Final Obj Name]],1)="/",LEFT(Table1[[#This Row],[Final Obj Name]],FIND("/",Table1[[#This Row],[Final Obj Name]],2)),"/0SAP/")</f>
        <v>/0SAP/</v>
      </c>
    </row>
    <row r="456">
      <c r="A456" t="str">
        <v>DTEL</v>
      </c>
      <c r="B456" t="str">
        <v>ZDE_DUN_AC_URL</v>
      </c>
      <c r="C456" t="str">
        <v>DTED</v>
      </c>
      <c r="D456" t="str">
        <v>ZDE_DUN_AC_URL</v>
      </c>
      <c r="G456" t="str">
        <v>ALL</v>
      </c>
      <c r="K456" t="str">
        <v>E</v>
      </c>
      <c r="L456" t="str">
        <v>NSHAIK</v>
      </c>
      <c r="M456">
        <v>46013</v>
      </c>
      <c r="N456">
        <v>0.2553587962963</v>
      </c>
      <c r="W456" t="str">
        <v>SP1K961121</v>
      </c>
      <c r="Y456">
        <f>IF(Table1[[#This Row],[OPERATION]]="NOTE","NOTE",Table1[[#This Row],[SUB_TYPE]])</f>
        <v>0</v>
      </c>
      <c r="Z456">
        <f>IF(Table1[[#This Row],[OPERATION]]="NOTE",NUMBERVALUE(LEFT(Table1[[#This Row],[MOD_NAME]],LEN(Table1[[#This Row],[MOD_NAME]])-4)),Table1[[#This Row],[SUB_NAME]])</f>
        <v>0</v>
      </c>
      <c r="AA456" t="str">
        <f>CONCAT(Table1[[#This Row],[Final Obj Type]],"|",Table1[[#This Row],[Final Obj Name]])</f>
        <v>0|0</v>
      </c>
      <c r="AB456" t="e">
        <f>VLOOKUP(Table1[[#This Row],[Final Obj Type]],Classification!B:E,3,FALSE)</f>
        <v>#N/A</v>
      </c>
      <c r="AC456" t="e">
        <f>VLOOKUP(Table1[[#This Row],[Final Obj Type]],Classification!B:E,4,FALSE)</f>
        <v>#N/A</v>
      </c>
      <c r="AD456" t="str">
        <f>IF(Table1[[#This Row],[Position 1]]=0,"/0SAP/",MID(Table1[[#This Row],[Final Obj Name]],Table1[[#This Row],[Position 1]],Table1[[#This Row],[Position 2]]-Table1[[#This Row],[Position 1]]+1))</f>
        <v>/0SAP/</v>
      </c>
      <c r="AE456" t="str">
        <f>VLOOKUP(Table1[[#This Row],[/* Object]],Namespace!A:J,10,FALSE)</f>
        <v>SAP AG</v>
      </c>
      <c r="AF456" t="str">
        <f>IF(VLOOKUP(Table1[[#This Row],[/* Object]],Namespace!A:J,4,FALSE)=0,"",VLOOKUP(Table1[[#This Row],[/* Object]],Namespace!A:J,4,FALSE))</f>
        <v>X</v>
      </c>
      <c r="AG456" t="str">
        <f>IF(VLOOKUP(Table1[[#This Row],[/* Object]],Namespace!A:J,5,FALSE)=0,"",VLOOKUP(Table1[[#This Row],[/* Object]],Namespace!A:J,5,FALSE))</f>
        <v>X</v>
      </c>
      <c r="AH456" t="str">
        <f>IF(VLOOKUP(Table1[[#This Row],[/* Object]],Namespace!A:J,6,FALSE)=0,"",VLOOKUP(Table1[[#This Row],[/* Object]],Namespace!A:J,6,FALSE))</f>
        <v/>
      </c>
      <c r="AI456">
        <f>IFERROR(FIND("/",Table1[[#This Row],[Final Obj Name]],1),0)</f>
        <v>0</v>
      </c>
      <c r="AJ456">
        <f>IF(Table1[[#This Row],[Position 1]]=0,0,FIND("/",Table1[[#This Row],[Final Obj Name]],Table1[[#This Row],[Position 1]]+1))</f>
        <v>0</v>
      </c>
      <c r="AK456" t="str">
        <f>IF(LEFT(Table1[[#This Row],[Final Obj Name]],1)="/",LEFT(Table1[[#This Row],[Final Obj Name]],FIND("/",Table1[[#This Row],[Final Obj Name]],2)),"/0SAP/")</f>
        <v>/0SAP/</v>
      </c>
    </row>
    <row r="457">
      <c r="A457" t="str">
        <v>DTEL</v>
      </c>
      <c r="B457" t="str">
        <v>ZDE_DUN_AP_TAG1</v>
      </c>
      <c r="C457" t="str">
        <v>DTED</v>
      </c>
      <c r="D457" t="str">
        <v>ZDE_DUN_AP_TAG1</v>
      </c>
      <c r="G457" t="str">
        <v>ALL</v>
      </c>
      <c r="K457" t="str">
        <v>E</v>
      </c>
      <c r="L457" t="str">
        <v>NSHAIK</v>
      </c>
      <c r="M457">
        <v>46013</v>
      </c>
      <c r="N457">
        <v>0.25599537037037</v>
      </c>
      <c r="W457" t="str">
        <v>SP1K961121</v>
      </c>
      <c r="Y457">
        <f>IF(Table1[[#This Row],[OPERATION]]="NOTE","NOTE",Table1[[#This Row],[SUB_TYPE]])</f>
        <v>0</v>
      </c>
      <c r="Z457">
        <f>IF(Table1[[#This Row],[OPERATION]]="NOTE",NUMBERVALUE(LEFT(Table1[[#This Row],[MOD_NAME]],LEN(Table1[[#This Row],[MOD_NAME]])-4)),Table1[[#This Row],[SUB_NAME]])</f>
        <v>0</v>
      </c>
      <c r="AA457" t="str">
        <f>CONCAT(Table1[[#This Row],[Final Obj Type]],"|",Table1[[#This Row],[Final Obj Name]])</f>
        <v>0|0</v>
      </c>
      <c r="AB457" t="e">
        <f>VLOOKUP(Table1[[#This Row],[Final Obj Type]],Classification!B:E,3,FALSE)</f>
        <v>#N/A</v>
      </c>
      <c r="AC457" t="e">
        <f>VLOOKUP(Table1[[#This Row],[Final Obj Type]],Classification!B:E,4,FALSE)</f>
        <v>#N/A</v>
      </c>
      <c r="AD457" t="str">
        <f>IF(Table1[[#This Row],[Position 1]]=0,"/0SAP/",MID(Table1[[#This Row],[Final Obj Name]],Table1[[#This Row],[Position 1]],Table1[[#This Row],[Position 2]]-Table1[[#This Row],[Position 1]]+1))</f>
        <v>/0SAP/</v>
      </c>
      <c r="AE457" t="str">
        <f>VLOOKUP(Table1[[#This Row],[/* Object]],Namespace!A:J,10,FALSE)</f>
        <v>SAP AG</v>
      </c>
      <c r="AF457" t="str">
        <f>IF(VLOOKUP(Table1[[#This Row],[/* Object]],Namespace!A:J,4,FALSE)=0,"",VLOOKUP(Table1[[#This Row],[/* Object]],Namespace!A:J,4,FALSE))</f>
        <v>X</v>
      </c>
      <c r="AG457" t="str">
        <f>IF(VLOOKUP(Table1[[#This Row],[/* Object]],Namespace!A:J,5,FALSE)=0,"",VLOOKUP(Table1[[#This Row],[/* Object]],Namespace!A:J,5,FALSE))</f>
        <v>X</v>
      </c>
      <c r="AH457" t="str">
        <f>IF(VLOOKUP(Table1[[#This Row],[/* Object]],Namespace!A:J,6,FALSE)=0,"",VLOOKUP(Table1[[#This Row],[/* Object]],Namespace!A:J,6,FALSE))</f>
        <v/>
      </c>
      <c r="AI457">
        <f>IFERROR(FIND("/",Table1[[#This Row],[Final Obj Name]],1),0)</f>
        <v>0</v>
      </c>
      <c r="AJ457">
        <f>IF(Table1[[#This Row],[Position 1]]=0,0,FIND("/",Table1[[#This Row],[Final Obj Name]],Table1[[#This Row],[Position 1]]+1))</f>
        <v>0</v>
      </c>
      <c r="AK457" t="str">
        <f>IF(LEFT(Table1[[#This Row],[Final Obj Name]],1)="/",LEFT(Table1[[#This Row],[Final Obj Name]],FIND("/",Table1[[#This Row],[Final Obj Name]],2)),"/0SAP/")</f>
        <v>/0SAP/</v>
      </c>
    </row>
    <row r="458">
      <c r="A458" t="str">
        <v>DTEL</v>
      </c>
      <c r="B458" t="str">
        <v>ZDE_DUN_AP_URL</v>
      </c>
      <c r="C458" t="str">
        <v>DTED</v>
      </c>
      <c r="D458" t="str">
        <v>ZDE_DUN_AP_URL</v>
      </c>
      <c r="G458" t="str">
        <v>ALL</v>
      </c>
      <c r="K458" t="str">
        <v>E</v>
      </c>
      <c r="L458" t="str">
        <v>NSHAIK</v>
      </c>
      <c r="M458">
        <v>46013</v>
      </c>
      <c r="N458">
        <v>0.25619212962963</v>
      </c>
      <c r="W458" t="str">
        <v>SP1K961121</v>
      </c>
      <c r="Y458">
        <f>IF(Table1[[#This Row],[OPERATION]]="NOTE","NOTE",Table1[[#This Row],[SUB_TYPE]])</f>
        <v>0</v>
      </c>
      <c r="Z458">
        <f>IF(Table1[[#This Row],[OPERATION]]="NOTE",NUMBERVALUE(LEFT(Table1[[#This Row],[MOD_NAME]],LEN(Table1[[#This Row],[MOD_NAME]])-4)),Table1[[#This Row],[SUB_NAME]])</f>
        <v>0</v>
      </c>
      <c r="AA458" t="str">
        <f>CONCAT(Table1[[#This Row],[Final Obj Type]],"|",Table1[[#This Row],[Final Obj Name]])</f>
        <v>0|0</v>
      </c>
      <c r="AB458" t="e">
        <f>VLOOKUP(Table1[[#This Row],[Final Obj Type]],Classification!B:E,3,FALSE)</f>
        <v>#N/A</v>
      </c>
      <c r="AC458" t="e">
        <f>VLOOKUP(Table1[[#This Row],[Final Obj Type]],Classification!B:E,4,FALSE)</f>
        <v>#N/A</v>
      </c>
      <c r="AD458" t="str">
        <f>IF(Table1[[#This Row],[Position 1]]=0,"/0SAP/",MID(Table1[[#This Row],[Final Obj Name]],Table1[[#This Row],[Position 1]],Table1[[#This Row],[Position 2]]-Table1[[#This Row],[Position 1]]+1))</f>
        <v>/0SAP/</v>
      </c>
      <c r="AE458" t="str">
        <f>VLOOKUP(Table1[[#This Row],[/* Object]],Namespace!A:J,10,FALSE)</f>
        <v>SAP AG</v>
      </c>
      <c r="AF458" t="str">
        <f>IF(VLOOKUP(Table1[[#This Row],[/* Object]],Namespace!A:J,4,FALSE)=0,"",VLOOKUP(Table1[[#This Row],[/* Object]],Namespace!A:J,4,FALSE))</f>
        <v>X</v>
      </c>
      <c r="AG458" t="str">
        <f>IF(VLOOKUP(Table1[[#This Row],[/* Object]],Namespace!A:J,5,FALSE)=0,"",VLOOKUP(Table1[[#This Row],[/* Object]],Namespace!A:J,5,FALSE))</f>
        <v>X</v>
      </c>
      <c r="AH458" t="str">
        <f>IF(VLOOKUP(Table1[[#This Row],[/* Object]],Namespace!A:J,6,FALSE)=0,"",VLOOKUP(Table1[[#This Row],[/* Object]],Namespace!A:J,6,FALSE))</f>
        <v/>
      </c>
      <c r="AI458">
        <f>IFERROR(FIND("/",Table1[[#This Row],[Final Obj Name]],1),0)</f>
        <v>0</v>
      </c>
      <c r="AJ458">
        <f>IF(Table1[[#This Row],[Position 1]]=0,0,FIND("/",Table1[[#This Row],[Final Obj Name]],Table1[[#This Row],[Position 1]]+1))</f>
        <v>0</v>
      </c>
      <c r="AK458" t="str">
        <f>IF(LEFT(Table1[[#This Row],[Final Obj Name]],1)="/",LEFT(Table1[[#This Row],[Final Obj Name]],FIND("/",Table1[[#This Row],[Final Obj Name]],2)),"/0SAP/")</f>
        <v>/0SAP/</v>
      </c>
    </row>
    <row r="459">
      <c r="A459" t="str">
        <v>DTEL</v>
      </c>
      <c r="B459" t="str">
        <v>ZDE_DUN_BASE64</v>
      </c>
      <c r="C459" t="str">
        <v>DTED</v>
      </c>
      <c r="D459" t="str">
        <v>ZDE_DUN_BASE64</v>
      </c>
      <c r="G459" t="str">
        <v>ALL</v>
      </c>
      <c r="K459" t="str">
        <v>E</v>
      </c>
      <c r="L459" t="str">
        <v>NSHAIK</v>
      </c>
      <c r="M459">
        <v>46013</v>
      </c>
      <c r="N459">
        <v>0.25644675925926</v>
      </c>
      <c r="W459" t="str">
        <v>SP1K961121</v>
      </c>
      <c r="Y459">
        <f>IF(Table1[[#This Row],[OPERATION]]="NOTE","NOTE",Table1[[#This Row],[SUB_TYPE]])</f>
        <v>0</v>
      </c>
      <c r="Z459">
        <f>IF(Table1[[#This Row],[OPERATION]]="NOTE",NUMBERVALUE(LEFT(Table1[[#This Row],[MOD_NAME]],LEN(Table1[[#This Row],[MOD_NAME]])-4)),Table1[[#This Row],[SUB_NAME]])</f>
        <v>0</v>
      </c>
      <c r="AA459" t="str">
        <f>CONCAT(Table1[[#This Row],[Final Obj Type]],"|",Table1[[#This Row],[Final Obj Name]])</f>
        <v>0|0</v>
      </c>
      <c r="AB459" t="e">
        <f>VLOOKUP(Table1[[#This Row],[Final Obj Type]],Classification!B:E,3,FALSE)</f>
        <v>#N/A</v>
      </c>
      <c r="AC459" t="e">
        <f>VLOOKUP(Table1[[#This Row],[Final Obj Type]],Classification!B:E,4,FALSE)</f>
        <v>#N/A</v>
      </c>
      <c r="AD459" t="str">
        <f>IF(Table1[[#This Row],[Position 1]]=0,"/0SAP/",MID(Table1[[#This Row],[Final Obj Name]],Table1[[#This Row],[Position 1]],Table1[[#This Row],[Position 2]]-Table1[[#This Row],[Position 1]]+1))</f>
        <v>/0SAP/</v>
      </c>
      <c r="AE459" t="str">
        <f>VLOOKUP(Table1[[#This Row],[/* Object]],Namespace!A:J,10,FALSE)</f>
        <v>SAP AG</v>
      </c>
      <c r="AF459" t="str">
        <f>IF(VLOOKUP(Table1[[#This Row],[/* Object]],Namespace!A:J,4,FALSE)=0,"",VLOOKUP(Table1[[#This Row],[/* Object]],Namespace!A:J,4,FALSE))</f>
        <v>X</v>
      </c>
      <c r="AG459" t="str">
        <f>IF(VLOOKUP(Table1[[#This Row],[/* Object]],Namespace!A:J,5,FALSE)=0,"",VLOOKUP(Table1[[#This Row],[/* Object]],Namespace!A:J,5,FALSE))</f>
        <v>X</v>
      </c>
      <c r="AH459" t="str">
        <f>IF(VLOOKUP(Table1[[#This Row],[/* Object]],Namespace!A:J,6,FALSE)=0,"",VLOOKUP(Table1[[#This Row],[/* Object]],Namespace!A:J,6,FALSE))</f>
        <v/>
      </c>
      <c r="AI459">
        <f>IFERROR(FIND("/",Table1[[#This Row],[Final Obj Name]],1),0)</f>
        <v>0</v>
      </c>
      <c r="AJ459">
        <f>IF(Table1[[#This Row],[Position 1]]=0,0,FIND("/",Table1[[#This Row],[Final Obj Name]],Table1[[#This Row],[Position 1]]+1))</f>
        <v>0</v>
      </c>
      <c r="AK459" t="str">
        <f>IF(LEFT(Table1[[#This Row],[Final Obj Name]],1)="/",LEFT(Table1[[#This Row],[Final Obj Name]],FIND("/",Table1[[#This Row],[Final Obj Name]],2)),"/0SAP/")</f>
        <v>/0SAP/</v>
      </c>
    </row>
    <row r="460">
      <c r="A460" t="str">
        <v>DTEL</v>
      </c>
      <c r="B460" t="str">
        <v>ZDE_DUN_PSWD</v>
      </c>
      <c r="C460" t="str">
        <v>DTED</v>
      </c>
      <c r="D460" t="str">
        <v>ZDE_DUN_PSWD</v>
      </c>
      <c r="G460" t="str">
        <v>ALL</v>
      </c>
      <c r="K460" t="str">
        <v>E</v>
      </c>
      <c r="L460" t="str">
        <v>NSHAIK</v>
      </c>
      <c r="M460">
        <v>46013</v>
      </c>
      <c r="N460">
        <v>0.25678240740741</v>
      </c>
      <c r="W460" t="str">
        <v>SP1K961121</v>
      </c>
      <c r="Y460">
        <f>IF(Table1[[#This Row],[OPERATION]]="NOTE","NOTE",Table1[[#This Row],[SUB_TYPE]])</f>
        <v>0</v>
      </c>
      <c r="Z460">
        <f>IF(Table1[[#This Row],[OPERATION]]="NOTE",NUMBERVALUE(LEFT(Table1[[#This Row],[MOD_NAME]],LEN(Table1[[#This Row],[MOD_NAME]])-4)),Table1[[#This Row],[SUB_NAME]])</f>
        <v>0</v>
      </c>
      <c r="AA460" t="str">
        <f>CONCAT(Table1[[#This Row],[Final Obj Type]],"|",Table1[[#This Row],[Final Obj Name]])</f>
        <v>0|0</v>
      </c>
      <c r="AB460" t="e">
        <f>VLOOKUP(Table1[[#This Row],[Final Obj Type]],Classification!B:E,3,FALSE)</f>
        <v>#N/A</v>
      </c>
      <c r="AC460" t="e">
        <f>VLOOKUP(Table1[[#This Row],[Final Obj Type]],Classification!B:E,4,FALSE)</f>
        <v>#N/A</v>
      </c>
      <c r="AD460" t="str">
        <f>IF(Table1[[#This Row],[Position 1]]=0,"/0SAP/",MID(Table1[[#This Row],[Final Obj Name]],Table1[[#This Row],[Position 1]],Table1[[#This Row],[Position 2]]-Table1[[#This Row],[Position 1]]+1))</f>
        <v>/0SAP/</v>
      </c>
      <c r="AE460" t="str">
        <f>VLOOKUP(Table1[[#This Row],[/* Object]],Namespace!A:J,10,FALSE)</f>
        <v>SAP AG</v>
      </c>
      <c r="AF460" t="str">
        <f>IF(VLOOKUP(Table1[[#This Row],[/* Object]],Namespace!A:J,4,FALSE)=0,"",VLOOKUP(Table1[[#This Row],[/* Object]],Namespace!A:J,4,FALSE))</f>
        <v>X</v>
      </c>
      <c r="AG460" t="str">
        <f>IF(VLOOKUP(Table1[[#This Row],[/* Object]],Namespace!A:J,5,FALSE)=0,"",VLOOKUP(Table1[[#This Row],[/* Object]],Namespace!A:J,5,FALSE))</f>
        <v>X</v>
      </c>
      <c r="AH460" t="str">
        <f>IF(VLOOKUP(Table1[[#This Row],[/* Object]],Namespace!A:J,6,FALSE)=0,"",VLOOKUP(Table1[[#This Row],[/* Object]],Namespace!A:J,6,FALSE))</f>
        <v/>
      </c>
      <c r="AI460">
        <f>IFERROR(FIND("/",Table1[[#This Row],[Final Obj Name]],1),0)</f>
        <v>0</v>
      </c>
      <c r="AJ460">
        <f>IF(Table1[[#This Row],[Position 1]]=0,0,FIND("/",Table1[[#This Row],[Final Obj Name]],Table1[[#This Row],[Position 1]]+1))</f>
        <v>0</v>
      </c>
      <c r="AK460" t="str">
        <f>IF(LEFT(Table1[[#This Row],[Final Obj Name]],1)="/",LEFT(Table1[[#This Row],[Final Obj Name]],FIND("/",Table1[[#This Row],[Final Obj Name]],2)),"/0SAP/")</f>
        <v>/0SAP/</v>
      </c>
    </row>
    <row r="461">
      <c r="A461" t="str">
        <v>DTEL</v>
      </c>
      <c r="B461" t="str">
        <v>ZDE_DUN_USR</v>
      </c>
      <c r="C461" t="str">
        <v>DTED</v>
      </c>
      <c r="D461" t="str">
        <v>ZDE_DUN_USR</v>
      </c>
      <c r="G461" t="str">
        <v>ALL</v>
      </c>
      <c r="K461" t="str">
        <v>E</v>
      </c>
      <c r="L461" t="str">
        <v>NSHAIK</v>
      </c>
      <c r="M461">
        <v>46013</v>
      </c>
      <c r="N461">
        <v>0.25702546296296</v>
      </c>
      <c r="W461" t="str">
        <v>SP1K961121</v>
      </c>
      <c r="Y461">
        <f>IF(Table1[[#This Row],[OPERATION]]="NOTE","NOTE",Table1[[#This Row],[SUB_TYPE]])</f>
        <v>0</v>
      </c>
      <c r="Z461">
        <f>IF(Table1[[#This Row],[OPERATION]]="NOTE",NUMBERVALUE(LEFT(Table1[[#This Row],[MOD_NAME]],LEN(Table1[[#This Row],[MOD_NAME]])-4)),Table1[[#This Row],[SUB_NAME]])</f>
        <v>0</v>
      </c>
      <c r="AA461" t="str">
        <f>CONCAT(Table1[[#This Row],[Final Obj Type]],"|",Table1[[#This Row],[Final Obj Name]])</f>
        <v>0|0</v>
      </c>
      <c r="AB461" t="e">
        <f>VLOOKUP(Table1[[#This Row],[Final Obj Type]],Classification!B:E,3,FALSE)</f>
        <v>#N/A</v>
      </c>
      <c r="AC461" t="e">
        <f>VLOOKUP(Table1[[#This Row],[Final Obj Type]],Classification!B:E,4,FALSE)</f>
        <v>#N/A</v>
      </c>
      <c r="AD461" t="str">
        <f>IF(Table1[[#This Row],[Position 1]]=0,"/0SAP/",MID(Table1[[#This Row],[Final Obj Name]],Table1[[#This Row],[Position 1]],Table1[[#This Row],[Position 2]]-Table1[[#This Row],[Position 1]]+1))</f>
        <v>/0SAP/</v>
      </c>
      <c r="AE461" t="str">
        <f>VLOOKUP(Table1[[#This Row],[/* Object]],Namespace!A:J,10,FALSE)</f>
        <v>SAP AG</v>
      </c>
      <c r="AF461" t="str">
        <f>IF(VLOOKUP(Table1[[#This Row],[/* Object]],Namespace!A:J,4,FALSE)=0,"",VLOOKUP(Table1[[#This Row],[/* Object]],Namespace!A:J,4,FALSE))</f>
        <v>X</v>
      </c>
      <c r="AG461" t="str">
        <f>IF(VLOOKUP(Table1[[#This Row],[/* Object]],Namespace!A:J,5,FALSE)=0,"",VLOOKUP(Table1[[#This Row],[/* Object]],Namespace!A:J,5,FALSE))</f>
        <v>X</v>
      </c>
      <c r="AH461" t="str">
        <f>IF(VLOOKUP(Table1[[#This Row],[/* Object]],Namespace!A:J,6,FALSE)=0,"",VLOOKUP(Table1[[#This Row],[/* Object]],Namespace!A:J,6,FALSE))</f>
        <v/>
      </c>
      <c r="AI461">
        <f>IFERROR(FIND("/",Table1[[#This Row],[Final Obj Name]],1),0)</f>
        <v>0</v>
      </c>
      <c r="AJ461">
        <f>IF(Table1[[#This Row],[Position 1]]=0,0,FIND("/",Table1[[#This Row],[Final Obj Name]],Table1[[#This Row],[Position 1]]+1))</f>
        <v>0</v>
      </c>
      <c r="AK461" t="str">
        <f>IF(LEFT(Table1[[#This Row],[Final Obj Name]],1)="/",LEFT(Table1[[#This Row],[Final Obj Name]],FIND("/",Table1[[#This Row],[Final Obj Name]],2)),"/0SAP/")</f>
        <v>/0SAP/</v>
      </c>
    </row>
    <row r="462">
      <c r="A462" t="str">
        <v>DTEL</v>
      </c>
      <c r="B462" t="str">
        <v>ZDE_MDG_ADDR1</v>
      </c>
      <c r="C462" t="str">
        <v>DTED</v>
      </c>
      <c r="D462" t="str">
        <v>ZDE_MDG_ADDR1</v>
      </c>
      <c r="G462" t="str">
        <v>ALL</v>
      </c>
      <c r="K462" t="str">
        <v>E</v>
      </c>
      <c r="L462" t="str">
        <v>NSHAIK</v>
      </c>
      <c r="M462">
        <v>46020</v>
      </c>
      <c r="N462">
        <v>0.28883101851852</v>
      </c>
      <c r="W462" t="str">
        <v>SP1K961294</v>
      </c>
      <c r="Y462">
        <f>IF(Table1[[#This Row],[OPERATION]]="NOTE","NOTE",Table1[[#This Row],[SUB_TYPE]])</f>
        <v>0</v>
      </c>
      <c r="Z462">
        <f>IF(Table1[[#This Row],[OPERATION]]="NOTE",NUMBERVALUE(LEFT(Table1[[#This Row],[MOD_NAME]],LEN(Table1[[#This Row],[MOD_NAME]])-4)),Table1[[#This Row],[SUB_NAME]])</f>
        <v>0</v>
      </c>
      <c r="AA462" t="str">
        <f>CONCAT(Table1[[#This Row],[Final Obj Type]],"|",Table1[[#This Row],[Final Obj Name]])</f>
        <v>0|0</v>
      </c>
      <c r="AB462" t="e">
        <f>VLOOKUP(Table1[[#This Row],[Final Obj Type]],Classification!B:E,3,FALSE)</f>
        <v>#N/A</v>
      </c>
      <c r="AC462" t="e">
        <f>VLOOKUP(Table1[[#This Row],[Final Obj Type]],Classification!B:E,4,FALSE)</f>
        <v>#N/A</v>
      </c>
      <c r="AD462" t="str">
        <f>IF(Table1[[#This Row],[Position 1]]=0,"/0SAP/",MID(Table1[[#This Row],[Final Obj Name]],Table1[[#This Row],[Position 1]],Table1[[#This Row],[Position 2]]-Table1[[#This Row],[Position 1]]+1))</f>
        <v>/0SAP/</v>
      </c>
      <c r="AE462" t="str">
        <f>VLOOKUP(Table1[[#This Row],[/* Object]],Namespace!A:J,10,FALSE)</f>
        <v>SAP AG</v>
      </c>
      <c r="AF462" t="str">
        <f>IF(VLOOKUP(Table1[[#This Row],[/* Object]],Namespace!A:J,4,FALSE)=0,"",VLOOKUP(Table1[[#This Row],[/* Object]],Namespace!A:J,4,FALSE))</f>
        <v>X</v>
      </c>
      <c r="AG462" t="str">
        <f>IF(VLOOKUP(Table1[[#This Row],[/* Object]],Namespace!A:J,5,FALSE)=0,"",VLOOKUP(Table1[[#This Row],[/* Object]],Namespace!A:J,5,FALSE))</f>
        <v>X</v>
      </c>
      <c r="AH462" t="str">
        <f>IF(VLOOKUP(Table1[[#This Row],[/* Object]],Namespace!A:J,6,FALSE)=0,"",VLOOKUP(Table1[[#This Row],[/* Object]],Namespace!A:J,6,FALSE))</f>
        <v/>
      </c>
      <c r="AI462">
        <f>IFERROR(FIND("/",Table1[[#This Row],[Final Obj Name]],1),0)</f>
        <v>0</v>
      </c>
      <c r="AJ462">
        <f>IF(Table1[[#This Row],[Position 1]]=0,0,FIND("/",Table1[[#This Row],[Final Obj Name]],Table1[[#This Row],[Position 1]]+1))</f>
        <v>0</v>
      </c>
      <c r="AK462" t="str">
        <f>IF(LEFT(Table1[[#This Row],[Final Obj Name]],1)="/",LEFT(Table1[[#This Row],[Final Obj Name]],FIND("/",Table1[[#This Row],[Final Obj Name]],2)),"/0SAP/")</f>
        <v>/0SAP/</v>
      </c>
    </row>
    <row r="463">
      <c r="A463" t="str">
        <v>DTEL</v>
      </c>
      <c r="B463" t="str">
        <v>ZDE_MDG_ADDR2</v>
      </c>
      <c r="C463" t="str">
        <v>DTED</v>
      </c>
      <c r="D463" t="str">
        <v>ZDE_MDG_ADDR2</v>
      </c>
      <c r="G463" t="str">
        <v>ALL</v>
      </c>
      <c r="K463" t="str">
        <v>E</v>
      </c>
      <c r="L463" t="str">
        <v>NSHAIK</v>
      </c>
      <c r="M463">
        <v>46020</v>
      </c>
      <c r="N463">
        <v>0.28947916666667</v>
      </c>
      <c r="W463" t="str">
        <v>SP1K961294</v>
      </c>
      <c r="Y463">
        <f>IF(Table1[[#This Row],[OPERATION]]="NOTE","NOTE",Table1[[#This Row],[SUB_TYPE]])</f>
        <v>0</v>
      </c>
      <c r="Z463">
        <f>IF(Table1[[#This Row],[OPERATION]]="NOTE",NUMBERVALUE(LEFT(Table1[[#This Row],[MOD_NAME]],LEN(Table1[[#This Row],[MOD_NAME]])-4)),Table1[[#This Row],[SUB_NAME]])</f>
        <v>0</v>
      </c>
      <c r="AA463" t="str">
        <f>CONCAT(Table1[[#This Row],[Final Obj Type]],"|",Table1[[#This Row],[Final Obj Name]])</f>
        <v>0|0</v>
      </c>
      <c r="AB463" t="e">
        <f>VLOOKUP(Table1[[#This Row],[Final Obj Type]],Classification!B:E,3,FALSE)</f>
        <v>#N/A</v>
      </c>
      <c r="AC463" t="e">
        <f>VLOOKUP(Table1[[#This Row],[Final Obj Type]],Classification!B:E,4,FALSE)</f>
        <v>#N/A</v>
      </c>
      <c r="AD463" t="str">
        <f>IF(Table1[[#This Row],[Position 1]]=0,"/0SAP/",MID(Table1[[#This Row],[Final Obj Name]],Table1[[#This Row],[Position 1]],Table1[[#This Row],[Position 2]]-Table1[[#This Row],[Position 1]]+1))</f>
        <v>/0SAP/</v>
      </c>
      <c r="AE463" t="str">
        <f>VLOOKUP(Table1[[#This Row],[/* Object]],Namespace!A:J,10,FALSE)</f>
        <v>SAP AG</v>
      </c>
      <c r="AF463" t="str">
        <f>IF(VLOOKUP(Table1[[#This Row],[/* Object]],Namespace!A:J,4,FALSE)=0,"",VLOOKUP(Table1[[#This Row],[/* Object]],Namespace!A:J,4,FALSE))</f>
        <v>X</v>
      </c>
      <c r="AG463" t="str">
        <f>IF(VLOOKUP(Table1[[#This Row],[/* Object]],Namespace!A:J,5,FALSE)=0,"",VLOOKUP(Table1[[#This Row],[/* Object]],Namespace!A:J,5,FALSE))</f>
        <v>X</v>
      </c>
      <c r="AH463" t="str">
        <f>IF(VLOOKUP(Table1[[#This Row],[/* Object]],Namespace!A:J,6,FALSE)=0,"",VLOOKUP(Table1[[#This Row],[/* Object]],Namespace!A:J,6,FALSE))</f>
        <v/>
      </c>
      <c r="AI463">
        <f>IFERROR(FIND("/",Table1[[#This Row],[Final Obj Name]],1),0)</f>
        <v>0</v>
      </c>
      <c r="AJ463">
        <f>IF(Table1[[#This Row],[Position 1]]=0,0,FIND("/",Table1[[#This Row],[Final Obj Name]],Table1[[#This Row],[Position 1]]+1))</f>
        <v>0</v>
      </c>
      <c r="AK463" t="str">
        <f>IF(LEFT(Table1[[#This Row],[Final Obj Name]],1)="/",LEFT(Table1[[#This Row],[Final Obj Name]],FIND("/",Table1[[#This Row],[Final Obj Name]],2)),"/0SAP/")</f>
        <v>/0SAP/</v>
      </c>
    </row>
    <row r="464">
      <c r="A464" t="str">
        <v>DTEL</v>
      </c>
      <c r="B464" t="str">
        <v>ZDE_MDG_CITY</v>
      </c>
      <c r="C464" t="str">
        <v>DTED</v>
      </c>
      <c r="D464" t="str">
        <v>ZDE_MDG_CITY</v>
      </c>
      <c r="G464" t="str">
        <v>ALL</v>
      </c>
      <c r="K464" t="str">
        <v>E</v>
      </c>
      <c r="L464" t="str">
        <v>NSHAIK</v>
      </c>
      <c r="M464">
        <v>46020</v>
      </c>
      <c r="N464">
        <v>0.29005787037037</v>
      </c>
      <c r="W464" t="str">
        <v>SP1K961294</v>
      </c>
      <c r="Y464">
        <f>IF(Table1[[#This Row],[OPERATION]]="NOTE","NOTE",Table1[[#This Row],[SUB_TYPE]])</f>
        <v>0</v>
      </c>
      <c r="Z464">
        <f>IF(Table1[[#This Row],[OPERATION]]="NOTE",NUMBERVALUE(LEFT(Table1[[#This Row],[MOD_NAME]],LEN(Table1[[#This Row],[MOD_NAME]])-4)),Table1[[#This Row],[SUB_NAME]])</f>
        <v>0</v>
      </c>
      <c r="AA464" t="str">
        <f>CONCAT(Table1[[#This Row],[Final Obj Type]],"|",Table1[[#This Row],[Final Obj Name]])</f>
        <v>0|0</v>
      </c>
      <c r="AB464" t="e">
        <f>VLOOKUP(Table1[[#This Row],[Final Obj Type]],Classification!B:E,3,FALSE)</f>
        <v>#N/A</v>
      </c>
      <c r="AC464" t="e">
        <f>VLOOKUP(Table1[[#This Row],[Final Obj Type]],Classification!B:E,4,FALSE)</f>
        <v>#N/A</v>
      </c>
      <c r="AD464" t="str">
        <f>IF(Table1[[#This Row],[Position 1]]=0,"/0SAP/",MID(Table1[[#This Row],[Final Obj Name]],Table1[[#This Row],[Position 1]],Table1[[#This Row],[Position 2]]-Table1[[#This Row],[Position 1]]+1))</f>
        <v>/0SAP/</v>
      </c>
      <c r="AE464" t="str">
        <f>VLOOKUP(Table1[[#This Row],[/* Object]],Namespace!A:J,10,FALSE)</f>
        <v>SAP AG</v>
      </c>
      <c r="AF464" t="str">
        <f>IF(VLOOKUP(Table1[[#This Row],[/* Object]],Namespace!A:J,4,FALSE)=0,"",VLOOKUP(Table1[[#This Row],[/* Object]],Namespace!A:J,4,FALSE))</f>
        <v>X</v>
      </c>
      <c r="AG464" t="str">
        <f>IF(VLOOKUP(Table1[[#This Row],[/* Object]],Namespace!A:J,5,FALSE)=0,"",VLOOKUP(Table1[[#This Row],[/* Object]],Namespace!A:J,5,FALSE))</f>
        <v>X</v>
      </c>
      <c r="AH464" t="str">
        <f>IF(VLOOKUP(Table1[[#This Row],[/* Object]],Namespace!A:J,6,FALSE)=0,"",VLOOKUP(Table1[[#This Row],[/* Object]],Namespace!A:J,6,FALSE))</f>
        <v/>
      </c>
      <c r="AI464">
        <f>IFERROR(FIND("/",Table1[[#This Row],[Final Obj Name]],1),0)</f>
        <v>0</v>
      </c>
      <c r="AJ464">
        <f>IF(Table1[[#This Row],[Position 1]]=0,0,FIND("/",Table1[[#This Row],[Final Obj Name]],Table1[[#This Row],[Position 1]]+1))</f>
        <v>0</v>
      </c>
      <c r="AK464" t="str">
        <f>IF(LEFT(Table1[[#This Row],[Final Obj Name]],1)="/",LEFT(Table1[[#This Row],[Final Obj Name]],FIND("/",Table1[[#This Row],[Final Obj Name]],2)),"/0SAP/")</f>
        <v>/0SAP/</v>
      </c>
    </row>
    <row r="465">
      <c r="A465" t="str">
        <v>DTEL</v>
      </c>
      <c r="B465" t="str">
        <v>ZDE_MDG_DOCNAME</v>
      </c>
      <c r="C465" t="str">
        <v>DTED</v>
      </c>
      <c r="D465" t="str">
        <v>ZDE_MDG_DOCNAME</v>
      </c>
      <c r="G465" t="str">
        <v>ALL</v>
      </c>
      <c r="K465" t="str">
        <v>E</v>
      </c>
      <c r="L465" t="str">
        <v>NSHAIK</v>
      </c>
      <c r="M465">
        <v>46020</v>
      </c>
      <c r="N465">
        <v>0.29366898148148</v>
      </c>
      <c r="W465" t="str">
        <v>SP1K961294</v>
      </c>
      <c r="Y465">
        <f>IF(Table1[[#This Row],[OPERATION]]="NOTE","NOTE",Table1[[#This Row],[SUB_TYPE]])</f>
        <v>0</v>
      </c>
      <c r="Z465">
        <f>IF(Table1[[#This Row],[OPERATION]]="NOTE",NUMBERVALUE(LEFT(Table1[[#This Row],[MOD_NAME]],LEN(Table1[[#This Row],[MOD_NAME]])-4)),Table1[[#This Row],[SUB_NAME]])</f>
        <v>0</v>
      </c>
      <c r="AA465" t="str">
        <f>CONCAT(Table1[[#This Row],[Final Obj Type]],"|",Table1[[#This Row],[Final Obj Name]])</f>
        <v>0|0</v>
      </c>
      <c r="AB465" t="e">
        <f>VLOOKUP(Table1[[#This Row],[Final Obj Type]],Classification!B:E,3,FALSE)</f>
        <v>#N/A</v>
      </c>
      <c r="AC465" t="e">
        <f>VLOOKUP(Table1[[#This Row],[Final Obj Type]],Classification!B:E,4,FALSE)</f>
        <v>#N/A</v>
      </c>
      <c r="AD465" t="str">
        <f>IF(Table1[[#This Row],[Position 1]]=0,"/0SAP/",MID(Table1[[#This Row],[Final Obj Name]],Table1[[#This Row],[Position 1]],Table1[[#This Row],[Position 2]]-Table1[[#This Row],[Position 1]]+1))</f>
        <v>/0SAP/</v>
      </c>
      <c r="AE465" t="str">
        <f>VLOOKUP(Table1[[#This Row],[/* Object]],Namespace!A:J,10,FALSE)</f>
        <v>SAP AG</v>
      </c>
      <c r="AF465" t="str">
        <f>IF(VLOOKUP(Table1[[#This Row],[/* Object]],Namespace!A:J,4,FALSE)=0,"",VLOOKUP(Table1[[#This Row],[/* Object]],Namespace!A:J,4,FALSE))</f>
        <v>X</v>
      </c>
      <c r="AG465" t="str">
        <f>IF(VLOOKUP(Table1[[#This Row],[/* Object]],Namespace!A:J,5,FALSE)=0,"",VLOOKUP(Table1[[#This Row],[/* Object]],Namespace!A:J,5,FALSE))</f>
        <v>X</v>
      </c>
      <c r="AH465" t="str">
        <f>IF(VLOOKUP(Table1[[#This Row],[/* Object]],Namespace!A:J,6,FALSE)=0,"",VLOOKUP(Table1[[#This Row],[/* Object]],Namespace!A:J,6,FALSE))</f>
        <v/>
      </c>
      <c r="AI465">
        <f>IFERROR(FIND("/",Table1[[#This Row],[Final Obj Name]],1),0)</f>
        <v>0</v>
      </c>
      <c r="AJ465">
        <f>IF(Table1[[#This Row],[Position 1]]=0,0,FIND("/",Table1[[#This Row],[Final Obj Name]],Table1[[#This Row],[Position 1]]+1))</f>
        <v>0</v>
      </c>
      <c r="AK465" t="str">
        <f>IF(LEFT(Table1[[#This Row],[Final Obj Name]],1)="/",LEFT(Table1[[#This Row],[Final Obj Name]],FIND("/",Table1[[#This Row],[Final Obj Name]],2)),"/0SAP/")</f>
        <v>/0SAP/</v>
      </c>
    </row>
    <row r="466">
      <c r="A466" t="str">
        <v>DTEL</v>
      </c>
      <c r="B466" t="str">
        <v>ZDE_MDG_DOCUMENTTYPE</v>
      </c>
      <c r="C466" t="str">
        <v>DTED</v>
      </c>
      <c r="D466" t="str">
        <v>ZDE_MDG_DOCUMENTTYPE</v>
      </c>
      <c r="G466" t="str">
        <v>ALL</v>
      </c>
      <c r="K466" t="str">
        <v>E</v>
      </c>
      <c r="L466" t="str">
        <v>NSHAIK</v>
      </c>
      <c r="M466">
        <v>46013</v>
      </c>
      <c r="N466">
        <v>0.19738425925926</v>
      </c>
      <c r="W466" t="str">
        <v>SP1K961121</v>
      </c>
      <c r="Y466">
        <f>IF(Table1[[#This Row],[OPERATION]]="NOTE","NOTE",Table1[[#This Row],[SUB_TYPE]])</f>
        <v>0</v>
      </c>
      <c r="Z466">
        <f>IF(Table1[[#This Row],[OPERATION]]="NOTE",NUMBERVALUE(LEFT(Table1[[#This Row],[MOD_NAME]],LEN(Table1[[#This Row],[MOD_NAME]])-4)),Table1[[#This Row],[SUB_NAME]])</f>
        <v>0</v>
      </c>
      <c r="AA466" t="str">
        <f>CONCAT(Table1[[#This Row],[Final Obj Type]],"|",Table1[[#This Row],[Final Obj Name]])</f>
        <v>0|0</v>
      </c>
      <c r="AB466" t="e">
        <f>VLOOKUP(Table1[[#This Row],[Final Obj Type]],Classification!B:E,3,FALSE)</f>
        <v>#N/A</v>
      </c>
      <c r="AC466" t="e">
        <f>VLOOKUP(Table1[[#This Row],[Final Obj Type]],Classification!B:E,4,FALSE)</f>
        <v>#N/A</v>
      </c>
      <c r="AD466" t="str">
        <f>IF(Table1[[#This Row],[Position 1]]=0,"/0SAP/",MID(Table1[[#This Row],[Final Obj Name]],Table1[[#This Row],[Position 1]],Table1[[#This Row],[Position 2]]-Table1[[#This Row],[Position 1]]+1))</f>
        <v>/0SAP/</v>
      </c>
      <c r="AE466" t="str">
        <f>VLOOKUP(Table1[[#This Row],[/* Object]],Namespace!A:J,10,FALSE)</f>
        <v>SAP AG</v>
      </c>
      <c r="AF466" t="str">
        <f>IF(VLOOKUP(Table1[[#This Row],[/* Object]],Namespace!A:J,4,FALSE)=0,"",VLOOKUP(Table1[[#This Row],[/* Object]],Namespace!A:J,4,FALSE))</f>
        <v>X</v>
      </c>
      <c r="AG466" t="str">
        <f>IF(VLOOKUP(Table1[[#This Row],[/* Object]],Namespace!A:J,5,FALSE)=0,"",VLOOKUP(Table1[[#This Row],[/* Object]],Namespace!A:J,5,FALSE))</f>
        <v>X</v>
      </c>
      <c r="AH466" t="str">
        <f>IF(VLOOKUP(Table1[[#This Row],[/* Object]],Namespace!A:J,6,FALSE)=0,"",VLOOKUP(Table1[[#This Row],[/* Object]],Namespace!A:J,6,FALSE))</f>
        <v/>
      </c>
      <c r="AI466">
        <f>IFERROR(FIND("/",Table1[[#This Row],[Final Obj Name]],1),0)</f>
        <v>0</v>
      </c>
      <c r="AJ466">
        <f>IF(Table1[[#This Row],[Position 1]]=0,0,FIND("/",Table1[[#This Row],[Final Obj Name]],Table1[[#This Row],[Position 1]]+1))</f>
        <v>0</v>
      </c>
      <c r="AK466" t="str">
        <f>IF(LEFT(Table1[[#This Row],[Final Obj Name]],1)="/",LEFT(Table1[[#This Row],[Final Obj Name]],FIND("/",Table1[[#This Row],[Final Obj Name]],2)),"/0SAP/")</f>
        <v>/0SAP/</v>
      </c>
    </row>
    <row r="467">
      <c r="A467" t="str">
        <v>DTEL</v>
      </c>
      <c r="B467" t="str">
        <v>ZDE_MDG_DOCUMENTTYPE_TEXT</v>
      </c>
      <c r="C467" t="str">
        <v>DTED</v>
      </c>
      <c r="D467" t="str">
        <v>ZDE_MDG_DOCUMENTTYPE_TEXT</v>
      </c>
      <c r="G467" t="str">
        <v>ALL</v>
      </c>
      <c r="K467" t="str">
        <v>E</v>
      </c>
      <c r="L467" t="str">
        <v>NSHAIK</v>
      </c>
      <c r="M467">
        <v>46013</v>
      </c>
      <c r="N467">
        <v>0.19844907407407</v>
      </c>
      <c r="W467" t="str">
        <v>SP1K961121</v>
      </c>
      <c r="Y467">
        <f>IF(Table1[[#This Row],[OPERATION]]="NOTE","NOTE",Table1[[#This Row],[SUB_TYPE]])</f>
        <v>0</v>
      </c>
      <c r="Z467">
        <f>IF(Table1[[#This Row],[OPERATION]]="NOTE",NUMBERVALUE(LEFT(Table1[[#This Row],[MOD_NAME]],LEN(Table1[[#This Row],[MOD_NAME]])-4)),Table1[[#This Row],[SUB_NAME]])</f>
        <v>0</v>
      </c>
      <c r="AA467" t="str">
        <f>CONCAT(Table1[[#This Row],[Final Obj Type]],"|",Table1[[#This Row],[Final Obj Name]])</f>
        <v>0|0</v>
      </c>
      <c r="AB467" t="e">
        <f>VLOOKUP(Table1[[#This Row],[Final Obj Type]],Classification!B:E,3,FALSE)</f>
        <v>#N/A</v>
      </c>
      <c r="AC467" t="e">
        <f>VLOOKUP(Table1[[#This Row],[Final Obj Type]],Classification!B:E,4,FALSE)</f>
        <v>#N/A</v>
      </c>
      <c r="AD467" t="str">
        <f>IF(Table1[[#This Row],[Position 1]]=0,"/0SAP/",MID(Table1[[#This Row],[Final Obj Name]],Table1[[#This Row],[Position 1]],Table1[[#This Row],[Position 2]]-Table1[[#This Row],[Position 1]]+1))</f>
        <v>/0SAP/</v>
      </c>
      <c r="AE467" t="str">
        <f>VLOOKUP(Table1[[#This Row],[/* Object]],Namespace!A:J,10,FALSE)</f>
        <v>SAP AG</v>
      </c>
      <c r="AF467" t="str">
        <f>IF(VLOOKUP(Table1[[#This Row],[/* Object]],Namespace!A:J,4,FALSE)=0,"",VLOOKUP(Table1[[#This Row],[/* Object]],Namespace!A:J,4,FALSE))</f>
        <v>X</v>
      </c>
      <c r="AG467" t="str">
        <f>IF(VLOOKUP(Table1[[#This Row],[/* Object]],Namespace!A:J,5,FALSE)=0,"",VLOOKUP(Table1[[#This Row],[/* Object]],Namespace!A:J,5,FALSE))</f>
        <v>X</v>
      </c>
      <c r="AH467" t="str">
        <f>IF(VLOOKUP(Table1[[#This Row],[/* Object]],Namespace!A:J,6,FALSE)=0,"",VLOOKUP(Table1[[#This Row],[/* Object]],Namespace!A:J,6,FALSE))</f>
        <v/>
      </c>
      <c r="AI467">
        <f>IFERROR(FIND("/",Table1[[#This Row],[Final Obj Name]],1),0)</f>
        <v>0</v>
      </c>
      <c r="AJ467">
        <f>IF(Table1[[#This Row],[Position 1]]=0,0,FIND("/",Table1[[#This Row],[Final Obj Name]],Table1[[#This Row],[Position 1]]+1))</f>
        <v>0</v>
      </c>
      <c r="AK467" t="str">
        <f>IF(LEFT(Table1[[#This Row],[Final Obj Name]],1)="/",LEFT(Table1[[#This Row],[Final Obj Name]],FIND("/",Table1[[#This Row],[Final Obj Name]],2)),"/0SAP/")</f>
        <v>/0SAP/</v>
      </c>
    </row>
    <row r="468">
      <c r="A468" t="str">
        <v>DTEL</v>
      </c>
      <c r="B468" t="str">
        <v>ZDE_MDG_DOC_STATUS</v>
      </c>
      <c r="C468" t="str">
        <v>DTED</v>
      </c>
      <c r="D468" t="str">
        <v>ZDE_MDG_DOC_STATUS</v>
      </c>
      <c r="G468" t="str">
        <v>ALL</v>
      </c>
      <c r="K468" t="str">
        <v>E</v>
      </c>
      <c r="L468" t="str">
        <v>NSHAIK</v>
      </c>
      <c r="M468">
        <v>46020</v>
      </c>
      <c r="N468">
        <v>0.27824074074074</v>
      </c>
      <c r="W468" t="str">
        <v>SP1K961294</v>
      </c>
      <c r="Y468">
        <f>IF(Table1[[#This Row],[OPERATION]]="NOTE","NOTE",Table1[[#This Row],[SUB_TYPE]])</f>
        <v>0</v>
      </c>
      <c r="Z468">
        <f>IF(Table1[[#This Row],[OPERATION]]="NOTE",NUMBERVALUE(LEFT(Table1[[#This Row],[MOD_NAME]],LEN(Table1[[#This Row],[MOD_NAME]])-4)),Table1[[#This Row],[SUB_NAME]])</f>
        <v>0</v>
      </c>
      <c r="AA468" t="str">
        <f>CONCAT(Table1[[#This Row],[Final Obj Type]],"|",Table1[[#This Row],[Final Obj Name]])</f>
        <v>0|0</v>
      </c>
      <c r="AB468" t="e">
        <f>VLOOKUP(Table1[[#This Row],[Final Obj Type]],Classification!B:E,3,FALSE)</f>
        <v>#N/A</v>
      </c>
      <c r="AC468" t="e">
        <f>VLOOKUP(Table1[[#This Row],[Final Obj Type]],Classification!B:E,4,FALSE)</f>
        <v>#N/A</v>
      </c>
      <c r="AD468" t="str">
        <f>IF(Table1[[#This Row],[Position 1]]=0,"/0SAP/",MID(Table1[[#This Row],[Final Obj Name]],Table1[[#This Row],[Position 1]],Table1[[#This Row],[Position 2]]-Table1[[#This Row],[Position 1]]+1))</f>
        <v>/0SAP/</v>
      </c>
      <c r="AE468" t="str">
        <f>VLOOKUP(Table1[[#This Row],[/* Object]],Namespace!A:J,10,FALSE)</f>
        <v>SAP AG</v>
      </c>
      <c r="AF468" t="str">
        <f>IF(VLOOKUP(Table1[[#This Row],[/* Object]],Namespace!A:J,4,FALSE)=0,"",VLOOKUP(Table1[[#This Row],[/* Object]],Namespace!A:J,4,FALSE))</f>
        <v>X</v>
      </c>
      <c r="AG468" t="str">
        <f>IF(VLOOKUP(Table1[[#This Row],[/* Object]],Namespace!A:J,5,FALSE)=0,"",VLOOKUP(Table1[[#This Row],[/* Object]],Namespace!A:J,5,FALSE))</f>
        <v>X</v>
      </c>
      <c r="AH468" t="str">
        <f>IF(VLOOKUP(Table1[[#This Row],[/* Object]],Namespace!A:J,6,FALSE)=0,"",VLOOKUP(Table1[[#This Row],[/* Object]],Namespace!A:J,6,FALSE))</f>
        <v/>
      </c>
      <c r="AI468">
        <f>IFERROR(FIND("/",Table1[[#This Row],[Final Obj Name]],1),0)</f>
        <v>0</v>
      </c>
      <c r="AJ468">
        <f>IF(Table1[[#This Row],[Position 1]]=0,0,FIND("/",Table1[[#This Row],[Final Obj Name]],Table1[[#This Row],[Position 1]]+1))</f>
        <v>0</v>
      </c>
      <c r="AK468" t="str">
        <f>IF(LEFT(Table1[[#This Row],[Final Obj Name]],1)="/",LEFT(Table1[[#This Row],[Final Obj Name]],FIND("/",Table1[[#This Row],[Final Obj Name]],2)),"/0SAP/")</f>
        <v>/0SAP/</v>
      </c>
    </row>
    <row r="469">
      <c r="A469" t="str">
        <v>DTEL</v>
      </c>
      <c r="B469" t="str">
        <v>ZDE_MDG_EXPIRATIONDATE</v>
      </c>
      <c r="C469" t="str">
        <v>DTED</v>
      </c>
      <c r="D469" t="str">
        <v>ZDE_MDG_EXPIRATIONDATE</v>
      </c>
      <c r="G469" t="str">
        <v>ALL</v>
      </c>
      <c r="K469" t="str">
        <v>E</v>
      </c>
      <c r="L469" t="str">
        <v>NSHAIK</v>
      </c>
      <c r="M469">
        <v>46013</v>
      </c>
      <c r="N469">
        <v>0.19893518518519</v>
      </c>
      <c r="W469" t="str">
        <v>SP1K961121</v>
      </c>
      <c r="Y469">
        <f>IF(Table1[[#This Row],[OPERATION]]="NOTE","NOTE",Table1[[#This Row],[SUB_TYPE]])</f>
        <v>0</v>
      </c>
      <c r="Z469">
        <f>IF(Table1[[#This Row],[OPERATION]]="NOTE",NUMBERVALUE(LEFT(Table1[[#This Row],[MOD_NAME]],LEN(Table1[[#This Row],[MOD_NAME]])-4)),Table1[[#This Row],[SUB_NAME]])</f>
        <v>0</v>
      </c>
      <c r="AA469" t="str">
        <f>CONCAT(Table1[[#This Row],[Final Obj Type]],"|",Table1[[#This Row],[Final Obj Name]])</f>
        <v>0|0</v>
      </c>
      <c r="AB469" t="e">
        <f>VLOOKUP(Table1[[#This Row],[Final Obj Type]],Classification!B:E,3,FALSE)</f>
        <v>#N/A</v>
      </c>
      <c r="AC469" t="e">
        <f>VLOOKUP(Table1[[#This Row],[Final Obj Type]],Classification!B:E,4,FALSE)</f>
        <v>#N/A</v>
      </c>
      <c r="AD469" t="str">
        <f>IF(Table1[[#This Row],[Position 1]]=0,"/0SAP/",MID(Table1[[#This Row],[Final Obj Name]],Table1[[#This Row],[Position 1]],Table1[[#This Row],[Position 2]]-Table1[[#This Row],[Position 1]]+1))</f>
        <v>/0SAP/</v>
      </c>
      <c r="AE469" t="str">
        <f>VLOOKUP(Table1[[#This Row],[/* Object]],Namespace!A:J,10,FALSE)</f>
        <v>SAP AG</v>
      </c>
      <c r="AF469" t="str">
        <f>IF(VLOOKUP(Table1[[#This Row],[/* Object]],Namespace!A:J,4,FALSE)=0,"",VLOOKUP(Table1[[#This Row],[/* Object]],Namespace!A:J,4,FALSE))</f>
        <v>X</v>
      </c>
      <c r="AG469" t="str">
        <f>IF(VLOOKUP(Table1[[#This Row],[/* Object]],Namespace!A:J,5,FALSE)=0,"",VLOOKUP(Table1[[#This Row],[/* Object]],Namespace!A:J,5,FALSE))</f>
        <v>X</v>
      </c>
      <c r="AH469" t="str">
        <f>IF(VLOOKUP(Table1[[#This Row],[/* Object]],Namespace!A:J,6,FALSE)=0,"",VLOOKUP(Table1[[#This Row],[/* Object]],Namespace!A:J,6,FALSE))</f>
        <v/>
      </c>
      <c r="AI469">
        <f>IFERROR(FIND("/",Table1[[#This Row],[Final Obj Name]],1),0)</f>
        <v>0</v>
      </c>
      <c r="AJ469">
        <f>IF(Table1[[#This Row],[Position 1]]=0,0,FIND("/",Table1[[#This Row],[Final Obj Name]],Table1[[#This Row],[Position 1]]+1))</f>
        <v>0</v>
      </c>
      <c r="AK469" t="str">
        <f>IF(LEFT(Table1[[#This Row],[Final Obj Name]],1)="/",LEFT(Table1[[#This Row],[Final Obj Name]],FIND("/",Table1[[#This Row],[Final Obj Name]],2)),"/0SAP/")</f>
        <v>/0SAP/</v>
      </c>
    </row>
    <row r="470">
      <c r="A470" t="str">
        <v>DTEL</v>
      </c>
      <c r="B470" t="str">
        <v>ZDE_MDG_EXPTO</v>
      </c>
      <c r="C470" t="str">
        <v>DTED</v>
      </c>
      <c r="D470" t="str">
        <v>ZDE_MDG_EXPTO</v>
      </c>
      <c r="G470" t="str">
        <v>ALL</v>
      </c>
      <c r="K470" t="str">
        <v>E</v>
      </c>
      <c r="L470" t="str">
        <v>NSHAIK</v>
      </c>
      <c r="M470">
        <v>46020</v>
      </c>
      <c r="N470">
        <v>0.29333333333333</v>
      </c>
      <c r="W470" t="str">
        <v>SP1K961294</v>
      </c>
      <c r="Y470">
        <f>IF(Table1[[#This Row],[OPERATION]]="NOTE","NOTE",Table1[[#This Row],[SUB_TYPE]])</f>
        <v>0</v>
      </c>
      <c r="Z470">
        <f>IF(Table1[[#This Row],[OPERATION]]="NOTE",NUMBERVALUE(LEFT(Table1[[#This Row],[MOD_NAME]],LEN(Table1[[#This Row],[MOD_NAME]])-4)),Table1[[#This Row],[SUB_NAME]])</f>
        <v>0</v>
      </c>
      <c r="AA470" t="str">
        <f>CONCAT(Table1[[#This Row],[Final Obj Type]],"|",Table1[[#This Row],[Final Obj Name]])</f>
        <v>0|0</v>
      </c>
      <c r="AB470" t="e">
        <f>VLOOKUP(Table1[[#This Row],[Final Obj Type]],Classification!B:E,3,FALSE)</f>
        <v>#N/A</v>
      </c>
      <c r="AC470" t="e">
        <f>VLOOKUP(Table1[[#This Row],[Final Obj Type]],Classification!B:E,4,FALSE)</f>
        <v>#N/A</v>
      </c>
      <c r="AD470" t="str">
        <f>IF(Table1[[#This Row],[Position 1]]=0,"/0SAP/",MID(Table1[[#This Row],[Final Obj Name]],Table1[[#This Row],[Position 1]],Table1[[#This Row],[Position 2]]-Table1[[#This Row],[Position 1]]+1))</f>
        <v>/0SAP/</v>
      </c>
      <c r="AE470" t="str">
        <f>VLOOKUP(Table1[[#This Row],[/* Object]],Namespace!A:J,10,FALSE)</f>
        <v>SAP AG</v>
      </c>
      <c r="AF470" t="str">
        <f>IF(VLOOKUP(Table1[[#This Row],[/* Object]],Namespace!A:J,4,FALSE)=0,"",VLOOKUP(Table1[[#This Row],[/* Object]],Namespace!A:J,4,FALSE))</f>
        <v>X</v>
      </c>
      <c r="AG470" t="str">
        <f>IF(VLOOKUP(Table1[[#This Row],[/* Object]],Namespace!A:J,5,FALSE)=0,"",VLOOKUP(Table1[[#This Row],[/* Object]],Namespace!A:J,5,FALSE))</f>
        <v>X</v>
      </c>
      <c r="AH470" t="str">
        <f>IF(VLOOKUP(Table1[[#This Row],[/* Object]],Namespace!A:J,6,FALSE)=0,"",VLOOKUP(Table1[[#This Row],[/* Object]],Namespace!A:J,6,FALSE))</f>
        <v/>
      </c>
      <c r="AI470">
        <f>IFERROR(FIND("/",Table1[[#This Row],[Final Obj Name]],1),0)</f>
        <v>0</v>
      </c>
      <c r="AJ470">
        <f>IF(Table1[[#This Row],[Position 1]]=0,0,FIND("/",Table1[[#This Row],[Final Obj Name]],Table1[[#This Row],[Position 1]]+1))</f>
        <v>0</v>
      </c>
      <c r="AK470" t="str">
        <f>IF(LEFT(Table1[[#This Row],[Final Obj Name]],1)="/",LEFT(Table1[[#This Row],[Final Obj Name]],FIND("/",Table1[[#This Row],[Final Obj Name]],2)),"/0SAP/")</f>
        <v>/0SAP/</v>
      </c>
    </row>
    <row r="471">
      <c r="A471" t="str">
        <v>DTEL</v>
      </c>
      <c r="B471" t="str">
        <v>ZDE_MDG_FILECONTENT</v>
      </c>
      <c r="C471" t="str">
        <v>DTED</v>
      </c>
      <c r="D471" t="str">
        <v>ZDE_MDG_FILECONTENT</v>
      </c>
      <c r="G471" t="str">
        <v>ALL</v>
      </c>
      <c r="K471" t="str">
        <v>E</v>
      </c>
      <c r="L471" t="str">
        <v>NSHAIK</v>
      </c>
      <c r="M471">
        <v>46020</v>
      </c>
      <c r="N471">
        <v>0.52434027777778</v>
      </c>
      <c r="W471" t="str">
        <v>SP1K961294</v>
      </c>
      <c r="Y471">
        <f>IF(Table1[[#This Row],[OPERATION]]="NOTE","NOTE",Table1[[#This Row],[SUB_TYPE]])</f>
        <v>0</v>
      </c>
      <c r="Z471">
        <f>IF(Table1[[#This Row],[OPERATION]]="NOTE",NUMBERVALUE(LEFT(Table1[[#This Row],[MOD_NAME]],LEN(Table1[[#This Row],[MOD_NAME]])-4)),Table1[[#This Row],[SUB_NAME]])</f>
        <v>0</v>
      </c>
      <c r="AA471" t="str">
        <f>CONCAT(Table1[[#This Row],[Final Obj Type]],"|",Table1[[#This Row],[Final Obj Name]])</f>
        <v>0|0</v>
      </c>
      <c r="AB471" t="e">
        <f>VLOOKUP(Table1[[#This Row],[Final Obj Type]],Classification!B:E,3,FALSE)</f>
        <v>#N/A</v>
      </c>
      <c r="AC471" t="e">
        <f>VLOOKUP(Table1[[#This Row],[Final Obj Type]],Classification!B:E,4,FALSE)</f>
        <v>#N/A</v>
      </c>
      <c r="AD471" t="str">
        <f>IF(Table1[[#This Row],[Position 1]]=0,"/0SAP/",MID(Table1[[#This Row],[Final Obj Name]],Table1[[#This Row],[Position 1]],Table1[[#This Row],[Position 2]]-Table1[[#This Row],[Position 1]]+1))</f>
        <v>/0SAP/</v>
      </c>
      <c r="AE471" t="str">
        <f>VLOOKUP(Table1[[#This Row],[/* Object]],Namespace!A:J,10,FALSE)</f>
        <v>SAP AG</v>
      </c>
      <c r="AF471" t="str">
        <f>IF(VLOOKUP(Table1[[#This Row],[/* Object]],Namespace!A:J,4,FALSE)=0,"",VLOOKUP(Table1[[#This Row],[/* Object]],Namespace!A:J,4,FALSE))</f>
        <v>X</v>
      </c>
      <c r="AG471" t="str">
        <f>IF(VLOOKUP(Table1[[#This Row],[/* Object]],Namespace!A:J,5,FALSE)=0,"",VLOOKUP(Table1[[#This Row],[/* Object]],Namespace!A:J,5,FALSE))</f>
        <v>X</v>
      </c>
      <c r="AH471" t="str">
        <f>IF(VLOOKUP(Table1[[#This Row],[/* Object]],Namespace!A:J,6,FALSE)=0,"",VLOOKUP(Table1[[#This Row],[/* Object]],Namespace!A:J,6,FALSE))</f>
        <v/>
      </c>
      <c r="AI471">
        <f>IFERROR(FIND("/",Table1[[#This Row],[Final Obj Name]],1),0)</f>
        <v>0</v>
      </c>
      <c r="AJ471">
        <f>IF(Table1[[#This Row],[Position 1]]=0,0,FIND("/",Table1[[#This Row],[Final Obj Name]],Table1[[#This Row],[Position 1]]+1))</f>
        <v>0</v>
      </c>
      <c r="AK471" t="str">
        <f>IF(LEFT(Table1[[#This Row],[Final Obj Name]],1)="/",LEFT(Table1[[#This Row],[Final Obj Name]],FIND("/",Table1[[#This Row],[Final Obj Name]],2)),"/0SAP/")</f>
        <v>/0SAP/</v>
      </c>
    </row>
    <row r="472">
      <c r="A472" t="str">
        <v>DTEL</v>
      </c>
      <c r="B472" t="str">
        <v>ZDE_MDG_FILETYPE</v>
      </c>
      <c r="C472" t="str">
        <v>DTED</v>
      </c>
      <c r="D472" t="str">
        <v>ZDE_MDG_FILETYPE</v>
      </c>
      <c r="G472" t="str">
        <v>ALL</v>
      </c>
      <c r="K472" t="str">
        <v>E</v>
      </c>
      <c r="L472" t="str">
        <v>NSHAIK</v>
      </c>
      <c r="M472">
        <v>46020</v>
      </c>
      <c r="N472">
        <v>0.52459490740741</v>
      </c>
      <c r="W472" t="str">
        <v>SP1K961294</v>
      </c>
      <c r="Y472">
        <f>IF(Table1[[#This Row],[OPERATION]]="NOTE","NOTE",Table1[[#This Row],[SUB_TYPE]])</f>
        <v>0</v>
      </c>
      <c r="Z472">
        <f>IF(Table1[[#This Row],[OPERATION]]="NOTE",NUMBERVALUE(LEFT(Table1[[#This Row],[MOD_NAME]],LEN(Table1[[#This Row],[MOD_NAME]])-4)),Table1[[#This Row],[SUB_NAME]])</f>
        <v>0</v>
      </c>
      <c r="AA472" t="str">
        <f>CONCAT(Table1[[#This Row],[Final Obj Type]],"|",Table1[[#This Row],[Final Obj Name]])</f>
        <v>0|0</v>
      </c>
      <c r="AB472" t="e">
        <f>VLOOKUP(Table1[[#This Row],[Final Obj Type]],Classification!B:E,3,FALSE)</f>
        <v>#N/A</v>
      </c>
      <c r="AC472" t="e">
        <f>VLOOKUP(Table1[[#This Row],[Final Obj Type]],Classification!B:E,4,FALSE)</f>
        <v>#N/A</v>
      </c>
      <c r="AD472" t="str">
        <f>IF(Table1[[#This Row],[Position 1]]=0,"/0SAP/",MID(Table1[[#This Row],[Final Obj Name]],Table1[[#This Row],[Position 1]],Table1[[#This Row],[Position 2]]-Table1[[#This Row],[Position 1]]+1))</f>
        <v>/0SAP/</v>
      </c>
      <c r="AE472" t="str">
        <f>VLOOKUP(Table1[[#This Row],[/* Object]],Namespace!A:J,10,FALSE)</f>
        <v>SAP AG</v>
      </c>
      <c r="AF472" t="str">
        <f>IF(VLOOKUP(Table1[[#This Row],[/* Object]],Namespace!A:J,4,FALSE)=0,"",VLOOKUP(Table1[[#This Row],[/* Object]],Namespace!A:J,4,FALSE))</f>
        <v>X</v>
      </c>
      <c r="AG472" t="str">
        <f>IF(VLOOKUP(Table1[[#This Row],[/* Object]],Namespace!A:J,5,FALSE)=0,"",VLOOKUP(Table1[[#This Row],[/* Object]],Namespace!A:J,5,FALSE))</f>
        <v>X</v>
      </c>
      <c r="AH472" t="str">
        <f>IF(VLOOKUP(Table1[[#This Row],[/* Object]],Namespace!A:J,6,FALSE)=0,"",VLOOKUP(Table1[[#This Row],[/* Object]],Namespace!A:J,6,FALSE))</f>
        <v/>
      </c>
      <c r="AI472">
        <f>IFERROR(FIND("/",Table1[[#This Row],[Final Obj Name]],1),0)</f>
        <v>0</v>
      </c>
      <c r="AJ472">
        <f>IF(Table1[[#This Row],[Position 1]]=0,0,FIND("/",Table1[[#This Row],[Final Obj Name]],Table1[[#This Row],[Position 1]]+1))</f>
        <v>0</v>
      </c>
      <c r="AK472" t="str">
        <f>IF(LEFT(Table1[[#This Row],[Final Obj Name]],1)="/",LEFT(Table1[[#This Row],[Final Obj Name]],FIND("/",Table1[[#This Row],[Final Obj Name]],2)),"/0SAP/")</f>
        <v>/0SAP/</v>
      </c>
    </row>
    <row r="473">
      <c r="A473" t="str">
        <v>DTEL</v>
      </c>
      <c r="B473" t="str">
        <v>ZDE_MDG_RUNDATE</v>
      </c>
      <c r="C473" t="str">
        <v>DTED</v>
      </c>
      <c r="D473" t="str">
        <v>ZDE_MDG_RUNDATE</v>
      </c>
      <c r="G473" t="str">
        <v>ALL</v>
      </c>
      <c r="K473" t="str">
        <v>E</v>
      </c>
      <c r="L473" t="str">
        <v>NSHAIK</v>
      </c>
      <c r="M473">
        <v>46013</v>
      </c>
      <c r="N473">
        <v>0.19914351851852</v>
      </c>
      <c r="W473" t="str">
        <v>SP1K961121</v>
      </c>
      <c r="Y473">
        <f>IF(Table1[[#This Row],[OPERATION]]="NOTE","NOTE",Table1[[#This Row],[SUB_TYPE]])</f>
        <v>0</v>
      </c>
      <c r="Z473">
        <f>IF(Table1[[#This Row],[OPERATION]]="NOTE",NUMBERVALUE(LEFT(Table1[[#This Row],[MOD_NAME]],LEN(Table1[[#This Row],[MOD_NAME]])-4)),Table1[[#This Row],[SUB_NAME]])</f>
        <v>0</v>
      </c>
      <c r="AA473" t="str">
        <f>CONCAT(Table1[[#This Row],[Final Obj Type]],"|",Table1[[#This Row],[Final Obj Name]])</f>
        <v>0|0</v>
      </c>
      <c r="AB473" t="e">
        <f>VLOOKUP(Table1[[#This Row],[Final Obj Type]],Classification!B:E,3,FALSE)</f>
        <v>#N/A</v>
      </c>
      <c r="AC473" t="e">
        <f>VLOOKUP(Table1[[#This Row],[Final Obj Type]],Classification!B:E,4,FALSE)</f>
        <v>#N/A</v>
      </c>
      <c r="AD473" t="str">
        <f>IF(Table1[[#This Row],[Position 1]]=0,"/0SAP/",MID(Table1[[#This Row],[Final Obj Name]],Table1[[#This Row],[Position 1]],Table1[[#This Row],[Position 2]]-Table1[[#This Row],[Position 1]]+1))</f>
        <v>/0SAP/</v>
      </c>
      <c r="AE473" t="str">
        <f>VLOOKUP(Table1[[#This Row],[/* Object]],Namespace!A:J,10,FALSE)</f>
        <v>SAP AG</v>
      </c>
      <c r="AF473" t="str">
        <f>IF(VLOOKUP(Table1[[#This Row],[/* Object]],Namespace!A:J,4,FALSE)=0,"",VLOOKUP(Table1[[#This Row],[/* Object]],Namespace!A:J,4,FALSE))</f>
        <v>X</v>
      </c>
      <c r="AG473" t="str">
        <f>IF(VLOOKUP(Table1[[#This Row],[/* Object]],Namespace!A:J,5,FALSE)=0,"",VLOOKUP(Table1[[#This Row],[/* Object]],Namespace!A:J,5,FALSE))</f>
        <v>X</v>
      </c>
      <c r="AH473" t="str">
        <f>IF(VLOOKUP(Table1[[#This Row],[/* Object]],Namespace!A:J,6,FALSE)=0,"",VLOOKUP(Table1[[#This Row],[/* Object]],Namespace!A:J,6,FALSE))</f>
        <v/>
      </c>
      <c r="AI473">
        <f>IFERROR(FIND("/",Table1[[#This Row],[Final Obj Name]],1),0)</f>
        <v>0</v>
      </c>
      <c r="AJ473">
        <f>IF(Table1[[#This Row],[Position 1]]=0,0,FIND("/",Table1[[#This Row],[Final Obj Name]],Table1[[#This Row],[Position 1]]+1))</f>
        <v>0</v>
      </c>
      <c r="AK473" t="str">
        <f>IF(LEFT(Table1[[#This Row],[Final Obj Name]],1)="/",LEFT(Table1[[#This Row],[Final Obj Name]],FIND("/",Table1[[#This Row],[Final Obj Name]],2)),"/0SAP/")</f>
        <v>/0SAP/</v>
      </c>
    </row>
    <row r="474">
      <c r="A474" t="str">
        <v>DTEL</v>
      </c>
      <c r="B474" t="str">
        <v>ZDE_MDG_SITE</v>
      </c>
      <c r="C474" t="str">
        <v>DTED</v>
      </c>
      <c r="D474" t="str">
        <v>ZDE_MDG_SITE</v>
      </c>
      <c r="G474" t="str">
        <v>ALL</v>
      </c>
      <c r="K474" t="str">
        <v>E</v>
      </c>
      <c r="L474" t="str">
        <v>NSHAIK</v>
      </c>
      <c r="M474">
        <v>46020</v>
      </c>
      <c r="N474">
        <v>0.29100694444444</v>
      </c>
      <c r="W474" t="str">
        <v>SP1K961294</v>
      </c>
      <c r="Y474">
        <f>IF(Table1[[#This Row],[OPERATION]]="NOTE","NOTE",Table1[[#This Row],[SUB_TYPE]])</f>
        <v>0</v>
      </c>
      <c r="Z474">
        <f>IF(Table1[[#This Row],[OPERATION]]="NOTE",NUMBERVALUE(LEFT(Table1[[#This Row],[MOD_NAME]],LEN(Table1[[#This Row],[MOD_NAME]])-4)),Table1[[#This Row],[SUB_NAME]])</f>
        <v>0</v>
      </c>
      <c r="AA474" t="str">
        <f>CONCAT(Table1[[#This Row],[Final Obj Type]],"|",Table1[[#This Row],[Final Obj Name]])</f>
        <v>0|0</v>
      </c>
      <c r="AB474" t="e">
        <f>VLOOKUP(Table1[[#This Row],[Final Obj Type]],Classification!B:E,3,FALSE)</f>
        <v>#N/A</v>
      </c>
      <c r="AC474" t="e">
        <f>VLOOKUP(Table1[[#This Row],[Final Obj Type]],Classification!B:E,4,FALSE)</f>
        <v>#N/A</v>
      </c>
      <c r="AD474" t="str">
        <f>IF(Table1[[#This Row],[Position 1]]=0,"/0SAP/",MID(Table1[[#This Row],[Final Obj Name]],Table1[[#This Row],[Position 1]],Table1[[#This Row],[Position 2]]-Table1[[#This Row],[Position 1]]+1))</f>
        <v>/0SAP/</v>
      </c>
      <c r="AE474" t="str">
        <f>VLOOKUP(Table1[[#This Row],[/* Object]],Namespace!A:J,10,FALSE)</f>
        <v>SAP AG</v>
      </c>
      <c r="AF474" t="str">
        <f>IF(VLOOKUP(Table1[[#This Row],[/* Object]],Namespace!A:J,4,FALSE)=0,"",VLOOKUP(Table1[[#This Row],[/* Object]],Namespace!A:J,4,FALSE))</f>
        <v>X</v>
      </c>
      <c r="AG474" t="str">
        <f>IF(VLOOKUP(Table1[[#This Row],[/* Object]],Namespace!A:J,5,FALSE)=0,"",VLOOKUP(Table1[[#This Row],[/* Object]],Namespace!A:J,5,FALSE))</f>
        <v>X</v>
      </c>
      <c r="AH474" t="str">
        <f>IF(VLOOKUP(Table1[[#This Row],[/* Object]],Namespace!A:J,6,FALSE)=0,"",VLOOKUP(Table1[[#This Row],[/* Object]],Namespace!A:J,6,FALSE))</f>
        <v/>
      </c>
      <c r="AI474">
        <f>IFERROR(FIND("/",Table1[[#This Row],[Final Obj Name]],1),0)</f>
        <v>0</v>
      </c>
      <c r="AJ474">
        <f>IF(Table1[[#This Row],[Position 1]]=0,0,FIND("/",Table1[[#This Row],[Final Obj Name]],Table1[[#This Row],[Position 1]]+1))</f>
        <v>0</v>
      </c>
      <c r="AK474" t="str">
        <f>IF(LEFT(Table1[[#This Row],[Final Obj Name]],1)="/",LEFT(Table1[[#This Row],[Final Obj Name]],FIND("/",Table1[[#This Row],[Final Obj Name]],2)),"/0SAP/")</f>
        <v>/0SAP/</v>
      </c>
    </row>
    <row r="475">
      <c r="A475" t="str">
        <v>DTEL</v>
      </c>
      <c r="B475" t="str">
        <v>ZDE_MDG_STATE</v>
      </c>
      <c r="C475" t="str">
        <v>DTED</v>
      </c>
      <c r="D475" t="str">
        <v>ZDE_MDG_STATE</v>
      </c>
      <c r="G475" t="str">
        <v>ALL</v>
      </c>
      <c r="K475" t="str">
        <v>E</v>
      </c>
      <c r="L475" t="str">
        <v>NSHAIK</v>
      </c>
      <c r="M475">
        <v>46020</v>
      </c>
      <c r="N475">
        <v>0.29140046296296</v>
      </c>
      <c r="W475" t="str">
        <v>SP1K961294</v>
      </c>
      <c r="Y475">
        <f>IF(Table1[[#This Row],[OPERATION]]="NOTE","NOTE",Table1[[#This Row],[SUB_TYPE]])</f>
        <v>0</v>
      </c>
      <c r="Z475">
        <f>IF(Table1[[#This Row],[OPERATION]]="NOTE",NUMBERVALUE(LEFT(Table1[[#This Row],[MOD_NAME]],LEN(Table1[[#This Row],[MOD_NAME]])-4)),Table1[[#This Row],[SUB_NAME]])</f>
        <v>0</v>
      </c>
      <c r="AA475" t="str">
        <f>CONCAT(Table1[[#This Row],[Final Obj Type]],"|",Table1[[#This Row],[Final Obj Name]])</f>
        <v>0|0</v>
      </c>
      <c r="AB475" t="e">
        <f>VLOOKUP(Table1[[#This Row],[Final Obj Type]],Classification!B:E,3,FALSE)</f>
        <v>#N/A</v>
      </c>
      <c r="AC475" t="e">
        <f>VLOOKUP(Table1[[#This Row],[Final Obj Type]],Classification!B:E,4,FALSE)</f>
        <v>#N/A</v>
      </c>
      <c r="AD475" t="str">
        <f>IF(Table1[[#This Row],[Position 1]]=0,"/0SAP/",MID(Table1[[#This Row],[Final Obj Name]],Table1[[#This Row],[Position 1]],Table1[[#This Row],[Position 2]]-Table1[[#This Row],[Position 1]]+1))</f>
        <v>/0SAP/</v>
      </c>
      <c r="AE475" t="str">
        <f>VLOOKUP(Table1[[#This Row],[/* Object]],Namespace!A:J,10,FALSE)</f>
        <v>SAP AG</v>
      </c>
      <c r="AF475" t="str">
        <f>IF(VLOOKUP(Table1[[#This Row],[/* Object]],Namespace!A:J,4,FALSE)=0,"",VLOOKUP(Table1[[#This Row],[/* Object]],Namespace!A:J,4,FALSE))</f>
        <v>X</v>
      </c>
      <c r="AG475" t="str">
        <f>IF(VLOOKUP(Table1[[#This Row],[/* Object]],Namespace!A:J,5,FALSE)=0,"",VLOOKUP(Table1[[#This Row],[/* Object]],Namespace!A:J,5,FALSE))</f>
        <v>X</v>
      </c>
      <c r="AH475" t="str">
        <f>IF(VLOOKUP(Table1[[#This Row],[/* Object]],Namespace!A:J,6,FALSE)=0,"",VLOOKUP(Table1[[#This Row],[/* Object]],Namespace!A:J,6,FALSE))</f>
        <v/>
      </c>
      <c r="AI475">
        <f>IFERROR(FIND("/",Table1[[#This Row],[Final Obj Name]],1),0)</f>
        <v>0</v>
      </c>
      <c r="AJ475">
        <f>IF(Table1[[#This Row],[Position 1]]=0,0,FIND("/",Table1[[#This Row],[Final Obj Name]],Table1[[#This Row],[Position 1]]+1))</f>
        <v>0</v>
      </c>
      <c r="AK475" t="str">
        <f>IF(LEFT(Table1[[#This Row],[Final Obj Name]],1)="/",LEFT(Table1[[#This Row],[Final Obj Name]],FIND("/",Table1[[#This Row],[Final Obj Name]],2)),"/0SAP/")</f>
        <v>/0SAP/</v>
      </c>
    </row>
    <row r="476">
      <c r="A476" t="str">
        <v>DTEL</v>
      </c>
      <c r="B476" t="str">
        <v>ZDE_MDG_VENDORDBA</v>
      </c>
      <c r="C476" t="str">
        <v>DTED</v>
      </c>
      <c r="D476" t="str">
        <v>ZDE_MDG_VENDORDBA</v>
      </c>
      <c r="G476" t="str">
        <v>ALL</v>
      </c>
      <c r="K476" t="str">
        <v>E</v>
      </c>
      <c r="L476" t="str">
        <v>NSHAIK</v>
      </c>
      <c r="M476">
        <v>46020</v>
      </c>
      <c r="N476">
        <v>0.29174768518519</v>
      </c>
      <c r="W476" t="str">
        <v>SP1K961294</v>
      </c>
      <c r="Y476">
        <f>IF(Table1[[#This Row],[OPERATION]]="NOTE","NOTE",Table1[[#This Row],[SUB_TYPE]])</f>
        <v>0</v>
      </c>
      <c r="Z476">
        <f>IF(Table1[[#This Row],[OPERATION]]="NOTE",NUMBERVALUE(LEFT(Table1[[#This Row],[MOD_NAME]],LEN(Table1[[#This Row],[MOD_NAME]])-4)),Table1[[#This Row],[SUB_NAME]])</f>
        <v>0</v>
      </c>
      <c r="AA476" t="str">
        <f>CONCAT(Table1[[#This Row],[Final Obj Type]],"|",Table1[[#This Row],[Final Obj Name]])</f>
        <v>0|0</v>
      </c>
      <c r="AB476" t="e">
        <f>VLOOKUP(Table1[[#This Row],[Final Obj Type]],Classification!B:E,3,FALSE)</f>
        <v>#N/A</v>
      </c>
      <c r="AC476" t="e">
        <f>VLOOKUP(Table1[[#This Row],[Final Obj Type]],Classification!B:E,4,FALSE)</f>
        <v>#N/A</v>
      </c>
      <c r="AD476" t="str">
        <f>IF(Table1[[#This Row],[Position 1]]=0,"/0SAP/",MID(Table1[[#This Row],[Final Obj Name]],Table1[[#This Row],[Position 1]],Table1[[#This Row],[Position 2]]-Table1[[#This Row],[Position 1]]+1))</f>
        <v>/0SAP/</v>
      </c>
      <c r="AE476" t="str">
        <f>VLOOKUP(Table1[[#This Row],[/* Object]],Namespace!A:J,10,FALSE)</f>
        <v>SAP AG</v>
      </c>
      <c r="AF476" t="str">
        <f>IF(VLOOKUP(Table1[[#This Row],[/* Object]],Namespace!A:J,4,FALSE)=0,"",VLOOKUP(Table1[[#This Row],[/* Object]],Namespace!A:J,4,FALSE))</f>
        <v>X</v>
      </c>
      <c r="AG476" t="str">
        <f>IF(VLOOKUP(Table1[[#This Row],[/* Object]],Namespace!A:J,5,FALSE)=0,"",VLOOKUP(Table1[[#This Row],[/* Object]],Namespace!A:J,5,FALSE))</f>
        <v>X</v>
      </c>
      <c r="AH476" t="str">
        <f>IF(VLOOKUP(Table1[[#This Row],[/* Object]],Namespace!A:J,6,FALSE)=0,"",VLOOKUP(Table1[[#This Row],[/* Object]],Namespace!A:J,6,FALSE))</f>
        <v/>
      </c>
      <c r="AI476">
        <f>IFERROR(FIND("/",Table1[[#This Row],[Final Obj Name]],1),0)</f>
        <v>0</v>
      </c>
      <c r="AJ476">
        <f>IF(Table1[[#This Row],[Position 1]]=0,0,FIND("/",Table1[[#This Row],[Final Obj Name]],Table1[[#This Row],[Position 1]]+1))</f>
        <v>0</v>
      </c>
      <c r="AK476" t="str">
        <f>IF(LEFT(Table1[[#This Row],[Final Obj Name]],1)="/",LEFT(Table1[[#This Row],[Final Obj Name]],FIND("/",Table1[[#This Row],[Final Obj Name]],2)),"/0SAP/")</f>
        <v>/0SAP/</v>
      </c>
    </row>
    <row r="477">
      <c r="A477" t="str">
        <v>DTEL</v>
      </c>
      <c r="B477" t="str">
        <v>ZDE_MDG_VENDORNAME</v>
      </c>
      <c r="C477" t="str">
        <v>DTED</v>
      </c>
      <c r="D477" t="str">
        <v>ZDE_MDG_VENDORNAME</v>
      </c>
      <c r="G477" t="str">
        <v>ALL</v>
      </c>
      <c r="K477" t="str">
        <v>E</v>
      </c>
      <c r="L477" t="str">
        <v>NSHAIK</v>
      </c>
      <c r="M477">
        <v>46013</v>
      </c>
      <c r="N477">
        <v>0.19943287037037</v>
      </c>
      <c r="W477" t="str">
        <v>SP1K961121</v>
      </c>
      <c r="Y477">
        <f>IF(Table1[[#This Row],[OPERATION]]="NOTE","NOTE",Table1[[#This Row],[SUB_TYPE]])</f>
        <v>0</v>
      </c>
      <c r="Z477">
        <f>IF(Table1[[#This Row],[OPERATION]]="NOTE",NUMBERVALUE(LEFT(Table1[[#This Row],[MOD_NAME]],LEN(Table1[[#This Row],[MOD_NAME]])-4)),Table1[[#This Row],[SUB_NAME]])</f>
        <v>0</v>
      </c>
      <c r="AA477" t="str">
        <f>CONCAT(Table1[[#This Row],[Final Obj Type]],"|",Table1[[#This Row],[Final Obj Name]])</f>
        <v>0|0</v>
      </c>
      <c r="AB477" t="e">
        <f>VLOOKUP(Table1[[#This Row],[Final Obj Type]],Classification!B:E,3,FALSE)</f>
        <v>#N/A</v>
      </c>
      <c r="AC477" t="e">
        <f>VLOOKUP(Table1[[#This Row],[Final Obj Type]],Classification!B:E,4,FALSE)</f>
        <v>#N/A</v>
      </c>
      <c r="AD477" t="str">
        <f>IF(Table1[[#This Row],[Position 1]]=0,"/0SAP/",MID(Table1[[#This Row],[Final Obj Name]],Table1[[#This Row],[Position 1]],Table1[[#This Row],[Position 2]]-Table1[[#This Row],[Position 1]]+1))</f>
        <v>/0SAP/</v>
      </c>
      <c r="AE477" t="str">
        <f>VLOOKUP(Table1[[#This Row],[/* Object]],Namespace!A:J,10,FALSE)</f>
        <v>SAP AG</v>
      </c>
      <c r="AF477" t="str">
        <f>IF(VLOOKUP(Table1[[#This Row],[/* Object]],Namespace!A:J,4,FALSE)=0,"",VLOOKUP(Table1[[#This Row],[/* Object]],Namespace!A:J,4,FALSE))</f>
        <v>X</v>
      </c>
      <c r="AG477" t="str">
        <f>IF(VLOOKUP(Table1[[#This Row],[/* Object]],Namespace!A:J,5,FALSE)=0,"",VLOOKUP(Table1[[#This Row],[/* Object]],Namespace!A:J,5,FALSE))</f>
        <v>X</v>
      </c>
      <c r="AH477" t="str">
        <f>IF(VLOOKUP(Table1[[#This Row],[/* Object]],Namespace!A:J,6,FALSE)=0,"",VLOOKUP(Table1[[#This Row],[/* Object]],Namespace!A:J,6,FALSE))</f>
        <v/>
      </c>
      <c r="AI477">
        <f>IFERROR(FIND("/",Table1[[#This Row],[Final Obj Name]],1),0)</f>
        <v>0</v>
      </c>
      <c r="AJ477">
        <f>IF(Table1[[#This Row],[Position 1]]=0,0,FIND("/",Table1[[#This Row],[Final Obj Name]],Table1[[#This Row],[Position 1]]+1))</f>
        <v>0</v>
      </c>
      <c r="AK477" t="str">
        <f>IF(LEFT(Table1[[#This Row],[Final Obj Name]],1)="/",LEFT(Table1[[#This Row],[Final Obj Name]],FIND("/",Table1[[#This Row],[Final Obj Name]],2)),"/0SAP/")</f>
        <v>/0SAP/</v>
      </c>
    </row>
    <row r="478">
      <c r="A478" t="str">
        <v>DTEL</v>
      </c>
      <c r="B478" t="str">
        <v>ZDE_MDG_VENDORTAXID</v>
      </c>
      <c r="C478" t="str">
        <v>DTED</v>
      </c>
      <c r="D478" t="str">
        <v>ZDE_MDG_VENDORTAXID</v>
      </c>
      <c r="G478" t="str">
        <v>ALL</v>
      </c>
      <c r="K478" t="str">
        <v>E</v>
      </c>
      <c r="L478" t="str">
        <v>NSHAIK</v>
      </c>
      <c r="M478">
        <v>46020</v>
      </c>
      <c r="N478">
        <v>0.29240740740741</v>
      </c>
      <c r="W478" t="str">
        <v>SP1K961294</v>
      </c>
      <c r="Y478">
        <f>IF(Table1[[#This Row],[OPERATION]]="NOTE","NOTE",Table1[[#This Row],[SUB_TYPE]])</f>
        <v>0</v>
      </c>
      <c r="Z478">
        <f>IF(Table1[[#This Row],[OPERATION]]="NOTE",NUMBERVALUE(LEFT(Table1[[#This Row],[MOD_NAME]],LEN(Table1[[#This Row],[MOD_NAME]])-4)),Table1[[#This Row],[SUB_NAME]])</f>
        <v>0</v>
      </c>
      <c r="AA478" t="str">
        <f>CONCAT(Table1[[#This Row],[Final Obj Type]],"|",Table1[[#This Row],[Final Obj Name]])</f>
        <v>0|0</v>
      </c>
      <c r="AB478" t="e">
        <f>VLOOKUP(Table1[[#This Row],[Final Obj Type]],Classification!B:E,3,FALSE)</f>
        <v>#N/A</v>
      </c>
      <c r="AC478" t="e">
        <f>VLOOKUP(Table1[[#This Row],[Final Obj Type]],Classification!B:E,4,FALSE)</f>
        <v>#N/A</v>
      </c>
      <c r="AD478" t="str">
        <f>IF(Table1[[#This Row],[Position 1]]=0,"/0SAP/",MID(Table1[[#This Row],[Final Obj Name]],Table1[[#This Row],[Position 1]],Table1[[#This Row],[Position 2]]-Table1[[#This Row],[Position 1]]+1))</f>
        <v>/0SAP/</v>
      </c>
      <c r="AE478" t="str">
        <f>VLOOKUP(Table1[[#This Row],[/* Object]],Namespace!A:J,10,FALSE)</f>
        <v>SAP AG</v>
      </c>
      <c r="AF478" t="str">
        <f>IF(VLOOKUP(Table1[[#This Row],[/* Object]],Namespace!A:J,4,FALSE)=0,"",VLOOKUP(Table1[[#This Row],[/* Object]],Namespace!A:J,4,FALSE))</f>
        <v>X</v>
      </c>
      <c r="AG478" t="str">
        <f>IF(VLOOKUP(Table1[[#This Row],[/* Object]],Namespace!A:J,5,FALSE)=0,"",VLOOKUP(Table1[[#This Row],[/* Object]],Namespace!A:J,5,FALSE))</f>
        <v>X</v>
      </c>
      <c r="AH478" t="str">
        <f>IF(VLOOKUP(Table1[[#This Row],[/* Object]],Namespace!A:J,6,FALSE)=0,"",VLOOKUP(Table1[[#This Row],[/* Object]],Namespace!A:J,6,FALSE))</f>
        <v/>
      </c>
      <c r="AI478">
        <f>IFERROR(FIND("/",Table1[[#This Row],[Final Obj Name]],1),0)</f>
        <v>0</v>
      </c>
      <c r="AJ478">
        <f>IF(Table1[[#This Row],[Position 1]]=0,0,FIND("/",Table1[[#This Row],[Final Obj Name]],Table1[[#This Row],[Position 1]]+1))</f>
        <v>0</v>
      </c>
      <c r="AK478" t="str">
        <f>IF(LEFT(Table1[[#This Row],[Final Obj Name]],1)="/",LEFT(Table1[[#This Row],[Final Obj Name]],FIND("/",Table1[[#This Row],[Final Obj Name]],2)),"/0SAP/")</f>
        <v>/0SAP/</v>
      </c>
    </row>
    <row r="479">
      <c r="A479" t="str">
        <v>DTEL</v>
      </c>
      <c r="B479" t="str">
        <v>ZDE_MDG_VENDORTYPE</v>
      </c>
      <c r="C479" t="str">
        <v>DTED</v>
      </c>
      <c r="D479" t="str">
        <v>ZDE_MDG_VENDORTYPE</v>
      </c>
      <c r="G479" t="str">
        <v>ALL</v>
      </c>
      <c r="K479" t="str">
        <v>E</v>
      </c>
      <c r="L479" t="str">
        <v>NSHAIK</v>
      </c>
      <c r="M479">
        <v>46013</v>
      </c>
      <c r="N479">
        <v>0.20042824074074</v>
      </c>
      <c r="W479" t="str">
        <v>SP1K961121</v>
      </c>
      <c r="Y479">
        <f>IF(Table1[[#This Row],[OPERATION]]="NOTE","NOTE",Table1[[#This Row],[SUB_TYPE]])</f>
        <v>0</v>
      </c>
      <c r="Z479">
        <f>IF(Table1[[#This Row],[OPERATION]]="NOTE",NUMBERVALUE(LEFT(Table1[[#This Row],[MOD_NAME]],LEN(Table1[[#This Row],[MOD_NAME]])-4)),Table1[[#This Row],[SUB_NAME]])</f>
        <v>0</v>
      </c>
      <c r="AA479" t="str">
        <f>CONCAT(Table1[[#This Row],[Final Obj Type]],"|",Table1[[#This Row],[Final Obj Name]])</f>
        <v>0|0</v>
      </c>
      <c r="AB479" t="e">
        <f>VLOOKUP(Table1[[#This Row],[Final Obj Type]],Classification!B:E,3,FALSE)</f>
        <v>#N/A</v>
      </c>
      <c r="AC479" t="e">
        <f>VLOOKUP(Table1[[#This Row],[Final Obj Type]],Classification!B:E,4,FALSE)</f>
        <v>#N/A</v>
      </c>
      <c r="AD479" t="str">
        <f>IF(Table1[[#This Row],[Position 1]]=0,"/0SAP/",MID(Table1[[#This Row],[Final Obj Name]],Table1[[#This Row],[Position 1]],Table1[[#This Row],[Position 2]]-Table1[[#This Row],[Position 1]]+1))</f>
        <v>/0SAP/</v>
      </c>
      <c r="AE479" t="str">
        <f>VLOOKUP(Table1[[#This Row],[/* Object]],Namespace!A:J,10,FALSE)</f>
        <v>SAP AG</v>
      </c>
      <c r="AF479" t="str">
        <f>IF(VLOOKUP(Table1[[#This Row],[/* Object]],Namespace!A:J,4,FALSE)=0,"",VLOOKUP(Table1[[#This Row],[/* Object]],Namespace!A:J,4,FALSE))</f>
        <v>X</v>
      </c>
      <c r="AG479" t="str">
        <f>IF(VLOOKUP(Table1[[#This Row],[/* Object]],Namespace!A:J,5,FALSE)=0,"",VLOOKUP(Table1[[#This Row],[/* Object]],Namespace!A:J,5,FALSE))</f>
        <v>X</v>
      </c>
      <c r="AH479" t="str">
        <f>IF(VLOOKUP(Table1[[#This Row],[/* Object]],Namespace!A:J,6,FALSE)=0,"",VLOOKUP(Table1[[#This Row],[/* Object]],Namespace!A:J,6,FALSE))</f>
        <v/>
      </c>
      <c r="AI479">
        <f>IFERROR(FIND("/",Table1[[#This Row],[Final Obj Name]],1),0)</f>
        <v>0</v>
      </c>
      <c r="AJ479">
        <f>IF(Table1[[#This Row],[Position 1]]=0,0,FIND("/",Table1[[#This Row],[Final Obj Name]],Table1[[#This Row],[Position 1]]+1))</f>
        <v>0</v>
      </c>
      <c r="AK479" t="str">
        <f>IF(LEFT(Table1[[#This Row],[Final Obj Name]],1)="/",LEFT(Table1[[#This Row],[Final Obj Name]],FIND("/",Table1[[#This Row],[Final Obj Name]],2)),"/0SAP/")</f>
        <v>/0SAP/</v>
      </c>
    </row>
    <row r="480">
      <c r="A480" t="str">
        <v>DTEL</v>
      </c>
      <c r="B480" t="str">
        <v>ZDE_MDG_VENDORTYPE_TEXT</v>
      </c>
      <c r="C480" t="str">
        <v>DTED</v>
      </c>
      <c r="D480" t="str">
        <v>ZDE_MDG_VENDORTYPE_TEXT</v>
      </c>
      <c r="G480" t="str">
        <v>ALL</v>
      </c>
      <c r="K480" t="str">
        <v>E</v>
      </c>
      <c r="L480" t="str">
        <v>NSHAIK</v>
      </c>
      <c r="M480">
        <v>46013</v>
      </c>
      <c r="N480">
        <v>0.20076388888889</v>
      </c>
      <c r="W480" t="str">
        <v>SP1K961121</v>
      </c>
      <c r="Y480">
        <f>IF(Table1[[#This Row],[OPERATION]]="NOTE","NOTE",Table1[[#This Row],[SUB_TYPE]])</f>
        <v>0</v>
      </c>
      <c r="Z480">
        <f>IF(Table1[[#This Row],[OPERATION]]="NOTE",NUMBERVALUE(LEFT(Table1[[#This Row],[MOD_NAME]],LEN(Table1[[#This Row],[MOD_NAME]])-4)),Table1[[#This Row],[SUB_NAME]])</f>
        <v>0</v>
      </c>
      <c r="AA480" t="str">
        <f>CONCAT(Table1[[#This Row],[Final Obj Type]],"|",Table1[[#This Row],[Final Obj Name]])</f>
        <v>0|0</v>
      </c>
      <c r="AB480" t="e">
        <f>VLOOKUP(Table1[[#This Row],[Final Obj Type]],Classification!B:E,3,FALSE)</f>
        <v>#N/A</v>
      </c>
      <c r="AC480" t="e">
        <f>VLOOKUP(Table1[[#This Row],[Final Obj Type]],Classification!B:E,4,FALSE)</f>
        <v>#N/A</v>
      </c>
      <c r="AD480" t="str">
        <f>IF(Table1[[#This Row],[Position 1]]=0,"/0SAP/",MID(Table1[[#This Row],[Final Obj Name]],Table1[[#This Row],[Position 1]],Table1[[#This Row],[Position 2]]-Table1[[#This Row],[Position 1]]+1))</f>
        <v>/0SAP/</v>
      </c>
      <c r="AE480" t="str">
        <f>VLOOKUP(Table1[[#This Row],[/* Object]],Namespace!A:J,10,FALSE)</f>
        <v>SAP AG</v>
      </c>
      <c r="AF480" t="str">
        <f>IF(VLOOKUP(Table1[[#This Row],[/* Object]],Namespace!A:J,4,FALSE)=0,"",VLOOKUP(Table1[[#This Row],[/* Object]],Namespace!A:J,4,FALSE))</f>
        <v>X</v>
      </c>
      <c r="AG480" t="str">
        <f>IF(VLOOKUP(Table1[[#This Row],[/* Object]],Namespace!A:J,5,FALSE)=0,"",VLOOKUP(Table1[[#This Row],[/* Object]],Namespace!A:J,5,FALSE))</f>
        <v>X</v>
      </c>
      <c r="AH480" t="str">
        <f>IF(VLOOKUP(Table1[[#This Row],[/* Object]],Namespace!A:J,6,FALSE)=0,"",VLOOKUP(Table1[[#This Row],[/* Object]],Namespace!A:J,6,FALSE))</f>
        <v/>
      </c>
      <c r="AI480">
        <f>IFERROR(FIND("/",Table1[[#This Row],[Final Obj Name]],1),0)</f>
        <v>0</v>
      </c>
      <c r="AJ480">
        <f>IF(Table1[[#This Row],[Position 1]]=0,0,FIND("/",Table1[[#This Row],[Final Obj Name]],Table1[[#This Row],[Position 1]]+1))</f>
        <v>0</v>
      </c>
      <c r="AK480" t="str">
        <f>IF(LEFT(Table1[[#This Row],[Final Obj Name]],1)="/",LEFT(Table1[[#This Row],[Final Obj Name]],FIND("/",Table1[[#This Row],[Final Obj Name]],2)),"/0SAP/")</f>
        <v>/0SAP/</v>
      </c>
    </row>
    <row r="481">
      <c r="A481" t="str">
        <v>DTEL</v>
      </c>
      <c r="B481" t="str">
        <v>ZDE_MDG_ZIP</v>
      </c>
      <c r="C481" t="str">
        <v>DTED</v>
      </c>
      <c r="D481" t="str">
        <v>ZDE_MDG_ZIP</v>
      </c>
      <c r="G481" t="str">
        <v>ALL</v>
      </c>
      <c r="K481" t="str">
        <v>E</v>
      </c>
      <c r="L481" t="str">
        <v>NSHAIK</v>
      </c>
      <c r="M481">
        <v>46020</v>
      </c>
      <c r="N481">
        <v>0.2944212962963</v>
      </c>
      <c r="W481" t="str">
        <v>SP1K961294</v>
      </c>
      <c r="Y481">
        <f>IF(Table1[[#This Row],[OPERATION]]="NOTE","NOTE",Table1[[#This Row],[SUB_TYPE]])</f>
        <v>0</v>
      </c>
      <c r="Z481">
        <f>IF(Table1[[#This Row],[OPERATION]]="NOTE",NUMBERVALUE(LEFT(Table1[[#This Row],[MOD_NAME]],LEN(Table1[[#This Row],[MOD_NAME]])-4)),Table1[[#This Row],[SUB_NAME]])</f>
        <v>0</v>
      </c>
      <c r="AA481" t="str">
        <f>CONCAT(Table1[[#This Row],[Final Obj Type]],"|",Table1[[#This Row],[Final Obj Name]])</f>
        <v>0|0</v>
      </c>
      <c r="AB481" t="e">
        <f>VLOOKUP(Table1[[#This Row],[Final Obj Type]],Classification!B:E,3,FALSE)</f>
        <v>#N/A</v>
      </c>
      <c r="AC481" t="e">
        <f>VLOOKUP(Table1[[#This Row],[Final Obj Type]],Classification!B:E,4,FALSE)</f>
        <v>#N/A</v>
      </c>
      <c r="AD481" t="str">
        <f>IF(Table1[[#This Row],[Position 1]]=0,"/0SAP/",MID(Table1[[#This Row],[Final Obj Name]],Table1[[#This Row],[Position 1]],Table1[[#This Row],[Position 2]]-Table1[[#This Row],[Position 1]]+1))</f>
        <v>/0SAP/</v>
      </c>
      <c r="AE481" t="str">
        <f>VLOOKUP(Table1[[#This Row],[/* Object]],Namespace!A:J,10,FALSE)</f>
        <v>SAP AG</v>
      </c>
      <c r="AF481" t="str">
        <f>IF(VLOOKUP(Table1[[#This Row],[/* Object]],Namespace!A:J,4,FALSE)=0,"",VLOOKUP(Table1[[#This Row],[/* Object]],Namespace!A:J,4,FALSE))</f>
        <v>X</v>
      </c>
      <c r="AG481" t="str">
        <f>IF(VLOOKUP(Table1[[#This Row],[/* Object]],Namespace!A:J,5,FALSE)=0,"",VLOOKUP(Table1[[#This Row],[/* Object]],Namespace!A:J,5,FALSE))</f>
        <v>X</v>
      </c>
      <c r="AH481" t="str">
        <f>IF(VLOOKUP(Table1[[#This Row],[/* Object]],Namespace!A:J,6,FALSE)=0,"",VLOOKUP(Table1[[#This Row],[/* Object]],Namespace!A:J,6,FALSE))</f>
        <v/>
      </c>
      <c r="AI481">
        <f>IFERROR(FIND("/",Table1[[#This Row],[Final Obj Name]],1),0)</f>
        <v>0</v>
      </c>
      <c r="AJ481">
        <f>IF(Table1[[#This Row],[Position 1]]=0,0,FIND("/",Table1[[#This Row],[Final Obj Name]],Table1[[#This Row],[Position 1]]+1))</f>
        <v>0</v>
      </c>
      <c r="AK481" t="str">
        <f>IF(LEFT(Table1[[#This Row],[Final Obj Name]],1)="/",LEFT(Table1[[#This Row],[Final Obj Name]],FIND("/",Table1[[#This Row],[Final Obj Name]],2)),"/0SAP/")</f>
        <v>/0SAP/</v>
      </c>
    </row>
    <row r="482">
      <c r="A482" t="str">
        <v>DTEL</v>
      </c>
      <c r="B482" t="str">
        <v>ZDE_UI_D_VAL</v>
      </c>
      <c r="C482" t="str">
        <v>DTED</v>
      </c>
      <c r="D482" t="str">
        <v>ZDE_UI_D_VAL</v>
      </c>
      <c r="G482" t="str">
        <v>ALL</v>
      </c>
      <c r="K482" t="str">
        <v>E</v>
      </c>
      <c r="L482" t="str">
        <v>NSHAIK</v>
      </c>
      <c r="M482">
        <v>46013</v>
      </c>
      <c r="N482">
        <v>0.39511574074074</v>
      </c>
      <c r="W482" t="str">
        <v>SP1K961121</v>
      </c>
      <c r="Y482">
        <f>IF(Table1[[#This Row],[OPERATION]]="NOTE","NOTE",Table1[[#This Row],[SUB_TYPE]])</f>
        <v>0</v>
      </c>
      <c r="Z482">
        <f>IF(Table1[[#This Row],[OPERATION]]="NOTE",NUMBERVALUE(LEFT(Table1[[#This Row],[MOD_NAME]],LEN(Table1[[#This Row],[MOD_NAME]])-4)),Table1[[#This Row],[SUB_NAME]])</f>
        <v>0</v>
      </c>
      <c r="AA482" t="str">
        <f>CONCAT(Table1[[#This Row],[Final Obj Type]],"|",Table1[[#This Row],[Final Obj Name]])</f>
        <v>0|0</v>
      </c>
      <c r="AB482" t="e">
        <f>VLOOKUP(Table1[[#This Row],[Final Obj Type]],Classification!B:E,3,FALSE)</f>
        <v>#N/A</v>
      </c>
      <c r="AC482" t="e">
        <f>VLOOKUP(Table1[[#This Row],[Final Obj Type]],Classification!B:E,4,FALSE)</f>
        <v>#N/A</v>
      </c>
      <c r="AD482" t="str">
        <f>IF(Table1[[#This Row],[Position 1]]=0,"/0SAP/",MID(Table1[[#This Row],[Final Obj Name]],Table1[[#This Row],[Position 1]],Table1[[#This Row],[Position 2]]-Table1[[#This Row],[Position 1]]+1))</f>
        <v>/0SAP/</v>
      </c>
      <c r="AE482" t="str">
        <f>VLOOKUP(Table1[[#This Row],[/* Object]],Namespace!A:J,10,FALSE)</f>
        <v>SAP AG</v>
      </c>
      <c r="AF482" t="str">
        <f>IF(VLOOKUP(Table1[[#This Row],[/* Object]],Namespace!A:J,4,FALSE)=0,"",VLOOKUP(Table1[[#This Row],[/* Object]],Namespace!A:J,4,FALSE))</f>
        <v>X</v>
      </c>
      <c r="AG482" t="str">
        <f>IF(VLOOKUP(Table1[[#This Row],[/* Object]],Namespace!A:J,5,FALSE)=0,"",VLOOKUP(Table1[[#This Row],[/* Object]],Namespace!A:J,5,FALSE))</f>
        <v>X</v>
      </c>
      <c r="AH482" t="str">
        <f>IF(VLOOKUP(Table1[[#This Row],[/* Object]],Namespace!A:J,6,FALSE)=0,"",VLOOKUP(Table1[[#This Row],[/* Object]],Namespace!A:J,6,FALSE))</f>
        <v/>
      </c>
      <c r="AI482">
        <f>IFERROR(FIND("/",Table1[[#This Row],[Final Obj Name]],1),0)</f>
        <v>0</v>
      </c>
      <c r="AJ482">
        <f>IF(Table1[[#This Row],[Position 1]]=0,0,FIND("/",Table1[[#This Row],[Final Obj Name]],Table1[[#This Row],[Position 1]]+1))</f>
        <v>0</v>
      </c>
      <c r="AK482" t="str">
        <f>IF(LEFT(Table1[[#This Row],[Final Obj Name]],1)="/",LEFT(Table1[[#This Row],[Final Obj Name]],FIND("/",Table1[[#This Row],[Final Obj Name]],2)),"/0SAP/")</f>
        <v>/0SAP/</v>
      </c>
    </row>
    <row r="483">
      <c r="A483" t="str">
        <v>DTEL</v>
      </c>
      <c r="B483" t="str">
        <v>ZFINS_CFIN_KM_VALUE</v>
      </c>
      <c r="C483" t="str">
        <v>DTED</v>
      </c>
      <c r="D483" t="str">
        <v>ZFINS_CFIN_KM_VALUE</v>
      </c>
      <c r="G483" t="str">
        <v>ALL</v>
      </c>
      <c r="K483" t="str">
        <v>E</v>
      </c>
      <c r="L483" t="str">
        <v>NSHAIK</v>
      </c>
      <c r="M483">
        <v>46032</v>
      </c>
      <c r="N483">
        <v>0.12328703703704</v>
      </c>
      <c r="W483" t="str">
        <v>SP1K960967</v>
      </c>
      <c r="Y483">
        <f>IF(Table1[[#This Row],[OPERATION]]="NOTE","NOTE",Table1[[#This Row],[SUB_TYPE]])</f>
        <v>0</v>
      </c>
      <c r="Z483">
        <f>IF(Table1[[#This Row],[OPERATION]]="NOTE",NUMBERVALUE(LEFT(Table1[[#This Row],[MOD_NAME]],LEN(Table1[[#This Row],[MOD_NAME]])-4)),Table1[[#This Row],[SUB_NAME]])</f>
        <v>0</v>
      </c>
      <c r="AA483" t="str">
        <f>CONCAT(Table1[[#This Row],[Final Obj Type]],"|",Table1[[#This Row],[Final Obj Name]])</f>
        <v>0|0</v>
      </c>
      <c r="AB483" t="e">
        <f>VLOOKUP(Table1[[#This Row],[Final Obj Type]],Classification!B:E,3,FALSE)</f>
        <v>#N/A</v>
      </c>
      <c r="AC483" t="e">
        <f>VLOOKUP(Table1[[#This Row],[Final Obj Type]],Classification!B:E,4,FALSE)</f>
        <v>#N/A</v>
      </c>
      <c r="AD483" t="str">
        <f>IF(Table1[[#This Row],[Position 1]]=0,"/0SAP/",MID(Table1[[#This Row],[Final Obj Name]],Table1[[#This Row],[Position 1]],Table1[[#This Row],[Position 2]]-Table1[[#This Row],[Position 1]]+1))</f>
        <v>/0SAP/</v>
      </c>
      <c r="AE483" t="str">
        <f>VLOOKUP(Table1[[#This Row],[/* Object]],Namespace!A:J,10,FALSE)</f>
        <v>SAP AG</v>
      </c>
      <c r="AF483" t="str">
        <f>IF(VLOOKUP(Table1[[#This Row],[/* Object]],Namespace!A:J,4,FALSE)=0,"",VLOOKUP(Table1[[#This Row],[/* Object]],Namespace!A:J,4,FALSE))</f>
        <v>X</v>
      </c>
      <c r="AG483" t="str">
        <f>IF(VLOOKUP(Table1[[#This Row],[/* Object]],Namespace!A:J,5,FALSE)=0,"",VLOOKUP(Table1[[#This Row],[/* Object]],Namespace!A:J,5,FALSE))</f>
        <v>X</v>
      </c>
      <c r="AH483" t="str">
        <f>IF(VLOOKUP(Table1[[#This Row],[/* Object]],Namespace!A:J,6,FALSE)=0,"",VLOOKUP(Table1[[#This Row],[/* Object]],Namespace!A:J,6,FALSE))</f>
        <v/>
      </c>
      <c r="AI483">
        <f>IFERROR(FIND("/",Table1[[#This Row],[Final Obj Name]],1),0)</f>
        <v>0</v>
      </c>
      <c r="AJ483">
        <f>IF(Table1[[#This Row],[Position 1]]=0,0,FIND("/",Table1[[#This Row],[Final Obj Name]],Table1[[#This Row],[Position 1]]+1))</f>
        <v>0</v>
      </c>
      <c r="AK483" t="str">
        <f>IF(LEFT(Table1[[#This Row],[Final Obj Name]],1)="/",LEFT(Table1[[#This Row],[Final Obj Name]],FIND("/",Table1[[#This Row],[Final Obj Name]],2)),"/0SAP/")</f>
        <v>/0SAP/</v>
      </c>
    </row>
    <row r="484">
      <c r="A484" t="str">
        <v>DTEL</v>
      </c>
      <c r="B484" t="str">
        <v>ZFINS_CFIN_SOURCE_VALUE</v>
      </c>
      <c r="C484" t="str">
        <v>DTED</v>
      </c>
      <c r="D484" t="str">
        <v>ZFINS_CFIN_SOURCE_VALUE</v>
      </c>
      <c r="G484" t="str">
        <v>ALL</v>
      </c>
      <c r="K484" t="str">
        <v>E</v>
      </c>
      <c r="L484" t="str">
        <v>NSHAIK</v>
      </c>
      <c r="M484">
        <v>46032</v>
      </c>
      <c r="N484">
        <v>0.12355324074074</v>
      </c>
      <c r="W484" t="str">
        <v>SP1K960967</v>
      </c>
      <c r="Y484">
        <f>IF(Table1[[#This Row],[OPERATION]]="NOTE","NOTE",Table1[[#This Row],[SUB_TYPE]])</f>
        <v>0</v>
      </c>
      <c r="Z484">
        <f>IF(Table1[[#This Row],[OPERATION]]="NOTE",NUMBERVALUE(LEFT(Table1[[#This Row],[MOD_NAME]],LEN(Table1[[#This Row],[MOD_NAME]])-4)),Table1[[#This Row],[SUB_NAME]])</f>
        <v>0</v>
      </c>
      <c r="AA484" t="str">
        <f>CONCAT(Table1[[#This Row],[Final Obj Type]],"|",Table1[[#This Row],[Final Obj Name]])</f>
        <v>0|0</v>
      </c>
      <c r="AB484" t="e">
        <f>VLOOKUP(Table1[[#This Row],[Final Obj Type]],Classification!B:E,3,FALSE)</f>
        <v>#N/A</v>
      </c>
      <c r="AC484" t="e">
        <f>VLOOKUP(Table1[[#This Row],[Final Obj Type]],Classification!B:E,4,FALSE)</f>
        <v>#N/A</v>
      </c>
      <c r="AD484" t="str">
        <f>IF(Table1[[#This Row],[Position 1]]=0,"/0SAP/",MID(Table1[[#This Row],[Final Obj Name]],Table1[[#This Row],[Position 1]],Table1[[#This Row],[Position 2]]-Table1[[#This Row],[Position 1]]+1))</f>
        <v>/0SAP/</v>
      </c>
      <c r="AE484" t="str">
        <f>VLOOKUP(Table1[[#This Row],[/* Object]],Namespace!A:J,10,FALSE)</f>
        <v>SAP AG</v>
      </c>
      <c r="AF484" t="str">
        <f>IF(VLOOKUP(Table1[[#This Row],[/* Object]],Namespace!A:J,4,FALSE)=0,"",VLOOKUP(Table1[[#This Row],[/* Object]],Namespace!A:J,4,FALSE))</f>
        <v>X</v>
      </c>
      <c r="AG484" t="str">
        <f>IF(VLOOKUP(Table1[[#This Row],[/* Object]],Namespace!A:J,5,FALSE)=0,"",VLOOKUP(Table1[[#This Row],[/* Object]],Namespace!A:J,5,FALSE))</f>
        <v>X</v>
      </c>
      <c r="AH484" t="str">
        <f>IF(VLOOKUP(Table1[[#This Row],[/* Object]],Namespace!A:J,6,FALSE)=0,"",VLOOKUP(Table1[[#This Row],[/* Object]],Namespace!A:J,6,FALSE))</f>
        <v/>
      </c>
      <c r="AI484">
        <f>IFERROR(FIND("/",Table1[[#This Row],[Final Obj Name]],1),0)</f>
        <v>0</v>
      </c>
      <c r="AJ484">
        <f>IF(Table1[[#This Row],[Position 1]]=0,0,FIND("/",Table1[[#This Row],[Final Obj Name]],Table1[[#This Row],[Position 1]]+1))</f>
        <v>0</v>
      </c>
      <c r="AK484" t="str">
        <f>IF(LEFT(Table1[[#This Row],[Final Obj Name]],1)="/",LEFT(Table1[[#This Row],[Final Obj Name]],FIND("/",Table1[[#This Row],[Final Obj Name]],2)),"/0SAP/")</f>
        <v>/0SAP/</v>
      </c>
    </row>
    <row r="485">
      <c r="A485" t="str">
        <v>DTEL</v>
      </c>
      <c r="B485" t="str">
        <v>ZFINS_CFIN_TARGET_VALUE</v>
      </c>
      <c r="C485" t="str">
        <v>DTED</v>
      </c>
      <c r="D485" t="str">
        <v>ZFINS_CFIN_TARGET_VALUE</v>
      </c>
      <c r="G485" t="str">
        <v>ALL</v>
      </c>
      <c r="K485" t="str">
        <v>E</v>
      </c>
      <c r="L485" t="str">
        <v>NSHAIK</v>
      </c>
      <c r="M485">
        <v>46032</v>
      </c>
      <c r="N485">
        <v>0.12381944444444</v>
      </c>
      <c r="W485" t="str">
        <v>SP1K960967</v>
      </c>
      <c r="Y485">
        <f>IF(Table1[[#This Row],[OPERATION]]="NOTE","NOTE",Table1[[#This Row],[SUB_TYPE]])</f>
        <v>0</v>
      </c>
      <c r="Z485">
        <f>IF(Table1[[#This Row],[OPERATION]]="NOTE",NUMBERVALUE(LEFT(Table1[[#This Row],[MOD_NAME]],LEN(Table1[[#This Row],[MOD_NAME]])-4)),Table1[[#This Row],[SUB_NAME]])</f>
        <v>0</v>
      </c>
      <c r="AA485" t="str">
        <f>CONCAT(Table1[[#This Row],[Final Obj Type]],"|",Table1[[#This Row],[Final Obj Name]])</f>
        <v>0|0</v>
      </c>
      <c r="AB485" t="e">
        <f>VLOOKUP(Table1[[#This Row],[Final Obj Type]],Classification!B:E,3,FALSE)</f>
        <v>#N/A</v>
      </c>
      <c r="AC485" t="e">
        <f>VLOOKUP(Table1[[#This Row],[Final Obj Type]],Classification!B:E,4,FALSE)</f>
        <v>#N/A</v>
      </c>
      <c r="AD485" t="str">
        <f>IF(Table1[[#This Row],[Position 1]]=0,"/0SAP/",MID(Table1[[#This Row],[Final Obj Name]],Table1[[#This Row],[Position 1]],Table1[[#This Row],[Position 2]]-Table1[[#This Row],[Position 1]]+1))</f>
        <v>/0SAP/</v>
      </c>
      <c r="AE485" t="str">
        <f>VLOOKUP(Table1[[#This Row],[/* Object]],Namespace!A:J,10,FALSE)</f>
        <v>SAP AG</v>
      </c>
      <c r="AF485" t="str">
        <f>IF(VLOOKUP(Table1[[#This Row],[/* Object]],Namespace!A:J,4,FALSE)=0,"",VLOOKUP(Table1[[#This Row],[/* Object]],Namespace!A:J,4,FALSE))</f>
        <v>X</v>
      </c>
      <c r="AG485" t="str">
        <f>IF(VLOOKUP(Table1[[#This Row],[/* Object]],Namespace!A:J,5,FALSE)=0,"",VLOOKUP(Table1[[#This Row],[/* Object]],Namespace!A:J,5,FALSE))</f>
        <v>X</v>
      </c>
      <c r="AH485" t="str">
        <f>IF(VLOOKUP(Table1[[#This Row],[/* Object]],Namespace!A:J,6,FALSE)=0,"",VLOOKUP(Table1[[#This Row],[/* Object]],Namespace!A:J,6,FALSE))</f>
        <v/>
      </c>
      <c r="AI485">
        <f>IFERROR(FIND("/",Table1[[#This Row],[Final Obj Name]],1),0)</f>
        <v>0</v>
      </c>
      <c r="AJ485">
        <f>IF(Table1[[#This Row],[Position 1]]=0,0,FIND("/",Table1[[#This Row],[Final Obj Name]],Table1[[#This Row],[Position 1]]+1))</f>
        <v>0</v>
      </c>
      <c r="AK485" t="str">
        <f>IF(LEFT(Table1[[#This Row],[Final Obj Name]],1)="/",LEFT(Table1[[#This Row],[Final Obj Name]],FIND("/",Table1[[#This Row],[Final Obj Name]],2)),"/0SAP/")</f>
        <v>/0SAP/</v>
      </c>
    </row>
    <row r="486">
      <c r="A486" t="str">
        <v>DTEL</v>
      </c>
      <c r="B486" t="str">
        <v>ZLAND3</v>
      </c>
      <c r="C486" t="str">
        <v>DTED</v>
      </c>
      <c r="D486" t="str">
        <v>ZLAND3</v>
      </c>
      <c r="G486" t="str">
        <v>ALL</v>
      </c>
      <c r="K486" t="str">
        <v>E</v>
      </c>
      <c r="L486" t="str">
        <v>NSHAIK</v>
      </c>
      <c r="M486">
        <v>46013</v>
      </c>
      <c r="N486">
        <v>0.37412037037037</v>
      </c>
      <c r="W486" t="str">
        <v>SP1K961121</v>
      </c>
      <c r="Y486">
        <f>IF(Table1[[#This Row],[OPERATION]]="NOTE","NOTE",Table1[[#This Row],[SUB_TYPE]])</f>
        <v>0</v>
      </c>
      <c r="Z486">
        <f>IF(Table1[[#This Row],[OPERATION]]="NOTE",NUMBERVALUE(LEFT(Table1[[#This Row],[MOD_NAME]],LEN(Table1[[#This Row],[MOD_NAME]])-4)),Table1[[#This Row],[SUB_NAME]])</f>
        <v>0</v>
      </c>
      <c r="AA486" t="str">
        <f>CONCAT(Table1[[#This Row],[Final Obj Type]],"|",Table1[[#This Row],[Final Obj Name]])</f>
        <v>0|0</v>
      </c>
      <c r="AB486" t="e">
        <f>VLOOKUP(Table1[[#This Row],[Final Obj Type]],Classification!B:E,3,FALSE)</f>
        <v>#N/A</v>
      </c>
      <c r="AC486" t="e">
        <f>VLOOKUP(Table1[[#This Row],[Final Obj Type]],Classification!B:E,4,FALSE)</f>
        <v>#N/A</v>
      </c>
      <c r="AD486" t="str">
        <f>IF(Table1[[#This Row],[Position 1]]=0,"/0SAP/",MID(Table1[[#This Row],[Final Obj Name]],Table1[[#This Row],[Position 1]],Table1[[#This Row],[Position 2]]-Table1[[#This Row],[Position 1]]+1))</f>
        <v>/0SAP/</v>
      </c>
      <c r="AE486" t="str">
        <f>VLOOKUP(Table1[[#This Row],[/* Object]],Namespace!A:J,10,FALSE)</f>
        <v>SAP AG</v>
      </c>
      <c r="AF486" t="str">
        <f>IF(VLOOKUP(Table1[[#This Row],[/* Object]],Namespace!A:J,4,FALSE)=0,"",VLOOKUP(Table1[[#This Row],[/* Object]],Namespace!A:J,4,FALSE))</f>
        <v>X</v>
      </c>
      <c r="AG486" t="str">
        <f>IF(VLOOKUP(Table1[[#This Row],[/* Object]],Namespace!A:J,5,FALSE)=0,"",VLOOKUP(Table1[[#This Row],[/* Object]],Namespace!A:J,5,FALSE))</f>
        <v>X</v>
      </c>
      <c r="AH486" t="str">
        <f>IF(VLOOKUP(Table1[[#This Row],[/* Object]],Namespace!A:J,6,FALSE)=0,"",VLOOKUP(Table1[[#This Row],[/* Object]],Namespace!A:J,6,FALSE))</f>
        <v/>
      </c>
      <c r="AI486">
        <f>IFERROR(FIND("/",Table1[[#This Row],[Final Obj Name]],1),0)</f>
        <v>0</v>
      </c>
      <c r="AJ486">
        <f>IF(Table1[[#This Row],[Position 1]]=0,0,FIND("/",Table1[[#This Row],[Final Obj Name]],Table1[[#This Row],[Position 1]]+1))</f>
        <v>0</v>
      </c>
      <c r="AK486" t="str">
        <f>IF(LEFT(Table1[[#This Row],[Final Obj Name]],1)="/",LEFT(Table1[[#This Row],[Final Obj Name]],FIND("/",Table1[[#This Row],[Final Obj Name]],2)),"/0SAP/")</f>
        <v>/0SAP/</v>
      </c>
    </row>
    <row r="487">
      <c r="A487" t="str">
        <v>DTEL</v>
      </c>
      <c r="B487" t="str">
        <v>ZOBJECT</v>
      </c>
      <c r="C487" t="str">
        <v>DTED</v>
      </c>
      <c r="D487" t="str">
        <v>ZOBJECT</v>
      </c>
      <c r="G487" t="str">
        <v>ALL</v>
      </c>
      <c r="K487" t="str">
        <v>E</v>
      </c>
      <c r="L487" t="str">
        <v>NSHAIK</v>
      </c>
      <c r="M487">
        <v>46013</v>
      </c>
      <c r="N487">
        <v>0.37438657407407</v>
      </c>
      <c r="W487" t="str">
        <v>SP1K961121</v>
      </c>
      <c r="Y487">
        <f>IF(Table1[[#This Row],[OPERATION]]="NOTE","NOTE",Table1[[#This Row],[SUB_TYPE]])</f>
        <v>0</v>
      </c>
      <c r="Z487">
        <f>IF(Table1[[#This Row],[OPERATION]]="NOTE",NUMBERVALUE(LEFT(Table1[[#This Row],[MOD_NAME]],LEN(Table1[[#This Row],[MOD_NAME]])-4)),Table1[[#This Row],[SUB_NAME]])</f>
        <v>0</v>
      </c>
      <c r="AA487" t="str">
        <f>CONCAT(Table1[[#This Row],[Final Obj Type]],"|",Table1[[#This Row],[Final Obj Name]])</f>
        <v>0|0</v>
      </c>
      <c r="AB487" t="e">
        <f>VLOOKUP(Table1[[#This Row],[Final Obj Type]],Classification!B:E,3,FALSE)</f>
        <v>#N/A</v>
      </c>
      <c r="AC487" t="e">
        <f>VLOOKUP(Table1[[#This Row],[Final Obj Type]],Classification!B:E,4,FALSE)</f>
        <v>#N/A</v>
      </c>
      <c r="AD487" t="str">
        <f>IF(Table1[[#This Row],[Position 1]]=0,"/0SAP/",MID(Table1[[#This Row],[Final Obj Name]],Table1[[#This Row],[Position 1]],Table1[[#This Row],[Position 2]]-Table1[[#This Row],[Position 1]]+1))</f>
        <v>/0SAP/</v>
      </c>
      <c r="AE487" t="str">
        <f>VLOOKUP(Table1[[#This Row],[/* Object]],Namespace!A:J,10,FALSE)</f>
        <v>SAP AG</v>
      </c>
      <c r="AF487" t="str">
        <f>IF(VLOOKUP(Table1[[#This Row],[/* Object]],Namespace!A:J,4,FALSE)=0,"",VLOOKUP(Table1[[#This Row],[/* Object]],Namespace!A:J,4,FALSE))</f>
        <v>X</v>
      </c>
      <c r="AG487" t="str">
        <f>IF(VLOOKUP(Table1[[#This Row],[/* Object]],Namespace!A:J,5,FALSE)=0,"",VLOOKUP(Table1[[#This Row],[/* Object]],Namespace!A:J,5,FALSE))</f>
        <v>X</v>
      </c>
      <c r="AH487" t="str">
        <f>IF(VLOOKUP(Table1[[#This Row],[/* Object]],Namespace!A:J,6,FALSE)=0,"",VLOOKUP(Table1[[#This Row],[/* Object]],Namespace!A:J,6,FALSE))</f>
        <v/>
      </c>
      <c r="AI487">
        <f>IFERROR(FIND("/",Table1[[#This Row],[Final Obj Name]],1),0)</f>
        <v>0</v>
      </c>
      <c r="AJ487">
        <f>IF(Table1[[#This Row],[Position 1]]=0,0,FIND("/",Table1[[#This Row],[Final Obj Name]],Table1[[#This Row],[Position 1]]+1))</f>
        <v>0</v>
      </c>
      <c r="AK487" t="str">
        <f>IF(LEFT(Table1[[#This Row],[Final Obj Name]],1)="/",LEFT(Table1[[#This Row],[Final Obj Name]],FIND("/",Table1[[#This Row],[Final Obj Name]],2)),"/0SAP/")</f>
        <v>/0SAP/</v>
      </c>
    </row>
    <row r="488">
      <c r="A488" t="str">
        <v>DTEL</v>
      </c>
      <c r="B488" t="str">
        <v>ZOBJECT_MAPPING_TYPE</v>
      </c>
      <c r="C488" t="str">
        <v>DTED</v>
      </c>
      <c r="D488" t="str">
        <v>ZOBJECT_MAPPING_TYPE</v>
      </c>
      <c r="G488" t="str">
        <v>ALL</v>
      </c>
      <c r="K488" t="str">
        <v>E</v>
      </c>
      <c r="L488" t="str">
        <v>NSHAIK</v>
      </c>
      <c r="M488">
        <v>46032</v>
      </c>
      <c r="N488">
        <v>0.12407407407407</v>
      </c>
      <c r="W488" t="str">
        <v>SP1K960967</v>
      </c>
      <c r="Y488">
        <f>IF(Table1[[#This Row],[OPERATION]]="NOTE","NOTE",Table1[[#This Row],[SUB_TYPE]])</f>
        <v>0</v>
      </c>
      <c r="Z488">
        <f>IF(Table1[[#This Row],[OPERATION]]="NOTE",NUMBERVALUE(LEFT(Table1[[#This Row],[MOD_NAME]],LEN(Table1[[#This Row],[MOD_NAME]])-4)),Table1[[#This Row],[SUB_NAME]])</f>
        <v>0</v>
      </c>
      <c r="AA488" t="str">
        <f>CONCAT(Table1[[#This Row],[Final Obj Type]],"|",Table1[[#This Row],[Final Obj Name]])</f>
        <v>0|0</v>
      </c>
      <c r="AB488" t="e">
        <f>VLOOKUP(Table1[[#This Row],[Final Obj Type]],Classification!B:E,3,FALSE)</f>
        <v>#N/A</v>
      </c>
      <c r="AC488" t="e">
        <f>VLOOKUP(Table1[[#This Row],[Final Obj Type]],Classification!B:E,4,FALSE)</f>
        <v>#N/A</v>
      </c>
      <c r="AD488" t="str">
        <f>IF(Table1[[#This Row],[Position 1]]=0,"/0SAP/",MID(Table1[[#This Row],[Final Obj Name]],Table1[[#This Row],[Position 1]],Table1[[#This Row],[Position 2]]-Table1[[#This Row],[Position 1]]+1))</f>
        <v>/0SAP/</v>
      </c>
      <c r="AE488" t="str">
        <f>VLOOKUP(Table1[[#This Row],[/* Object]],Namespace!A:J,10,FALSE)</f>
        <v>SAP AG</v>
      </c>
      <c r="AF488" t="str">
        <f>IF(VLOOKUP(Table1[[#This Row],[/* Object]],Namespace!A:J,4,FALSE)=0,"",VLOOKUP(Table1[[#This Row],[/* Object]],Namespace!A:J,4,FALSE))</f>
        <v>X</v>
      </c>
      <c r="AG488" t="str">
        <f>IF(VLOOKUP(Table1[[#This Row],[/* Object]],Namespace!A:J,5,FALSE)=0,"",VLOOKUP(Table1[[#This Row],[/* Object]],Namespace!A:J,5,FALSE))</f>
        <v>X</v>
      </c>
      <c r="AH488" t="str">
        <f>IF(VLOOKUP(Table1[[#This Row],[/* Object]],Namespace!A:J,6,FALSE)=0,"",VLOOKUP(Table1[[#This Row],[/* Object]],Namespace!A:J,6,FALSE))</f>
        <v/>
      </c>
      <c r="AI488">
        <f>IFERROR(FIND("/",Table1[[#This Row],[Final Obj Name]],1),0)</f>
        <v>0</v>
      </c>
      <c r="AJ488">
        <f>IF(Table1[[#This Row],[Position 1]]=0,0,FIND("/",Table1[[#This Row],[Final Obj Name]],Table1[[#This Row],[Position 1]]+1))</f>
        <v>0</v>
      </c>
      <c r="AK488" t="str">
        <f>IF(LEFT(Table1[[#This Row],[Final Obj Name]],1)="/",LEFT(Table1[[#This Row],[Final Obj Name]],FIND("/",Table1[[#This Row],[Final Obj Name]],2)),"/0SAP/")</f>
        <v>/0SAP/</v>
      </c>
    </row>
    <row r="489">
      <c r="A489" t="str">
        <v>DTEL</v>
      </c>
      <c r="B489" t="str">
        <v>ZPTM_INSP</v>
      </c>
      <c r="C489" t="str">
        <v>DTED</v>
      </c>
      <c r="D489" t="str">
        <v>ZPTM_INSP</v>
      </c>
      <c r="G489" t="str">
        <v>ALL</v>
      </c>
      <c r="K489" t="str">
        <v>E</v>
      </c>
      <c r="L489" t="str">
        <v>NIM</v>
      </c>
      <c r="M489">
        <v>45848</v>
      </c>
      <c r="N489">
        <v>0.23877314814815</v>
      </c>
      <c r="W489" t="str">
        <v>S01K924202</v>
      </c>
      <c r="Y489">
        <f>IF(Table1[[#This Row],[OPERATION]]="NOTE","NOTE",Table1[[#This Row],[SUB_TYPE]])</f>
        <v>0</v>
      </c>
      <c r="Z489">
        <f>IF(Table1[[#This Row],[OPERATION]]="NOTE",NUMBERVALUE(LEFT(Table1[[#This Row],[MOD_NAME]],LEN(Table1[[#This Row],[MOD_NAME]])-4)),Table1[[#This Row],[SUB_NAME]])</f>
        <v>0</v>
      </c>
      <c r="AA489" t="str">
        <f>CONCAT(Table1[[#This Row],[Final Obj Type]],"|",Table1[[#This Row],[Final Obj Name]])</f>
        <v>0|0</v>
      </c>
      <c r="AB489" t="e">
        <f>VLOOKUP(Table1[[#This Row],[Final Obj Type]],Classification!B:E,3,FALSE)</f>
        <v>#N/A</v>
      </c>
      <c r="AC489" t="e">
        <f>VLOOKUP(Table1[[#This Row],[Final Obj Type]],Classification!B:E,4,FALSE)</f>
        <v>#N/A</v>
      </c>
      <c r="AD489" t="str">
        <f>IF(Table1[[#This Row],[Position 1]]=0,"/0SAP/",MID(Table1[[#This Row],[Final Obj Name]],Table1[[#This Row],[Position 1]],Table1[[#This Row],[Position 2]]-Table1[[#This Row],[Position 1]]+1))</f>
        <v>/0SAP/</v>
      </c>
      <c r="AE489" t="str">
        <f>VLOOKUP(Table1[[#This Row],[/* Object]],Namespace!A:J,10,FALSE)</f>
        <v>SAP AG</v>
      </c>
      <c r="AF489" t="str">
        <f>IF(VLOOKUP(Table1[[#This Row],[/* Object]],Namespace!A:J,4,FALSE)=0,"",VLOOKUP(Table1[[#This Row],[/* Object]],Namespace!A:J,4,FALSE))</f>
        <v>X</v>
      </c>
      <c r="AG489" t="str">
        <f>IF(VLOOKUP(Table1[[#This Row],[/* Object]],Namespace!A:J,5,FALSE)=0,"",VLOOKUP(Table1[[#This Row],[/* Object]],Namespace!A:J,5,FALSE))</f>
        <v>X</v>
      </c>
      <c r="AH489" t="str">
        <f>IF(VLOOKUP(Table1[[#This Row],[/* Object]],Namespace!A:J,6,FALSE)=0,"",VLOOKUP(Table1[[#This Row],[/* Object]],Namespace!A:J,6,FALSE))</f>
        <v/>
      </c>
      <c r="AI489">
        <f>IFERROR(FIND("/",Table1[[#This Row],[Final Obj Name]],1),0)</f>
        <v>0</v>
      </c>
      <c r="AJ489">
        <f>IF(Table1[[#This Row],[Position 1]]=0,0,FIND("/",Table1[[#This Row],[Final Obj Name]],Table1[[#This Row],[Position 1]]+1))</f>
        <v>0</v>
      </c>
      <c r="AK489" t="str">
        <f>IF(LEFT(Table1[[#This Row],[Final Obj Name]],1)="/",LEFT(Table1[[#This Row],[Final Obj Name]],FIND("/",Table1[[#This Row],[Final Obj Name]],2)),"/0SAP/")</f>
        <v>/0SAP/</v>
      </c>
    </row>
    <row r="490">
      <c r="A490" t="str">
        <v>DTEL</v>
      </c>
      <c r="B490" t="str">
        <v>ZREGIO_MDG</v>
      </c>
      <c r="C490" t="str">
        <v>DTED</v>
      </c>
      <c r="D490" t="str">
        <v>ZREGIO_MDG</v>
      </c>
      <c r="G490" t="str">
        <v>ALL</v>
      </c>
      <c r="K490" t="str">
        <v>E</v>
      </c>
      <c r="L490" t="str">
        <v>NSHAIK</v>
      </c>
      <c r="M490">
        <v>46013</v>
      </c>
      <c r="N490">
        <v>0.37465277777778</v>
      </c>
      <c r="W490" t="str">
        <v>SP1K961121</v>
      </c>
      <c r="Y490">
        <f>IF(Table1[[#This Row],[OPERATION]]="NOTE","NOTE",Table1[[#This Row],[SUB_TYPE]])</f>
        <v>0</v>
      </c>
      <c r="Z490">
        <f>IF(Table1[[#This Row],[OPERATION]]="NOTE",NUMBERVALUE(LEFT(Table1[[#This Row],[MOD_NAME]],LEN(Table1[[#This Row],[MOD_NAME]])-4)),Table1[[#This Row],[SUB_NAME]])</f>
        <v>0</v>
      </c>
      <c r="AA490" t="str">
        <f>CONCAT(Table1[[#This Row],[Final Obj Type]],"|",Table1[[#This Row],[Final Obj Name]])</f>
        <v>0|0</v>
      </c>
      <c r="AB490" t="e">
        <f>VLOOKUP(Table1[[#This Row],[Final Obj Type]],Classification!B:E,3,FALSE)</f>
        <v>#N/A</v>
      </c>
      <c r="AC490" t="e">
        <f>VLOOKUP(Table1[[#This Row],[Final Obj Type]],Classification!B:E,4,FALSE)</f>
        <v>#N/A</v>
      </c>
      <c r="AD490" t="str">
        <f>IF(Table1[[#This Row],[Position 1]]=0,"/0SAP/",MID(Table1[[#This Row],[Final Obj Name]],Table1[[#This Row],[Position 1]],Table1[[#This Row],[Position 2]]-Table1[[#This Row],[Position 1]]+1))</f>
        <v>/0SAP/</v>
      </c>
      <c r="AE490" t="str">
        <f>VLOOKUP(Table1[[#This Row],[/* Object]],Namespace!A:J,10,FALSE)</f>
        <v>SAP AG</v>
      </c>
      <c r="AF490" t="str">
        <f>IF(VLOOKUP(Table1[[#This Row],[/* Object]],Namespace!A:J,4,FALSE)=0,"",VLOOKUP(Table1[[#This Row],[/* Object]],Namespace!A:J,4,FALSE))</f>
        <v>X</v>
      </c>
      <c r="AG490" t="str">
        <f>IF(VLOOKUP(Table1[[#This Row],[/* Object]],Namespace!A:J,5,FALSE)=0,"",VLOOKUP(Table1[[#This Row],[/* Object]],Namespace!A:J,5,FALSE))</f>
        <v>X</v>
      </c>
      <c r="AH490" t="str">
        <f>IF(VLOOKUP(Table1[[#This Row],[/* Object]],Namespace!A:J,6,FALSE)=0,"",VLOOKUP(Table1[[#This Row],[/* Object]],Namespace!A:J,6,FALSE))</f>
        <v/>
      </c>
      <c r="AI490">
        <f>IFERROR(FIND("/",Table1[[#This Row],[Final Obj Name]],1),0)</f>
        <v>0</v>
      </c>
      <c r="AJ490">
        <f>IF(Table1[[#This Row],[Position 1]]=0,0,FIND("/",Table1[[#This Row],[Final Obj Name]],Table1[[#This Row],[Position 1]]+1))</f>
        <v>0</v>
      </c>
      <c r="AK490" t="str">
        <f>IF(LEFT(Table1[[#This Row],[Final Obj Name]],1)="/",LEFT(Table1[[#This Row],[Final Obj Name]],FIND("/",Table1[[#This Row],[Final Obj Name]],2)),"/0SAP/")</f>
        <v>/0SAP/</v>
      </c>
    </row>
    <row r="491">
      <c r="A491" t="str">
        <v>DTEL</v>
      </c>
      <c r="B491" t="str">
        <v>ZREVLVL</v>
      </c>
      <c r="C491" t="str">
        <v>DTED</v>
      </c>
      <c r="D491" t="str">
        <v>ZREVLVL</v>
      </c>
      <c r="G491" t="str">
        <v>ALL</v>
      </c>
      <c r="K491" t="str">
        <v>E</v>
      </c>
      <c r="L491">
        <v>50117741</v>
      </c>
      <c r="M491">
        <v>44987</v>
      </c>
      <c r="N491">
        <v>0.51555555555556</v>
      </c>
      <c r="W491" t="str">
        <v>S01K915549</v>
      </c>
      <c r="Y491">
        <f>IF(Table1[[#This Row],[OPERATION]]="NOTE","NOTE",Table1[[#This Row],[SUB_TYPE]])</f>
        <v>0</v>
      </c>
      <c r="Z491">
        <f>IF(Table1[[#This Row],[OPERATION]]="NOTE",NUMBERVALUE(LEFT(Table1[[#This Row],[MOD_NAME]],LEN(Table1[[#This Row],[MOD_NAME]])-4)),Table1[[#This Row],[SUB_NAME]])</f>
        <v>0</v>
      </c>
      <c r="AA491" t="str">
        <f>CONCAT(Table1[[#This Row],[Final Obj Type]],"|",Table1[[#This Row],[Final Obj Name]])</f>
        <v>0|0</v>
      </c>
      <c r="AB491" t="e">
        <f>VLOOKUP(Table1[[#This Row],[Final Obj Type]],Classification!B:E,3,FALSE)</f>
        <v>#N/A</v>
      </c>
      <c r="AC491" t="e">
        <f>VLOOKUP(Table1[[#This Row],[Final Obj Type]],Classification!B:E,4,FALSE)</f>
        <v>#N/A</v>
      </c>
      <c r="AD491" t="str">
        <f>IF(Table1[[#This Row],[Position 1]]=0,"/0SAP/",MID(Table1[[#This Row],[Final Obj Name]],Table1[[#This Row],[Position 1]],Table1[[#This Row],[Position 2]]-Table1[[#This Row],[Position 1]]+1))</f>
        <v>/0SAP/</v>
      </c>
      <c r="AE491" t="str">
        <f>VLOOKUP(Table1[[#This Row],[/* Object]],Namespace!A:J,10,FALSE)</f>
        <v>SAP AG</v>
      </c>
      <c r="AF491" t="str">
        <f>IF(VLOOKUP(Table1[[#This Row],[/* Object]],Namespace!A:J,4,FALSE)=0,"",VLOOKUP(Table1[[#This Row],[/* Object]],Namespace!A:J,4,FALSE))</f>
        <v>X</v>
      </c>
      <c r="AG491" t="str">
        <f>IF(VLOOKUP(Table1[[#This Row],[/* Object]],Namespace!A:J,5,FALSE)=0,"",VLOOKUP(Table1[[#This Row],[/* Object]],Namespace!A:J,5,FALSE))</f>
        <v>X</v>
      </c>
      <c r="AH491" t="str">
        <f>IF(VLOOKUP(Table1[[#This Row],[/* Object]],Namespace!A:J,6,FALSE)=0,"",VLOOKUP(Table1[[#This Row],[/* Object]],Namespace!A:J,6,FALSE))</f>
        <v/>
      </c>
      <c r="AI491">
        <f>IFERROR(FIND("/",Table1[[#This Row],[Final Obj Name]],1),0)</f>
        <v>0</v>
      </c>
      <c r="AJ491">
        <f>IF(Table1[[#This Row],[Position 1]]=0,0,FIND("/",Table1[[#This Row],[Final Obj Name]],Table1[[#This Row],[Position 1]]+1))</f>
        <v>0</v>
      </c>
      <c r="AK491" t="str">
        <f>IF(LEFT(Table1[[#This Row],[Final Obj Name]],1)="/",LEFT(Table1[[#This Row],[Final Obj Name]],FIND("/",Table1[[#This Row],[Final Obj Name]],2)),"/0SAP/")</f>
        <v>/0SAP/</v>
      </c>
    </row>
    <row r="492">
      <c r="A492" t="str">
        <v>DTEL</v>
      </c>
      <c r="B492" t="str">
        <v>ZSMTP_ADDR_C</v>
      </c>
      <c r="C492" t="str">
        <v>DTED</v>
      </c>
      <c r="D492" t="str">
        <v>ZSMTP_ADDR_C</v>
      </c>
      <c r="G492" t="str">
        <v>ALL</v>
      </c>
      <c r="K492" t="str">
        <v>E</v>
      </c>
      <c r="L492" t="str">
        <v>NSHAIK</v>
      </c>
      <c r="M492">
        <v>46013</v>
      </c>
      <c r="N492">
        <v>0.25725694444444</v>
      </c>
      <c r="W492" t="str">
        <v>SP1K961121</v>
      </c>
      <c r="Y492">
        <f>IF(Table1[[#This Row],[OPERATION]]="NOTE","NOTE",Table1[[#This Row],[SUB_TYPE]])</f>
        <v>0</v>
      </c>
      <c r="Z492">
        <f>IF(Table1[[#This Row],[OPERATION]]="NOTE",NUMBERVALUE(LEFT(Table1[[#This Row],[MOD_NAME]],LEN(Table1[[#This Row],[MOD_NAME]])-4)),Table1[[#This Row],[SUB_NAME]])</f>
        <v>0</v>
      </c>
      <c r="AA492" t="str">
        <f>CONCAT(Table1[[#This Row],[Final Obj Type]],"|",Table1[[#This Row],[Final Obj Name]])</f>
        <v>0|0</v>
      </c>
      <c r="AB492" t="e">
        <f>VLOOKUP(Table1[[#This Row],[Final Obj Type]],Classification!B:E,3,FALSE)</f>
        <v>#N/A</v>
      </c>
      <c r="AC492" t="e">
        <f>VLOOKUP(Table1[[#This Row],[Final Obj Type]],Classification!B:E,4,FALSE)</f>
        <v>#N/A</v>
      </c>
      <c r="AD492" t="str">
        <f>IF(Table1[[#This Row],[Position 1]]=0,"/0SAP/",MID(Table1[[#This Row],[Final Obj Name]],Table1[[#This Row],[Position 1]],Table1[[#This Row],[Position 2]]-Table1[[#This Row],[Position 1]]+1))</f>
        <v>/0SAP/</v>
      </c>
      <c r="AE492" t="str">
        <f>VLOOKUP(Table1[[#This Row],[/* Object]],Namespace!A:J,10,FALSE)</f>
        <v>SAP AG</v>
      </c>
      <c r="AF492" t="str">
        <f>IF(VLOOKUP(Table1[[#This Row],[/* Object]],Namespace!A:J,4,FALSE)=0,"",VLOOKUP(Table1[[#This Row],[/* Object]],Namespace!A:J,4,FALSE))</f>
        <v>X</v>
      </c>
      <c r="AG492" t="str">
        <f>IF(VLOOKUP(Table1[[#This Row],[/* Object]],Namespace!A:J,5,FALSE)=0,"",VLOOKUP(Table1[[#This Row],[/* Object]],Namespace!A:J,5,FALSE))</f>
        <v>X</v>
      </c>
      <c r="AH492" t="str">
        <f>IF(VLOOKUP(Table1[[#This Row],[/* Object]],Namespace!A:J,6,FALSE)=0,"",VLOOKUP(Table1[[#This Row],[/* Object]],Namespace!A:J,6,FALSE))</f>
        <v/>
      </c>
      <c r="AI492">
        <f>IFERROR(FIND("/",Table1[[#This Row],[Final Obj Name]],1),0)</f>
        <v>0</v>
      </c>
      <c r="AJ492">
        <f>IF(Table1[[#This Row],[Position 1]]=0,0,FIND("/",Table1[[#This Row],[Final Obj Name]],Table1[[#This Row],[Position 1]]+1))</f>
        <v>0</v>
      </c>
      <c r="AK492" t="str">
        <f>IF(LEFT(Table1[[#This Row],[Final Obj Name]],1)="/",LEFT(Table1[[#This Row],[Final Obj Name]],FIND("/",Table1[[#This Row],[Final Obj Name]],2)),"/0SAP/")</f>
        <v>/0SAP/</v>
      </c>
    </row>
    <row r="493">
      <c r="A493" t="str">
        <v>DTEL</v>
      </c>
      <c r="B493" t="str">
        <v>ZSMTP_ADDR_M</v>
      </c>
      <c r="C493" t="str">
        <v>DTED</v>
      </c>
      <c r="D493" t="str">
        <v>ZSMTP_ADDR_M</v>
      </c>
      <c r="G493" t="str">
        <v>ALL</v>
      </c>
      <c r="K493" t="str">
        <v>E</v>
      </c>
      <c r="L493" t="str">
        <v>NSHAIK</v>
      </c>
      <c r="M493">
        <v>46013</v>
      </c>
      <c r="N493">
        <v>0.25751157407407</v>
      </c>
      <c r="W493" t="str">
        <v>SP1K961121</v>
      </c>
      <c r="Y493">
        <f>IF(Table1[[#This Row],[OPERATION]]="NOTE","NOTE",Table1[[#This Row],[SUB_TYPE]])</f>
        <v>0</v>
      </c>
      <c r="Z493">
        <f>IF(Table1[[#This Row],[OPERATION]]="NOTE",NUMBERVALUE(LEFT(Table1[[#This Row],[MOD_NAME]],LEN(Table1[[#This Row],[MOD_NAME]])-4)),Table1[[#This Row],[SUB_NAME]])</f>
        <v>0</v>
      </c>
      <c r="AA493" t="str">
        <f>CONCAT(Table1[[#This Row],[Final Obj Type]],"|",Table1[[#This Row],[Final Obj Name]])</f>
        <v>0|0</v>
      </c>
      <c r="AB493" t="e">
        <f>VLOOKUP(Table1[[#This Row],[Final Obj Type]],Classification!B:E,3,FALSE)</f>
        <v>#N/A</v>
      </c>
      <c r="AC493" t="e">
        <f>VLOOKUP(Table1[[#This Row],[Final Obj Type]],Classification!B:E,4,FALSE)</f>
        <v>#N/A</v>
      </c>
      <c r="AD493" t="str">
        <f>IF(Table1[[#This Row],[Position 1]]=0,"/0SAP/",MID(Table1[[#This Row],[Final Obj Name]],Table1[[#This Row],[Position 1]],Table1[[#This Row],[Position 2]]-Table1[[#This Row],[Position 1]]+1))</f>
        <v>/0SAP/</v>
      </c>
      <c r="AE493" t="str">
        <f>VLOOKUP(Table1[[#This Row],[/* Object]],Namespace!A:J,10,FALSE)</f>
        <v>SAP AG</v>
      </c>
      <c r="AF493" t="str">
        <f>IF(VLOOKUP(Table1[[#This Row],[/* Object]],Namespace!A:J,4,FALSE)=0,"",VLOOKUP(Table1[[#This Row],[/* Object]],Namespace!A:J,4,FALSE))</f>
        <v>X</v>
      </c>
      <c r="AG493" t="str">
        <f>IF(VLOOKUP(Table1[[#This Row],[/* Object]],Namespace!A:J,5,FALSE)=0,"",VLOOKUP(Table1[[#This Row],[/* Object]],Namespace!A:J,5,FALSE))</f>
        <v>X</v>
      </c>
      <c r="AH493" t="str">
        <f>IF(VLOOKUP(Table1[[#This Row],[/* Object]],Namespace!A:J,6,FALSE)=0,"",VLOOKUP(Table1[[#This Row],[/* Object]],Namespace!A:J,6,FALSE))</f>
        <v/>
      </c>
      <c r="AI493">
        <f>IFERROR(FIND("/",Table1[[#This Row],[Final Obj Name]],1),0)</f>
        <v>0</v>
      </c>
      <c r="AJ493">
        <f>IF(Table1[[#This Row],[Position 1]]=0,0,FIND("/",Table1[[#This Row],[Final Obj Name]],Table1[[#This Row],[Position 1]]+1))</f>
        <v>0</v>
      </c>
      <c r="AK493" t="str">
        <f>IF(LEFT(Table1[[#This Row],[Final Obj Name]],1)="/",LEFT(Table1[[#This Row],[Final Obj Name]],FIND("/",Table1[[#This Row],[Final Obj Name]],2)),"/0SAP/")</f>
        <v>/0SAP/</v>
      </c>
    </row>
    <row r="494">
      <c r="A494" t="str">
        <v>DTEL</v>
      </c>
      <c r="B494" t="str">
        <v>ZSMTP_ADDR_S</v>
      </c>
      <c r="C494" t="str">
        <v>DTED</v>
      </c>
      <c r="D494" t="str">
        <v>ZSMTP_ADDR_S</v>
      </c>
      <c r="G494" t="str">
        <v>ALL</v>
      </c>
      <c r="K494" t="str">
        <v>E</v>
      </c>
      <c r="L494" t="str">
        <v>NSHAIK</v>
      </c>
      <c r="M494">
        <v>46013</v>
      </c>
      <c r="N494">
        <v>0.25770833333333</v>
      </c>
      <c r="W494" t="str">
        <v>SP1K961121</v>
      </c>
      <c r="Y494">
        <f>IF(Table1[[#This Row],[OPERATION]]="NOTE","NOTE",Table1[[#This Row],[SUB_TYPE]])</f>
        <v>0</v>
      </c>
      <c r="Z494">
        <f>IF(Table1[[#This Row],[OPERATION]]="NOTE",NUMBERVALUE(LEFT(Table1[[#This Row],[MOD_NAME]],LEN(Table1[[#This Row],[MOD_NAME]])-4)),Table1[[#This Row],[SUB_NAME]])</f>
        <v>0</v>
      </c>
      <c r="AA494" t="str">
        <f>CONCAT(Table1[[#This Row],[Final Obj Type]],"|",Table1[[#This Row],[Final Obj Name]])</f>
        <v>0|0</v>
      </c>
      <c r="AB494" t="e">
        <f>VLOOKUP(Table1[[#This Row],[Final Obj Type]],Classification!B:E,3,FALSE)</f>
        <v>#N/A</v>
      </c>
      <c r="AC494" t="e">
        <f>VLOOKUP(Table1[[#This Row],[Final Obj Type]],Classification!B:E,4,FALSE)</f>
        <v>#N/A</v>
      </c>
      <c r="AD494" t="str">
        <f>IF(Table1[[#This Row],[Position 1]]=0,"/0SAP/",MID(Table1[[#This Row],[Final Obj Name]],Table1[[#This Row],[Position 1]],Table1[[#This Row],[Position 2]]-Table1[[#This Row],[Position 1]]+1))</f>
        <v>/0SAP/</v>
      </c>
      <c r="AE494" t="str">
        <f>VLOOKUP(Table1[[#This Row],[/* Object]],Namespace!A:J,10,FALSE)</f>
        <v>SAP AG</v>
      </c>
      <c r="AF494" t="str">
        <f>IF(VLOOKUP(Table1[[#This Row],[/* Object]],Namespace!A:J,4,FALSE)=0,"",VLOOKUP(Table1[[#This Row],[/* Object]],Namespace!A:J,4,FALSE))</f>
        <v>X</v>
      </c>
      <c r="AG494" t="str">
        <f>IF(VLOOKUP(Table1[[#This Row],[/* Object]],Namespace!A:J,5,FALSE)=0,"",VLOOKUP(Table1[[#This Row],[/* Object]],Namespace!A:J,5,FALSE))</f>
        <v>X</v>
      </c>
      <c r="AH494" t="str">
        <f>IF(VLOOKUP(Table1[[#This Row],[/* Object]],Namespace!A:J,6,FALSE)=0,"",VLOOKUP(Table1[[#This Row],[/* Object]],Namespace!A:J,6,FALSE))</f>
        <v/>
      </c>
      <c r="AI494">
        <f>IFERROR(FIND("/",Table1[[#This Row],[Final Obj Name]],1),0)</f>
        <v>0</v>
      </c>
      <c r="AJ494">
        <f>IF(Table1[[#This Row],[Position 1]]=0,0,FIND("/",Table1[[#This Row],[Final Obj Name]],Table1[[#This Row],[Position 1]]+1))</f>
        <v>0</v>
      </c>
      <c r="AK494" t="str">
        <f>IF(LEFT(Table1[[#This Row],[Final Obj Name]],1)="/",LEFT(Table1[[#This Row],[Final Obj Name]],FIND("/",Table1[[#This Row],[Final Obj Name]],2)),"/0SAP/")</f>
        <v>/0SAP/</v>
      </c>
    </row>
    <row r="495">
      <c r="A495" t="str">
        <v>DTEL</v>
      </c>
      <c r="B495" t="str">
        <v>ZSM_EMAIL</v>
      </c>
      <c r="C495" t="str">
        <v>DTED</v>
      </c>
      <c r="D495" t="str">
        <v>ZSM_EMAIL</v>
      </c>
      <c r="G495" t="str">
        <v>ALL</v>
      </c>
      <c r="K495" t="str">
        <v>E</v>
      </c>
      <c r="L495" t="str">
        <v>NSHAIK</v>
      </c>
      <c r="M495">
        <v>46013</v>
      </c>
      <c r="N495">
        <v>0.37493055555556</v>
      </c>
      <c r="W495" t="str">
        <v>SP1K961121</v>
      </c>
      <c r="Y495">
        <f>IF(Table1[[#This Row],[OPERATION]]="NOTE","NOTE",Table1[[#This Row],[SUB_TYPE]])</f>
        <v>0</v>
      </c>
      <c r="Z495">
        <f>IF(Table1[[#This Row],[OPERATION]]="NOTE",NUMBERVALUE(LEFT(Table1[[#This Row],[MOD_NAME]],LEN(Table1[[#This Row],[MOD_NAME]])-4)),Table1[[#This Row],[SUB_NAME]])</f>
        <v>0</v>
      </c>
      <c r="AA495" t="str">
        <f>CONCAT(Table1[[#This Row],[Final Obj Type]],"|",Table1[[#This Row],[Final Obj Name]])</f>
        <v>0|0</v>
      </c>
      <c r="AB495" t="e">
        <f>VLOOKUP(Table1[[#This Row],[Final Obj Type]],Classification!B:E,3,FALSE)</f>
        <v>#N/A</v>
      </c>
      <c r="AC495" t="e">
        <f>VLOOKUP(Table1[[#This Row],[Final Obj Type]],Classification!B:E,4,FALSE)</f>
        <v>#N/A</v>
      </c>
      <c r="AD495" t="str">
        <f>IF(Table1[[#This Row],[Position 1]]=0,"/0SAP/",MID(Table1[[#This Row],[Final Obj Name]],Table1[[#This Row],[Position 1]],Table1[[#This Row],[Position 2]]-Table1[[#This Row],[Position 1]]+1))</f>
        <v>/0SAP/</v>
      </c>
      <c r="AE495" t="str">
        <f>VLOOKUP(Table1[[#This Row],[/* Object]],Namespace!A:J,10,FALSE)</f>
        <v>SAP AG</v>
      </c>
      <c r="AF495" t="str">
        <f>IF(VLOOKUP(Table1[[#This Row],[/* Object]],Namespace!A:J,4,FALSE)=0,"",VLOOKUP(Table1[[#This Row],[/* Object]],Namespace!A:J,4,FALSE))</f>
        <v>X</v>
      </c>
      <c r="AG495" t="str">
        <f>IF(VLOOKUP(Table1[[#This Row],[/* Object]],Namespace!A:J,5,FALSE)=0,"",VLOOKUP(Table1[[#This Row],[/* Object]],Namespace!A:J,5,FALSE))</f>
        <v>X</v>
      </c>
      <c r="AH495" t="str">
        <f>IF(VLOOKUP(Table1[[#This Row],[/* Object]],Namespace!A:J,6,FALSE)=0,"",VLOOKUP(Table1[[#This Row],[/* Object]],Namespace!A:J,6,FALSE))</f>
        <v/>
      </c>
      <c r="AI495">
        <f>IFERROR(FIND("/",Table1[[#This Row],[Final Obj Name]],1),0)</f>
        <v>0</v>
      </c>
      <c r="AJ495">
        <f>IF(Table1[[#This Row],[Position 1]]=0,0,FIND("/",Table1[[#This Row],[Final Obj Name]],Table1[[#This Row],[Position 1]]+1))</f>
        <v>0</v>
      </c>
      <c r="AK495" t="str">
        <f>IF(LEFT(Table1[[#This Row],[Final Obj Name]],1)="/",LEFT(Table1[[#This Row],[Final Obj Name]],FIND("/",Table1[[#This Row],[Final Obj Name]],2)),"/0SAP/")</f>
        <v>/0SAP/</v>
      </c>
    </row>
    <row r="496">
      <c r="A496" t="str">
        <v>DTEL</v>
      </c>
      <c r="B496" t="str">
        <v>ZSOURCE</v>
      </c>
      <c r="C496" t="str">
        <v>DTED</v>
      </c>
      <c r="D496" t="str">
        <v>ZSOURCE</v>
      </c>
      <c r="G496" t="str">
        <v>ALL</v>
      </c>
      <c r="K496" t="str">
        <v>E</v>
      </c>
      <c r="L496" t="str">
        <v>NSHAIK</v>
      </c>
      <c r="M496">
        <v>46013</v>
      </c>
      <c r="N496">
        <v>0.37530092592593</v>
      </c>
      <c r="W496" t="str">
        <v>SP1K961121</v>
      </c>
      <c r="Y496">
        <f>IF(Table1[[#This Row],[OPERATION]]="NOTE","NOTE",Table1[[#This Row],[SUB_TYPE]])</f>
        <v>0</v>
      </c>
      <c r="Z496">
        <f>IF(Table1[[#This Row],[OPERATION]]="NOTE",NUMBERVALUE(LEFT(Table1[[#This Row],[MOD_NAME]],LEN(Table1[[#This Row],[MOD_NAME]])-4)),Table1[[#This Row],[SUB_NAME]])</f>
        <v>0</v>
      </c>
      <c r="AA496" t="str">
        <f>CONCAT(Table1[[#This Row],[Final Obj Type]],"|",Table1[[#This Row],[Final Obj Name]])</f>
        <v>0|0</v>
      </c>
      <c r="AB496" t="e">
        <f>VLOOKUP(Table1[[#This Row],[Final Obj Type]],Classification!B:E,3,FALSE)</f>
        <v>#N/A</v>
      </c>
      <c r="AC496" t="e">
        <f>VLOOKUP(Table1[[#This Row],[Final Obj Type]],Classification!B:E,4,FALSE)</f>
        <v>#N/A</v>
      </c>
      <c r="AD496" t="str">
        <f>IF(Table1[[#This Row],[Position 1]]=0,"/0SAP/",MID(Table1[[#This Row],[Final Obj Name]],Table1[[#This Row],[Position 1]],Table1[[#This Row],[Position 2]]-Table1[[#This Row],[Position 1]]+1))</f>
        <v>/0SAP/</v>
      </c>
      <c r="AE496" t="str">
        <f>VLOOKUP(Table1[[#This Row],[/* Object]],Namespace!A:J,10,FALSE)</f>
        <v>SAP AG</v>
      </c>
      <c r="AF496" t="str">
        <f>IF(VLOOKUP(Table1[[#This Row],[/* Object]],Namespace!A:J,4,FALSE)=0,"",VLOOKUP(Table1[[#This Row],[/* Object]],Namespace!A:J,4,FALSE))</f>
        <v>X</v>
      </c>
      <c r="AG496" t="str">
        <f>IF(VLOOKUP(Table1[[#This Row],[/* Object]],Namespace!A:J,5,FALSE)=0,"",VLOOKUP(Table1[[#This Row],[/* Object]],Namespace!A:J,5,FALSE))</f>
        <v>X</v>
      </c>
      <c r="AH496" t="str">
        <f>IF(VLOOKUP(Table1[[#This Row],[/* Object]],Namespace!A:J,6,FALSE)=0,"",VLOOKUP(Table1[[#This Row],[/* Object]],Namespace!A:J,6,FALSE))</f>
        <v/>
      </c>
      <c r="AI496">
        <f>IFERROR(FIND("/",Table1[[#This Row],[Final Obj Name]],1),0)</f>
        <v>0</v>
      </c>
      <c r="AJ496">
        <f>IF(Table1[[#This Row],[Position 1]]=0,0,FIND("/",Table1[[#This Row],[Final Obj Name]],Table1[[#This Row],[Position 1]]+1))</f>
        <v>0</v>
      </c>
      <c r="AK496" t="str">
        <f>IF(LEFT(Table1[[#This Row],[Final Obj Name]],1)="/",LEFT(Table1[[#This Row],[Final Obj Name]],FIND("/",Table1[[#This Row],[Final Obj Name]],2)),"/0SAP/")</f>
        <v>/0SAP/</v>
      </c>
    </row>
    <row r="497">
      <c r="A497" t="str">
        <v>DTEL</v>
      </c>
      <c r="B497" t="str">
        <v>ZSQE_EMAIL</v>
      </c>
      <c r="C497" t="str">
        <v>DTED</v>
      </c>
      <c r="D497" t="str">
        <v>ZSQE_EMAIL</v>
      </c>
      <c r="G497" t="str">
        <v>ALL</v>
      </c>
      <c r="K497" t="str">
        <v>E</v>
      </c>
      <c r="L497" t="str">
        <v>NSHAIK</v>
      </c>
      <c r="M497">
        <v>46013</v>
      </c>
      <c r="N497">
        <v>0.37559027777778</v>
      </c>
      <c r="W497" t="str">
        <v>SP1K961121</v>
      </c>
      <c r="Y497">
        <f>IF(Table1[[#This Row],[OPERATION]]="NOTE","NOTE",Table1[[#This Row],[SUB_TYPE]])</f>
        <v>0</v>
      </c>
      <c r="Z497">
        <f>IF(Table1[[#This Row],[OPERATION]]="NOTE",NUMBERVALUE(LEFT(Table1[[#This Row],[MOD_NAME]],LEN(Table1[[#This Row],[MOD_NAME]])-4)),Table1[[#This Row],[SUB_NAME]])</f>
        <v>0</v>
      </c>
      <c r="AA497" t="str">
        <f>CONCAT(Table1[[#This Row],[Final Obj Type]],"|",Table1[[#This Row],[Final Obj Name]])</f>
        <v>0|0</v>
      </c>
      <c r="AB497" t="e">
        <f>VLOOKUP(Table1[[#This Row],[Final Obj Type]],Classification!B:E,3,FALSE)</f>
        <v>#N/A</v>
      </c>
      <c r="AC497" t="e">
        <f>VLOOKUP(Table1[[#This Row],[Final Obj Type]],Classification!B:E,4,FALSE)</f>
        <v>#N/A</v>
      </c>
      <c r="AD497" t="str">
        <f>IF(Table1[[#This Row],[Position 1]]=0,"/0SAP/",MID(Table1[[#This Row],[Final Obj Name]],Table1[[#This Row],[Position 1]],Table1[[#This Row],[Position 2]]-Table1[[#This Row],[Position 1]]+1))</f>
        <v>/0SAP/</v>
      </c>
      <c r="AE497" t="str">
        <f>VLOOKUP(Table1[[#This Row],[/* Object]],Namespace!A:J,10,FALSE)</f>
        <v>SAP AG</v>
      </c>
      <c r="AF497" t="str">
        <f>IF(VLOOKUP(Table1[[#This Row],[/* Object]],Namespace!A:J,4,FALSE)=0,"",VLOOKUP(Table1[[#This Row],[/* Object]],Namespace!A:J,4,FALSE))</f>
        <v>X</v>
      </c>
      <c r="AG497" t="str">
        <f>IF(VLOOKUP(Table1[[#This Row],[/* Object]],Namespace!A:J,5,FALSE)=0,"",VLOOKUP(Table1[[#This Row],[/* Object]],Namespace!A:J,5,FALSE))</f>
        <v>X</v>
      </c>
      <c r="AH497" t="str">
        <f>IF(VLOOKUP(Table1[[#This Row],[/* Object]],Namespace!A:J,6,FALSE)=0,"",VLOOKUP(Table1[[#This Row],[/* Object]],Namespace!A:J,6,FALSE))</f>
        <v/>
      </c>
      <c r="AI497">
        <f>IFERROR(FIND("/",Table1[[#This Row],[Final Obj Name]],1),0)</f>
        <v>0</v>
      </c>
      <c r="AJ497">
        <f>IF(Table1[[#This Row],[Position 1]]=0,0,FIND("/",Table1[[#This Row],[Final Obj Name]],Table1[[#This Row],[Position 1]]+1))</f>
        <v>0</v>
      </c>
      <c r="AK497" t="str">
        <f>IF(LEFT(Table1[[#This Row],[Final Obj Name]],1)="/",LEFT(Table1[[#This Row],[Final Obj Name]],FIND("/",Table1[[#This Row],[Final Obj Name]],2)),"/0SAP/")</f>
        <v>/0SAP/</v>
      </c>
    </row>
    <row r="498">
      <c r="A498" t="str">
        <v>DTEL</v>
      </c>
      <c r="B498" t="str">
        <v>ZSQE_NAME</v>
      </c>
      <c r="C498" t="str">
        <v>DTED</v>
      </c>
      <c r="D498" t="str">
        <v>ZSQE_NAME</v>
      </c>
      <c r="G498" t="str">
        <v>ALL</v>
      </c>
      <c r="K498" t="str">
        <v>E</v>
      </c>
      <c r="L498" t="str">
        <v>NSHAIK</v>
      </c>
      <c r="M498">
        <v>46013</v>
      </c>
      <c r="N498">
        <v>0.37587962962963</v>
      </c>
      <c r="W498" t="str">
        <v>SP1K961121</v>
      </c>
      <c r="Y498">
        <f>IF(Table1[[#This Row],[OPERATION]]="NOTE","NOTE",Table1[[#This Row],[SUB_TYPE]])</f>
        <v>0</v>
      </c>
      <c r="Z498">
        <f>IF(Table1[[#This Row],[OPERATION]]="NOTE",NUMBERVALUE(LEFT(Table1[[#This Row],[MOD_NAME]],LEN(Table1[[#This Row],[MOD_NAME]])-4)),Table1[[#This Row],[SUB_NAME]])</f>
        <v>0</v>
      </c>
      <c r="AA498" t="str">
        <f>CONCAT(Table1[[#This Row],[Final Obj Type]],"|",Table1[[#This Row],[Final Obj Name]])</f>
        <v>0|0</v>
      </c>
      <c r="AB498" t="e">
        <f>VLOOKUP(Table1[[#This Row],[Final Obj Type]],Classification!B:E,3,FALSE)</f>
        <v>#N/A</v>
      </c>
      <c r="AC498" t="e">
        <f>VLOOKUP(Table1[[#This Row],[Final Obj Type]],Classification!B:E,4,FALSE)</f>
        <v>#N/A</v>
      </c>
      <c r="AD498" t="str">
        <f>IF(Table1[[#This Row],[Position 1]]=0,"/0SAP/",MID(Table1[[#This Row],[Final Obj Name]],Table1[[#This Row],[Position 1]],Table1[[#This Row],[Position 2]]-Table1[[#This Row],[Position 1]]+1))</f>
        <v>/0SAP/</v>
      </c>
      <c r="AE498" t="str">
        <f>VLOOKUP(Table1[[#This Row],[/* Object]],Namespace!A:J,10,FALSE)</f>
        <v>SAP AG</v>
      </c>
      <c r="AF498" t="str">
        <f>IF(VLOOKUP(Table1[[#This Row],[/* Object]],Namespace!A:J,4,FALSE)=0,"",VLOOKUP(Table1[[#This Row],[/* Object]],Namespace!A:J,4,FALSE))</f>
        <v>X</v>
      </c>
      <c r="AG498" t="str">
        <f>IF(VLOOKUP(Table1[[#This Row],[/* Object]],Namespace!A:J,5,FALSE)=0,"",VLOOKUP(Table1[[#This Row],[/* Object]],Namespace!A:J,5,FALSE))</f>
        <v>X</v>
      </c>
      <c r="AH498" t="str">
        <f>IF(VLOOKUP(Table1[[#This Row],[/* Object]],Namespace!A:J,6,FALSE)=0,"",VLOOKUP(Table1[[#This Row],[/* Object]],Namespace!A:J,6,FALSE))</f>
        <v/>
      </c>
      <c r="AI498">
        <f>IFERROR(FIND("/",Table1[[#This Row],[Final Obj Name]],1),0)</f>
        <v>0</v>
      </c>
      <c r="AJ498">
        <f>IF(Table1[[#This Row],[Position 1]]=0,0,FIND("/",Table1[[#This Row],[Final Obj Name]],Table1[[#This Row],[Position 1]]+1))</f>
        <v>0</v>
      </c>
      <c r="AK498" t="str">
        <f>IF(LEFT(Table1[[#This Row],[Final Obj Name]],1)="/",LEFT(Table1[[#This Row],[Final Obj Name]],FIND("/",Table1[[#This Row],[Final Obj Name]],2)),"/0SAP/")</f>
        <v>/0SAP/</v>
      </c>
    </row>
    <row r="499">
      <c r="A499" t="str">
        <v>DTEL</v>
      </c>
      <c r="B499" t="str">
        <v>ZSTATE_PRMS</v>
      </c>
      <c r="C499" t="str">
        <v>DTED</v>
      </c>
      <c r="D499" t="str">
        <v>ZSTATE_PRMS</v>
      </c>
      <c r="G499" t="str">
        <v>ALL</v>
      </c>
      <c r="K499" t="str">
        <v>E</v>
      </c>
      <c r="L499" t="str">
        <v>NSHAIK</v>
      </c>
      <c r="M499">
        <v>46013</v>
      </c>
      <c r="N499">
        <v>0.37649305555556</v>
      </c>
      <c r="W499" t="str">
        <v>SP1K961121</v>
      </c>
      <c r="Y499">
        <f>IF(Table1[[#This Row],[OPERATION]]="NOTE","NOTE",Table1[[#This Row],[SUB_TYPE]])</f>
        <v>0</v>
      </c>
      <c r="Z499">
        <f>IF(Table1[[#This Row],[OPERATION]]="NOTE",NUMBERVALUE(LEFT(Table1[[#This Row],[MOD_NAME]],LEN(Table1[[#This Row],[MOD_NAME]])-4)),Table1[[#This Row],[SUB_NAME]])</f>
        <v>0</v>
      </c>
      <c r="AA499" t="str">
        <f>CONCAT(Table1[[#This Row],[Final Obj Type]],"|",Table1[[#This Row],[Final Obj Name]])</f>
        <v>0|0</v>
      </c>
      <c r="AB499" t="e">
        <f>VLOOKUP(Table1[[#This Row],[Final Obj Type]],Classification!B:E,3,FALSE)</f>
        <v>#N/A</v>
      </c>
      <c r="AC499" t="e">
        <f>VLOOKUP(Table1[[#This Row],[Final Obj Type]],Classification!B:E,4,FALSE)</f>
        <v>#N/A</v>
      </c>
      <c r="AD499" t="str">
        <f>IF(Table1[[#This Row],[Position 1]]=0,"/0SAP/",MID(Table1[[#This Row],[Final Obj Name]],Table1[[#This Row],[Position 1]],Table1[[#This Row],[Position 2]]-Table1[[#This Row],[Position 1]]+1))</f>
        <v>/0SAP/</v>
      </c>
      <c r="AE499" t="str">
        <f>VLOOKUP(Table1[[#This Row],[/* Object]],Namespace!A:J,10,FALSE)</f>
        <v>SAP AG</v>
      </c>
      <c r="AF499" t="str">
        <f>IF(VLOOKUP(Table1[[#This Row],[/* Object]],Namespace!A:J,4,FALSE)=0,"",VLOOKUP(Table1[[#This Row],[/* Object]],Namespace!A:J,4,FALSE))</f>
        <v>X</v>
      </c>
      <c r="AG499" t="str">
        <f>IF(VLOOKUP(Table1[[#This Row],[/* Object]],Namespace!A:J,5,FALSE)=0,"",VLOOKUP(Table1[[#This Row],[/* Object]],Namespace!A:J,5,FALSE))</f>
        <v>X</v>
      </c>
      <c r="AH499" t="str">
        <f>IF(VLOOKUP(Table1[[#This Row],[/* Object]],Namespace!A:J,6,FALSE)=0,"",VLOOKUP(Table1[[#This Row],[/* Object]],Namespace!A:J,6,FALSE))</f>
        <v/>
      </c>
      <c r="AI499">
        <f>IFERROR(FIND("/",Table1[[#This Row],[Final Obj Name]],1),0)</f>
        <v>0</v>
      </c>
      <c r="AJ499">
        <f>IF(Table1[[#This Row],[Position 1]]=0,0,FIND("/",Table1[[#This Row],[Final Obj Name]],Table1[[#This Row],[Position 1]]+1))</f>
        <v>0</v>
      </c>
      <c r="AK499" t="str">
        <f>IF(LEFT(Table1[[#This Row],[Final Obj Name]],1)="/",LEFT(Table1[[#This Row],[Final Obj Name]],FIND("/",Table1[[#This Row],[Final Obj Name]],2)),"/0SAP/")</f>
        <v>/0SAP/</v>
      </c>
    </row>
    <row r="500">
      <c r="A500" t="str">
        <v>DTEL</v>
      </c>
      <c r="B500" t="str">
        <v>ZSUP_NAME</v>
      </c>
      <c r="C500" t="str">
        <v>DTED</v>
      </c>
      <c r="D500" t="str">
        <v>ZSUP_NAME</v>
      </c>
      <c r="G500" t="str">
        <v>ALL</v>
      </c>
      <c r="K500" t="str">
        <v>E</v>
      </c>
      <c r="L500" t="str">
        <v>NSHAIK</v>
      </c>
      <c r="M500">
        <v>46013</v>
      </c>
      <c r="N500">
        <v>0.37726851851852</v>
      </c>
      <c r="W500" t="str">
        <v>SP1K961121</v>
      </c>
      <c r="Y500">
        <f>IF(Table1[[#This Row],[OPERATION]]="NOTE","NOTE",Table1[[#This Row],[SUB_TYPE]])</f>
        <v>0</v>
      </c>
      <c r="Z500">
        <f>IF(Table1[[#This Row],[OPERATION]]="NOTE",NUMBERVALUE(LEFT(Table1[[#This Row],[MOD_NAME]],LEN(Table1[[#This Row],[MOD_NAME]])-4)),Table1[[#This Row],[SUB_NAME]])</f>
        <v>0</v>
      </c>
      <c r="AA500" t="str">
        <f>CONCAT(Table1[[#This Row],[Final Obj Type]],"|",Table1[[#This Row],[Final Obj Name]])</f>
        <v>0|0</v>
      </c>
      <c r="AB500" t="e">
        <f>VLOOKUP(Table1[[#This Row],[Final Obj Type]],Classification!B:E,3,FALSE)</f>
        <v>#N/A</v>
      </c>
      <c r="AC500" t="e">
        <f>VLOOKUP(Table1[[#This Row],[Final Obj Type]],Classification!B:E,4,FALSE)</f>
        <v>#N/A</v>
      </c>
      <c r="AD500" t="str">
        <f>IF(Table1[[#This Row],[Position 1]]=0,"/0SAP/",MID(Table1[[#This Row],[Final Obj Name]],Table1[[#This Row],[Position 1]],Table1[[#This Row],[Position 2]]-Table1[[#This Row],[Position 1]]+1))</f>
        <v>/0SAP/</v>
      </c>
      <c r="AE500" t="str">
        <f>VLOOKUP(Table1[[#This Row],[/* Object]],Namespace!A:J,10,FALSE)</f>
        <v>SAP AG</v>
      </c>
      <c r="AF500" t="str">
        <f>IF(VLOOKUP(Table1[[#This Row],[/* Object]],Namespace!A:J,4,FALSE)=0,"",VLOOKUP(Table1[[#This Row],[/* Object]],Namespace!A:J,4,FALSE))</f>
        <v>X</v>
      </c>
      <c r="AG500" t="str">
        <f>IF(VLOOKUP(Table1[[#This Row],[/* Object]],Namespace!A:J,5,FALSE)=0,"",VLOOKUP(Table1[[#This Row],[/* Object]],Namespace!A:J,5,FALSE))</f>
        <v>X</v>
      </c>
      <c r="AH500" t="str">
        <f>IF(VLOOKUP(Table1[[#This Row],[/* Object]],Namespace!A:J,6,FALSE)=0,"",VLOOKUP(Table1[[#This Row],[/* Object]],Namespace!A:J,6,FALSE))</f>
        <v/>
      </c>
      <c r="AI500">
        <f>IFERROR(FIND("/",Table1[[#This Row],[Final Obj Name]],1),0)</f>
        <v>0</v>
      </c>
      <c r="AJ500">
        <f>IF(Table1[[#This Row],[Position 1]]=0,0,FIND("/",Table1[[#This Row],[Final Obj Name]],Table1[[#This Row],[Position 1]]+1))</f>
        <v>0</v>
      </c>
      <c r="AK500" t="str">
        <f>IF(LEFT(Table1[[#This Row],[Final Obj Name]],1)="/",LEFT(Table1[[#This Row],[Final Obj Name]],FIND("/",Table1[[#This Row],[Final Obj Name]],2)),"/0SAP/")</f>
        <v>/0SAP/</v>
      </c>
    </row>
    <row r="501">
      <c r="A501" t="str">
        <v>DTEL</v>
      </c>
      <c r="B501" t="str">
        <v>ZSYSTEM</v>
      </c>
      <c r="C501" t="str">
        <v>DTED</v>
      </c>
      <c r="D501" t="str">
        <v>ZSYSTEM</v>
      </c>
      <c r="G501" t="str">
        <v>ALL</v>
      </c>
      <c r="K501" t="str">
        <v>E</v>
      </c>
      <c r="L501" t="str">
        <v>NSHAIK</v>
      </c>
      <c r="M501">
        <v>46013</v>
      </c>
      <c r="N501">
        <v>0.37787037037037</v>
      </c>
      <c r="W501" t="str">
        <v>SP1K961121</v>
      </c>
      <c r="Y501">
        <f>IF(Table1[[#This Row],[OPERATION]]="NOTE","NOTE",Table1[[#This Row],[SUB_TYPE]])</f>
        <v>0</v>
      </c>
      <c r="Z501">
        <f>IF(Table1[[#This Row],[OPERATION]]="NOTE",NUMBERVALUE(LEFT(Table1[[#This Row],[MOD_NAME]],LEN(Table1[[#This Row],[MOD_NAME]])-4)),Table1[[#This Row],[SUB_NAME]])</f>
        <v>0</v>
      </c>
      <c r="AA501" t="str">
        <f>CONCAT(Table1[[#This Row],[Final Obj Type]],"|",Table1[[#This Row],[Final Obj Name]])</f>
        <v>0|0</v>
      </c>
      <c r="AB501" t="e">
        <f>VLOOKUP(Table1[[#This Row],[Final Obj Type]],Classification!B:E,3,FALSE)</f>
        <v>#N/A</v>
      </c>
      <c r="AC501" t="e">
        <f>VLOOKUP(Table1[[#This Row],[Final Obj Type]],Classification!B:E,4,FALSE)</f>
        <v>#N/A</v>
      </c>
      <c r="AD501" t="str">
        <f>IF(Table1[[#This Row],[Position 1]]=0,"/0SAP/",MID(Table1[[#This Row],[Final Obj Name]],Table1[[#This Row],[Position 1]],Table1[[#This Row],[Position 2]]-Table1[[#This Row],[Position 1]]+1))</f>
        <v>/0SAP/</v>
      </c>
      <c r="AE501" t="str">
        <f>VLOOKUP(Table1[[#This Row],[/* Object]],Namespace!A:J,10,FALSE)</f>
        <v>SAP AG</v>
      </c>
      <c r="AF501" t="str">
        <f>IF(VLOOKUP(Table1[[#This Row],[/* Object]],Namespace!A:J,4,FALSE)=0,"",VLOOKUP(Table1[[#This Row],[/* Object]],Namespace!A:J,4,FALSE))</f>
        <v>X</v>
      </c>
      <c r="AG501" t="str">
        <f>IF(VLOOKUP(Table1[[#This Row],[/* Object]],Namespace!A:J,5,FALSE)=0,"",VLOOKUP(Table1[[#This Row],[/* Object]],Namespace!A:J,5,FALSE))</f>
        <v>X</v>
      </c>
      <c r="AH501" t="str">
        <f>IF(VLOOKUP(Table1[[#This Row],[/* Object]],Namespace!A:J,6,FALSE)=0,"",VLOOKUP(Table1[[#This Row],[/* Object]],Namespace!A:J,6,FALSE))</f>
        <v/>
      </c>
      <c r="AI501">
        <f>IFERROR(FIND("/",Table1[[#This Row],[Final Obj Name]],1),0)</f>
        <v>0</v>
      </c>
      <c r="AJ501">
        <f>IF(Table1[[#This Row],[Position 1]]=0,0,FIND("/",Table1[[#This Row],[Final Obj Name]],Table1[[#This Row],[Position 1]]+1))</f>
        <v>0</v>
      </c>
      <c r="AK501" t="str">
        <f>IF(LEFT(Table1[[#This Row],[Final Obj Name]],1)="/",LEFT(Table1[[#This Row],[Final Obj Name]],FIND("/",Table1[[#This Row],[Final Obj Name]],2)),"/0SAP/")</f>
        <v>/0SAP/</v>
      </c>
    </row>
    <row r="502">
      <c r="A502" t="str">
        <v>DTEL</v>
      </c>
      <c r="B502" t="str">
        <v>ZVALIDTEXT</v>
      </c>
      <c r="C502" t="str">
        <v>DTED</v>
      </c>
      <c r="D502" t="str">
        <v>ZVALIDTEXT</v>
      </c>
      <c r="G502" t="str">
        <v>ALL</v>
      </c>
      <c r="K502" t="str">
        <v>E</v>
      </c>
      <c r="L502" t="str">
        <v>NSHAIK</v>
      </c>
      <c r="M502">
        <v>46013</v>
      </c>
      <c r="N502">
        <v>0.20100694444444</v>
      </c>
      <c r="W502" t="str">
        <v>SP1K961121</v>
      </c>
      <c r="Y502">
        <f>IF(Table1[[#This Row],[OPERATION]]="NOTE","NOTE",Table1[[#This Row],[SUB_TYPE]])</f>
        <v>0</v>
      </c>
      <c r="Z502">
        <f>IF(Table1[[#This Row],[OPERATION]]="NOTE",NUMBERVALUE(LEFT(Table1[[#This Row],[MOD_NAME]],LEN(Table1[[#This Row],[MOD_NAME]])-4)),Table1[[#This Row],[SUB_NAME]])</f>
        <v>0</v>
      </c>
      <c r="AA502" t="str">
        <f>CONCAT(Table1[[#This Row],[Final Obj Type]],"|",Table1[[#This Row],[Final Obj Name]])</f>
        <v>0|0</v>
      </c>
      <c r="AB502" t="e">
        <f>VLOOKUP(Table1[[#This Row],[Final Obj Type]],Classification!B:E,3,FALSE)</f>
        <v>#N/A</v>
      </c>
      <c r="AC502" t="e">
        <f>VLOOKUP(Table1[[#This Row],[Final Obj Type]],Classification!B:E,4,FALSE)</f>
        <v>#N/A</v>
      </c>
      <c r="AD502" t="str">
        <f>IF(Table1[[#This Row],[Position 1]]=0,"/0SAP/",MID(Table1[[#This Row],[Final Obj Name]],Table1[[#This Row],[Position 1]],Table1[[#This Row],[Position 2]]-Table1[[#This Row],[Position 1]]+1))</f>
        <v>/0SAP/</v>
      </c>
      <c r="AE502" t="str">
        <f>VLOOKUP(Table1[[#This Row],[/* Object]],Namespace!A:J,10,FALSE)</f>
        <v>SAP AG</v>
      </c>
      <c r="AF502" t="str">
        <f>IF(VLOOKUP(Table1[[#This Row],[/* Object]],Namespace!A:J,4,FALSE)=0,"",VLOOKUP(Table1[[#This Row],[/* Object]],Namespace!A:J,4,FALSE))</f>
        <v>X</v>
      </c>
      <c r="AG502" t="str">
        <f>IF(VLOOKUP(Table1[[#This Row],[/* Object]],Namespace!A:J,5,FALSE)=0,"",VLOOKUP(Table1[[#This Row],[/* Object]],Namespace!A:J,5,FALSE))</f>
        <v>X</v>
      </c>
      <c r="AH502" t="str">
        <f>IF(VLOOKUP(Table1[[#This Row],[/* Object]],Namespace!A:J,6,FALSE)=0,"",VLOOKUP(Table1[[#This Row],[/* Object]],Namespace!A:J,6,FALSE))</f>
        <v/>
      </c>
      <c r="AI502">
        <f>IFERROR(FIND("/",Table1[[#This Row],[Final Obj Name]],1),0)</f>
        <v>0</v>
      </c>
      <c r="AJ502">
        <f>IF(Table1[[#This Row],[Position 1]]=0,0,FIND("/",Table1[[#This Row],[Final Obj Name]],Table1[[#This Row],[Position 1]]+1))</f>
        <v>0</v>
      </c>
      <c r="AK502" t="str">
        <f>IF(LEFT(Table1[[#This Row],[Final Obj Name]],1)="/",LEFT(Table1[[#This Row],[Final Obj Name]],FIND("/",Table1[[#This Row],[Final Obj Name]],2)),"/0SAP/")</f>
        <v>/0SAP/</v>
      </c>
    </row>
    <row r="503">
      <c r="A503" t="str">
        <v>DTEL</v>
      </c>
      <c r="B503" t="str">
        <v>ZZAR_REVERSE_DATE</v>
      </c>
      <c r="C503" t="str">
        <v>DTED</v>
      </c>
      <c r="D503" t="str">
        <v>ZZAR_REVERSE_DATE</v>
      </c>
      <c r="G503" t="str">
        <v>ALL</v>
      </c>
      <c r="K503" t="str">
        <v>E</v>
      </c>
      <c r="L503" t="str">
        <v>JVITER</v>
      </c>
      <c r="M503">
        <v>44814</v>
      </c>
      <c r="N503">
        <v>0.86663194444444</v>
      </c>
      <c r="W503" t="str">
        <v>S01K913836</v>
      </c>
      <c r="Y503">
        <f>IF(Table1[[#This Row],[OPERATION]]="NOTE","NOTE",Table1[[#This Row],[SUB_TYPE]])</f>
        <v>0</v>
      </c>
      <c r="Z503">
        <f>IF(Table1[[#This Row],[OPERATION]]="NOTE",NUMBERVALUE(LEFT(Table1[[#This Row],[MOD_NAME]],LEN(Table1[[#This Row],[MOD_NAME]])-4)),Table1[[#This Row],[SUB_NAME]])</f>
        <v>0</v>
      </c>
      <c r="AA503" t="str">
        <f>CONCAT(Table1[[#This Row],[Final Obj Type]],"|",Table1[[#This Row],[Final Obj Name]])</f>
        <v>0|0</v>
      </c>
      <c r="AB503" t="e">
        <f>VLOOKUP(Table1[[#This Row],[Final Obj Type]],Classification!B:E,3,FALSE)</f>
        <v>#N/A</v>
      </c>
      <c r="AC503" t="e">
        <f>VLOOKUP(Table1[[#This Row],[Final Obj Type]],Classification!B:E,4,FALSE)</f>
        <v>#N/A</v>
      </c>
      <c r="AD503" t="str">
        <f>IF(Table1[[#This Row],[Position 1]]=0,"/0SAP/",MID(Table1[[#This Row],[Final Obj Name]],Table1[[#This Row],[Position 1]],Table1[[#This Row],[Position 2]]-Table1[[#This Row],[Position 1]]+1))</f>
        <v>/0SAP/</v>
      </c>
      <c r="AE503" t="str">
        <f>VLOOKUP(Table1[[#This Row],[/* Object]],Namespace!A:J,10,FALSE)</f>
        <v>SAP AG</v>
      </c>
      <c r="AF503" t="str">
        <f>IF(VLOOKUP(Table1[[#This Row],[/* Object]],Namespace!A:J,4,FALSE)=0,"",VLOOKUP(Table1[[#This Row],[/* Object]],Namespace!A:J,4,FALSE))</f>
        <v>X</v>
      </c>
      <c r="AG503" t="str">
        <f>IF(VLOOKUP(Table1[[#This Row],[/* Object]],Namespace!A:J,5,FALSE)=0,"",VLOOKUP(Table1[[#This Row],[/* Object]],Namespace!A:J,5,FALSE))</f>
        <v>X</v>
      </c>
      <c r="AH503" t="str">
        <f>IF(VLOOKUP(Table1[[#This Row],[/* Object]],Namespace!A:J,6,FALSE)=0,"",VLOOKUP(Table1[[#This Row],[/* Object]],Namespace!A:J,6,FALSE))</f>
        <v/>
      </c>
      <c r="AI503">
        <f>IFERROR(FIND("/",Table1[[#This Row],[Final Obj Name]],1),0)</f>
        <v>0</v>
      </c>
      <c r="AJ503">
        <f>IF(Table1[[#This Row],[Position 1]]=0,0,FIND("/",Table1[[#This Row],[Final Obj Name]],Table1[[#This Row],[Position 1]]+1))</f>
        <v>0</v>
      </c>
      <c r="AK503" t="str">
        <f>IF(LEFT(Table1[[#This Row],[Final Obj Name]],1)="/",LEFT(Table1[[#This Row],[Final Obj Name]],FIND("/",Table1[[#This Row],[Final Obj Name]],2)),"/0SAP/")</f>
        <v>/0SAP/</v>
      </c>
    </row>
    <row r="504">
      <c r="A504" t="str">
        <v>DTEL</v>
      </c>
      <c r="B504" t="str">
        <v>ZZCUST_INV_NUMBER</v>
      </c>
      <c r="C504" t="str">
        <v>DTED</v>
      </c>
      <c r="D504" t="str">
        <v>ZZCUST_INV_NUMBER</v>
      </c>
      <c r="G504" t="str">
        <v>ALL</v>
      </c>
      <c r="L504" t="str">
        <v>JVITER</v>
      </c>
      <c r="M504">
        <v>44810</v>
      </c>
      <c r="N504">
        <v>0.11876157407407</v>
      </c>
      <c r="S504" t="str">
        <v>X</v>
      </c>
      <c r="W504" t="str">
        <v>S01K914420</v>
      </c>
      <c r="Y504">
        <f>IF(Table1[[#This Row],[OPERATION]]="NOTE","NOTE",Table1[[#This Row],[SUB_TYPE]])</f>
        <v>0</v>
      </c>
      <c r="Z504">
        <f>IF(Table1[[#This Row],[OPERATION]]="NOTE",NUMBERVALUE(LEFT(Table1[[#This Row],[MOD_NAME]],LEN(Table1[[#This Row],[MOD_NAME]])-4)),Table1[[#This Row],[SUB_NAME]])</f>
        <v>0</v>
      </c>
      <c r="AA504" t="str">
        <f>CONCAT(Table1[[#This Row],[Final Obj Type]],"|",Table1[[#This Row],[Final Obj Name]])</f>
        <v>0|0</v>
      </c>
      <c r="AB504" t="e">
        <f>VLOOKUP(Table1[[#This Row],[Final Obj Type]],Classification!B:E,3,FALSE)</f>
        <v>#N/A</v>
      </c>
      <c r="AC504" t="e">
        <f>VLOOKUP(Table1[[#This Row],[Final Obj Type]],Classification!B:E,4,FALSE)</f>
        <v>#N/A</v>
      </c>
      <c r="AD504" t="str">
        <f>IF(Table1[[#This Row],[Position 1]]=0,"/0SAP/",MID(Table1[[#This Row],[Final Obj Name]],Table1[[#This Row],[Position 1]],Table1[[#This Row],[Position 2]]-Table1[[#This Row],[Position 1]]+1))</f>
        <v>/0SAP/</v>
      </c>
      <c r="AE504" t="str">
        <f>VLOOKUP(Table1[[#This Row],[/* Object]],Namespace!A:J,10,FALSE)</f>
        <v>SAP AG</v>
      </c>
      <c r="AF504" t="str">
        <f>IF(VLOOKUP(Table1[[#This Row],[/* Object]],Namespace!A:J,4,FALSE)=0,"",VLOOKUP(Table1[[#This Row],[/* Object]],Namespace!A:J,4,FALSE))</f>
        <v>X</v>
      </c>
      <c r="AG504" t="str">
        <f>IF(VLOOKUP(Table1[[#This Row],[/* Object]],Namespace!A:J,5,FALSE)=0,"",VLOOKUP(Table1[[#This Row],[/* Object]],Namespace!A:J,5,FALSE))</f>
        <v>X</v>
      </c>
      <c r="AH504" t="str">
        <f>IF(VLOOKUP(Table1[[#This Row],[/* Object]],Namespace!A:J,6,FALSE)=0,"",VLOOKUP(Table1[[#This Row],[/* Object]],Namespace!A:J,6,FALSE))</f>
        <v/>
      </c>
      <c r="AI504">
        <f>IFERROR(FIND("/",Table1[[#This Row],[Final Obj Name]],1),0)</f>
        <v>0</v>
      </c>
      <c r="AJ504">
        <f>IF(Table1[[#This Row],[Position 1]]=0,0,FIND("/",Table1[[#This Row],[Final Obj Name]],Table1[[#This Row],[Position 1]]+1))</f>
        <v>0</v>
      </c>
      <c r="AK504" t="str">
        <f>IF(LEFT(Table1[[#This Row],[Final Obj Name]],1)="/",LEFT(Table1[[#This Row],[Final Obj Name]],FIND("/",Table1[[#This Row],[Final Obj Name]],2)),"/0SAP/")</f>
        <v>/0SAP/</v>
      </c>
    </row>
    <row r="505">
      <c r="A505" t="str">
        <v>DTEL</v>
      </c>
      <c r="B505" t="str">
        <v>ZZEMAILTO</v>
      </c>
      <c r="C505" t="str">
        <v>DTED</v>
      </c>
      <c r="D505" t="str">
        <v>ZZEMAILTO</v>
      </c>
      <c r="G505" t="str">
        <v>ALL</v>
      </c>
      <c r="K505" t="str">
        <v>E</v>
      </c>
      <c r="L505" t="str">
        <v>NSHAIK</v>
      </c>
      <c r="M505">
        <v>46020</v>
      </c>
      <c r="N505">
        <v>0.30853009259259</v>
      </c>
      <c r="W505" t="str">
        <v>SP1K961294</v>
      </c>
      <c r="Y505">
        <f>IF(Table1[[#This Row],[OPERATION]]="NOTE","NOTE",Table1[[#This Row],[SUB_TYPE]])</f>
        <v>0</v>
      </c>
      <c r="Z505">
        <f>IF(Table1[[#This Row],[OPERATION]]="NOTE",NUMBERVALUE(LEFT(Table1[[#This Row],[MOD_NAME]],LEN(Table1[[#This Row],[MOD_NAME]])-4)),Table1[[#This Row],[SUB_NAME]])</f>
        <v>0</v>
      </c>
      <c r="AA505" t="str">
        <f>CONCAT(Table1[[#This Row],[Final Obj Type]],"|",Table1[[#This Row],[Final Obj Name]])</f>
        <v>0|0</v>
      </c>
      <c r="AB505" t="e">
        <f>VLOOKUP(Table1[[#This Row],[Final Obj Type]],Classification!B:E,3,FALSE)</f>
        <v>#N/A</v>
      </c>
      <c r="AC505" t="e">
        <f>VLOOKUP(Table1[[#This Row],[Final Obj Type]],Classification!B:E,4,FALSE)</f>
        <v>#N/A</v>
      </c>
      <c r="AD505" t="str">
        <f>IF(Table1[[#This Row],[Position 1]]=0,"/0SAP/",MID(Table1[[#This Row],[Final Obj Name]],Table1[[#This Row],[Position 1]],Table1[[#This Row],[Position 2]]-Table1[[#This Row],[Position 1]]+1))</f>
        <v>/0SAP/</v>
      </c>
      <c r="AE505" t="str">
        <f>VLOOKUP(Table1[[#This Row],[/* Object]],Namespace!A:J,10,FALSE)</f>
        <v>SAP AG</v>
      </c>
      <c r="AF505" t="str">
        <f>IF(VLOOKUP(Table1[[#This Row],[/* Object]],Namespace!A:J,4,FALSE)=0,"",VLOOKUP(Table1[[#This Row],[/* Object]],Namespace!A:J,4,FALSE))</f>
        <v>X</v>
      </c>
      <c r="AG505" t="str">
        <f>IF(VLOOKUP(Table1[[#This Row],[/* Object]],Namespace!A:J,5,FALSE)=0,"",VLOOKUP(Table1[[#This Row],[/* Object]],Namespace!A:J,5,FALSE))</f>
        <v>X</v>
      </c>
      <c r="AH505" t="str">
        <f>IF(VLOOKUP(Table1[[#This Row],[/* Object]],Namespace!A:J,6,FALSE)=0,"",VLOOKUP(Table1[[#This Row],[/* Object]],Namespace!A:J,6,FALSE))</f>
        <v/>
      </c>
      <c r="AI505">
        <f>IFERROR(FIND("/",Table1[[#This Row],[Final Obj Name]],1),0)</f>
        <v>0</v>
      </c>
      <c r="AJ505">
        <f>IF(Table1[[#This Row],[Position 1]]=0,0,FIND("/",Table1[[#This Row],[Final Obj Name]],Table1[[#This Row],[Position 1]]+1))</f>
        <v>0</v>
      </c>
      <c r="AK505" t="str">
        <f>IF(LEFT(Table1[[#This Row],[Final Obj Name]],1)="/",LEFT(Table1[[#This Row],[Final Obj Name]],FIND("/",Table1[[#This Row],[Final Obj Name]],2)),"/0SAP/")</f>
        <v>/0SAP/</v>
      </c>
    </row>
    <row r="506">
      <c r="A506" t="str">
        <v>DTEL</v>
      </c>
      <c r="B506" t="str">
        <v>ZZLINENO</v>
      </c>
      <c r="C506" t="str">
        <v>DTED</v>
      </c>
      <c r="D506" t="str">
        <v>ZZLINENO</v>
      </c>
      <c r="G506" t="str">
        <v>ALL</v>
      </c>
      <c r="K506" t="str">
        <v>E</v>
      </c>
      <c r="L506" t="str">
        <v>NSHAIK</v>
      </c>
      <c r="M506">
        <v>46013</v>
      </c>
      <c r="N506">
        <v>0.20122685185185</v>
      </c>
      <c r="W506" t="str">
        <v>SP1K961121</v>
      </c>
      <c r="Y506">
        <f>IF(Table1[[#This Row],[OPERATION]]="NOTE","NOTE",Table1[[#This Row],[SUB_TYPE]])</f>
        <v>0</v>
      </c>
      <c r="Z506">
        <f>IF(Table1[[#This Row],[OPERATION]]="NOTE",NUMBERVALUE(LEFT(Table1[[#This Row],[MOD_NAME]],LEN(Table1[[#This Row],[MOD_NAME]])-4)),Table1[[#This Row],[SUB_NAME]])</f>
        <v>0</v>
      </c>
      <c r="AA506" t="str">
        <f>CONCAT(Table1[[#This Row],[Final Obj Type]],"|",Table1[[#This Row],[Final Obj Name]])</f>
        <v>0|0</v>
      </c>
      <c r="AB506" t="e">
        <f>VLOOKUP(Table1[[#This Row],[Final Obj Type]],Classification!B:E,3,FALSE)</f>
        <v>#N/A</v>
      </c>
      <c r="AC506" t="e">
        <f>VLOOKUP(Table1[[#This Row],[Final Obj Type]],Classification!B:E,4,FALSE)</f>
        <v>#N/A</v>
      </c>
      <c r="AD506" t="str">
        <f>IF(Table1[[#This Row],[Position 1]]=0,"/0SAP/",MID(Table1[[#This Row],[Final Obj Name]],Table1[[#This Row],[Position 1]],Table1[[#This Row],[Position 2]]-Table1[[#This Row],[Position 1]]+1))</f>
        <v>/0SAP/</v>
      </c>
      <c r="AE506" t="str">
        <f>VLOOKUP(Table1[[#This Row],[/* Object]],Namespace!A:J,10,FALSE)</f>
        <v>SAP AG</v>
      </c>
      <c r="AF506" t="str">
        <f>IF(VLOOKUP(Table1[[#This Row],[/* Object]],Namespace!A:J,4,FALSE)=0,"",VLOOKUP(Table1[[#This Row],[/* Object]],Namespace!A:J,4,FALSE))</f>
        <v>X</v>
      </c>
      <c r="AG506" t="str">
        <f>IF(VLOOKUP(Table1[[#This Row],[/* Object]],Namespace!A:J,5,FALSE)=0,"",VLOOKUP(Table1[[#This Row],[/* Object]],Namespace!A:J,5,FALSE))</f>
        <v>X</v>
      </c>
      <c r="AH506" t="str">
        <f>IF(VLOOKUP(Table1[[#This Row],[/* Object]],Namespace!A:J,6,FALSE)=0,"",VLOOKUP(Table1[[#This Row],[/* Object]],Namespace!A:J,6,FALSE))</f>
        <v/>
      </c>
      <c r="AI506">
        <f>IFERROR(FIND("/",Table1[[#This Row],[Final Obj Name]],1),0)</f>
        <v>0</v>
      </c>
      <c r="AJ506">
        <f>IF(Table1[[#This Row],[Position 1]]=0,0,FIND("/",Table1[[#This Row],[Final Obj Name]],Table1[[#This Row],[Position 1]]+1))</f>
        <v>0</v>
      </c>
      <c r="AK506" t="str">
        <f>IF(LEFT(Table1[[#This Row],[Final Obj Name]],1)="/",LEFT(Table1[[#This Row],[Final Obj Name]],FIND("/",Table1[[#This Row],[Final Obj Name]],2)),"/0SAP/")</f>
        <v>/0SAP/</v>
      </c>
    </row>
    <row r="507">
      <c r="A507" t="str">
        <v>DTEL</v>
      </c>
      <c r="B507" t="str">
        <v>ZZPOSNO</v>
      </c>
      <c r="C507" t="str">
        <v>DTED</v>
      </c>
      <c r="D507" t="str">
        <v>ZZPOSNO</v>
      </c>
      <c r="G507" t="str">
        <v>ALL</v>
      </c>
      <c r="K507" t="str">
        <v>E</v>
      </c>
      <c r="L507" t="str">
        <v>NSHAIK</v>
      </c>
      <c r="M507">
        <v>46013</v>
      </c>
      <c r="N507">
        <v>0.20143518518519</v>
      </c>
      <c r="W507" t="str">
        <v>SP1K961121</v>
      </c>
      <c r="Y507">
        <f>IF(Table1[[#This Row],[OPERATION]]="NOTE","NOTE",Table1[[#This Row],[SUB_TYPE]])</f>
        <v>0</v>
      </c>
      <c r="Z507">
        <f>IF(Table1[[#This Row],[OPERATION]]="NOTE",NUMBERVALUE(LEFT(Table1[[#This Row],[MOD_NAME]],LEN(Table1[[#This Row],[MOD_NAME]])-4)),Table1[[#This Row],[SUB_NAME]])</f>
        <v>0</v>
      </c>
      <c r="AA507" t="str">
        <f>CONCAT(Table1[[#This Row],[Final Obj Type]],"|",Table1[[#This Row],[Final Obj Name]])</f>
        <v>0|0</v>
      </c>
      <c r="AB507" t="e">
        <f>VLOOKUP(Table1[[#This Row],[Final Obj Type]],Classification!B:E,3,FALSE)</f>
        <v>#N/A</v>
      </c>
      <c r="AC507" t="e">
        <f>VLOOKUP(Table1[[#This Row],[Final Obj Type]],Classification!B:E,4,FALSE)</f>
        <v>#N/A</v>
      </c>
      <c r="AD507" t="str">
        <f>IF(Table1[[#This Row],[Position 1]]=0,"/0SAP/",MID(Table1[[#This Row],[Final Obj Name]],Table1[[#This Row],[Position 1]],Table1[[#This Row],[Position 2]]-Table1[[#This Row],[Position 1]]+1))</f>
        <v>/0SAP/</v>
      </c>
      <c r="AE507" t="str">
        <f>VLOOKUP(Table1[[#This Row],[/* Object]],Namespace!A:J,10,FALSE)</f>
        <v>SAP AG</v>
      </c>
      <c r="AF507" t="str">
        <f>IF(VLOOKUP(Table1[[#This Row],[/* Object]],Namespace!A:J,4,FALSE)=0,"",VLOOKUP(Table1[[#This Row],[/* Object]],Namespace!A:J,4,FALSE))</f>
        <v>X</v>
      </c>
      <c r="AG507" t="str">
        <f>IF(VLOOKUP(Table1[[#This Row],[/* Object]],Namespace!A:J,5,FALSE)=0,"",VLOOKUP(Table1[[#This Row],[/* Object]],Namespace!A:J,5,FALSE))</f>
        <v>X</v>
      </c>
      <c r="AH507" t="str">
        <f>IF(VLOOKUP(Table1[[#This Row],[/* Object]],Namespace!A:J,6,FALSE)=0,"",VLOOKUP(Table1[[#This Row],[/* Object]],Namespace!A:J,6,FALSE))</f>
        <v/>
      </c>
      <c r="AI507">
        <f>IFERROR(FIND("/",Table1[[#This Row],[Final Obj Name]],1),0)</f>
        <v>0</v>
      </c>
      <c r="AJ507">
        <f>IF(Table1[[#This Row],[Position 1]]=0,0,FIND("/",Table1[[#This Row],[Final Obj Name]],Table1[[#This Row],[Position 1]]+1))</f>
        <v>0</v>
      </c>
      <c r="AK507" t="str">
        <f>IF(LEFT(Table1[[#This Row],[Final Obj Name]],1)="/",LEFT(Table1[[#This Row],[Final Obj Name]],FIND("/",Table1[[#This Row],[Final Obj Name]],2)),"/0SAP/")</f>
        <v>/0SAP/</v>
      </c>
    </row>
    <row r="508">
      <c r="A508" t="str">
        <v>DTEL</v>
      </c>
      <c r="B508" t="str">
        <v>ZZTEXT</v>
      </c>
      <c r="C508" t="str">
        <v>DTED</v>
      </c>
      <c r="D508" t="str">
        <v>ZZTEXT</v>
      </c>
      <c r="G508" t="str">
        <v>ALL</v>
      </c>
      <c r="K508" t="str">
        <v>E</v>
      </c>
      <c r="L508" t="str">
        <v>NSHAIK</v>
      </c>
      <c r="M508">
        <v>46013</v>
      </c>
      <c r="N508">
        <v>0.20164351851852</v>
      </c>
      <c r="W508" t="str">
        <v>SP1K961121</v>
      </c>
      <c r="Y508">
        <f>IF(Table1[[#This Row],[OPERATION]]="NOTE","NOTE",Table1[[#This Row],[SUB_TYPE]])</f>
        <v>0</v>
      </c>
      <c r="Z508">
        <f>IF(Table1[[#This Row],[OPERATION]]="NOTE",NUMBERVALUE(LEFT(Table1[[#This Row],[MOD_NAME]],LEN(Table1[[#This Row],[MOD_NAME]])-4)),Table1[[#This Row],[SUB_NAME]])</f>
        <v>0</v>
      </c>
      <c r="AA508" t="str">
        <f>CONCAT(Table1[[#This Row],[Final Obj Type]],"|",Table1[[#This Row],[Final Obj Name]])</f>
        <v>0|0</v>
      </c>
      <c r="AB508" t="e">
        <f>VLOOKUP(Table1[[#This Row],[Final Obj Type]],Classification!B:E,3,FALSE)</f>
        <v>#N/A</v>
      </c>
      <c r="AC508" t="e">
        <f>VLOOKUP(Table1[[#This Row],[Final Obj Type]],Classification!B:E,4,FALSE)</f>
        <v>#N/A</v>
      </c>
      <c r="AD508" t="str">
        <f>IF(Table1[[#This Row],[Position 1]]=0,"/0SAP/",MID(Table1[[#This Row],[Final Obj Name]],Table1[[#This Row],[Position 1]],Table1[[#This Row],[Position 2]]-Table1[[#This Row],[Position 1]]+1))</f>
        <v>/0SAP/</v>
      </c>
      <c r="AE508" t="str">
        <f>VLOOKUP(Table1[[#This Row],[/* Object]],Namespace!A:J,10,FALSE)</f>
        <v>SAP AG</v>
      </c>
      <c r="AF508" t="str">
        <f>IF(VLOOKUP(Table1[[#This Row],[/* Object]],Namespace!A:J,4,FALSE)=0,"",VLOOKUP(Table1[[#This Row],[/* Object]],Namespace!A:J,4,FALSE))</f>
        <v>X</v>
      </c>
      <c r="AG508" t="str">
        <f>IF(VLOOKUP(Table1[[#This Row],[/* Object]],Namespace!A:J,5,FALSE)=0,"",VLOOKUP(Table1[[#This Row],[/* Object]],Namespace!A:J,5,FALSE))</f>
        <v>X</v>
      </c>
      <c r="AH508" t="str">
        <f>IF(VLOOKUP(Table1[[#This Row],[/* Object]],Namespace!A:J,6,FALSE)=0,"",VLOOKUP(Table1[[#This Row],[/* Object]],Namespace!A:J,6,FALSE))</f>
        <v/>
      </c>
      <c r="AI508">
        <f>IFERROR(FIND("/",Table1[[#This Row],[Final Obj Name]],1),0)</f>
        <v>0</v>
      </c>
      <c r="AJ508">
        <f>IF(Table1[[#This Row],[Position 1]]=0,0,FIND("/",Table1[[#This Row],[Final Obj Name]],Table1[[#This Row],[Position 1]]+1))</f>
        <v>0</v>
      </c>
      <c r="AK508" t="str">
        <f>IF(LEFT(Table1[[#This Row],[Final Obj Name]],1)="/",LEFT(Table1[[#This Row],[Final Obj Name]],FIND("/",Table1[[#This Row],[Final Obj Name]],2)),"/0SAP/")</f>
        <v>/0SAP/</v>
      </c>
    </row>
    <row r="509">
      <c r="A509" t="str">
        <v>DTEL</v>
      </c>
      <c r="B509" t="str">
        <v>ZZVALTXT</v>
      </c>
      <c r="C509" t="str">
        <v>DTED</v>
      </c>
      <c r="D509" t="str">
        <v>ZZVALTXT</v>
      </c>
      <c r="G509" t="str">
        <v>ALL</v>
      </c>
      <c r="K509" t="str">
        <v>E</v>
      </c>
      <c r="L509" t="str">
        <v>NSHAIK</v>
      </c>
      <c r="M509">
        <v>46020</v>
      </c>
      <c r="N509">
        <v>0.30875</v>
      </c>
      <c r="W509" t="str">
        <v>SP1K961294</v>
      </c>
      <c r="Y509">
        <f>IF(Table1[[#This Row],[OPERATION]]="NOTE","NOTE",Table1[[#This Row],[SUB_TYPE]])</f>
        <v>0</v>
      </c>
      <c r="Z509">
        <f>IF(Table1[[#This Row],[OPERATION]]="NOTE",NUMBERVALUE(LEFT(Table1[[#This Row],[MOD_NAME]],LEN(Table1[[#This Row],[MOD_NAME]])-4)),Table1[[#This Row],[SUB_NAME]])</f>
        <v>0</v>
      </c>
      <c r="AA509" t="str">
        <f>CONCAT(Table1[[#This Row],[Final Obj Type]],"|",Table1[[#This Row],[Final Obj Name]])</f>
        <v>0|0</v>
      </c>
      <c r="AB509" t="e">
        <f>VLOOKUP(Table1[[#This Row],[Final Obj Type]],Classification!B:E,3,FALSE)</f>
        <v>#N/A</v>
      </c>
      <c r="AC509" t="e">
        <f>VLOOKUP(Table1[[#This Row],[Final Obj Type]],Classification!B:E,4,FALSE)</f>
        <v>#N/A</v>
      </c>
      <c r="AD509" t="str">
        <f>IF(Table1[[#This Row],[Position 1]]=0,"/0SAP/",MID(Table1[[#This Row],[Final Obj Name]],Table1[[#This Row],[Position 1]],Table1[[#This Row],[Position 2]]-Table1[[#This Row],[Position 1]]+1))</f>
        <v>/0SAP/</v>
      </c>
      <c r="AE509" t="str">
        <f>VLOOKUP(Table1[[#This Row],[/* Object]],Namespace!A:J,10,FALSE)</f>
        <v>SAP AG</v>
      </c>
      <c r="AF509" t="str">
        <f>IF(VLOOKUP(Table1[[#This Row],[/* Object]],Namespace!A:J,4,FALSE)=0,"",VLOOKUP(Table1[[#This Row],[/* Object]],Namespace!A:J,4,FALSE))</f>
        <v>X</v>
      </c>
      <c r="AG509" t="str">
        <f>IF(VLOOKUP(Table1[[#This Row],[/* Object]],Namespace!A:J,5,FALSE)=0,"",VLOOKUP(Table1[[#This Row],[/* Object]],Namespace!A:J,5,FALSE))</f>
        <v>X</v>
      </c>
      <c r="AH509" t="str">
        <f>IF(VLOOKUP(Table1[[#This Row],[/* Object]],Namespace!A:J,6,FALSE)=0,"",VLOOKUP(Table1[[#This Row],[/* Object]],Namespace!A:J,6,FALSE))</f>
        <v/>
      </c>
      <c r="AI509">
        <f>IFERROR(FIND("/",Table1[[#This Row],[Final Obj Name]],1),0)</f>
        <v>0</v>
      </c>
      <c r="AJ509">
        <f>IF(Table1[[#This Row],[Position 1]]=0,0,FIND("/",Table1[[#This Row],[Final Obj Name]],Table1[[#This Row],[Position 1]]+1))</f>
        <v>0</v>
      </c>
      <c r="AK509" t="str">
        <f>IF(LEFT(Table1[[#This Row],[Final Obj Name]],1)="/",LEFT(Table1[[#This Row],[Final Obj Name]],FIND("/",Table1[[#This Row],[Final Obj Name]],2)),"/0SAP/")</f>
        <v>/0SAP/</v>
      </c>
    </row>
    <row r="510">
      <c r="A510" t="str">
        <v>DTEL</v>
      </c>
      <c r="B510" t="str">
        <v>ZZVALUE</v>
      </c>
      <c r="C510" t="str">
        <v>DTED</v>
      </c>
      <c r="D510" t="str">
        <v>ZZVALUE</v>
      </c>
      <c r="G510" t="str">
        <v>ALL</v>
      </c>
      <c r="K510" t="str">
        <v>E</v>
      </c>
      <c r="L510" t="str">
        <v>NSHAIK</v>
      </c>
      <c r="M510">
        <v>46013</v>
      </c>
      <c r="N510">
        <v>0.20193287037037</v>
      </c>
      <c r="W510" t="str">
        <v>SP1K961121</v>
      </c>
      <c r="Y510">
        <f>IF(Table1[[#This Row],[OPERATION]]="NOTE","NOTE",Table1[[#This Row],[SUB_TYPE]])</f>
        <v>0</v>
      </c>
      <c r="Z510">
        <f>IF(Table1[[#This Row],[OPERATION]]="NOTE",NUMBERVALUE(LEFT(Table1[[#This Row],[MOD_NAME]],LEN(Table1[[#This Row],[MOD_NAME]])-4)),Table1[[#This Row],[SUB_NAME]])</f>
        <v>0</v>
      </c>
      <c r="AA510" t="str">
        <f>CONCAT(Table1[[#This Row],[Final Obj Type]],"|",Table1[[#This Row],[Final Obj Name]])</f>
        <v>0|0</v>
      </c>
      <c r="AB510" t="e">
        <f>VLOOKUP(Table1[[#This Row],[Final Obj Type]],Classification!B:E,3,FALSE)</f>
        <v>#N/A</v>
      </c>
      <c r="AC510" t="e">
        <f>VLOOKUP(Table1[[#This Row],[Final Obj Type]],Classification!B:E,4,FALSE)</f>
        <v>#N/A</v>
      </c>
      <c r="AD510" t="str">
        <f>IF(Table1[[#This Row],[Position 1]]=0,"/0SAP/",MID(Table1[[#This Row],[Final Obj Name]],Table1[[#This Row],[Position 1]],Table1[[#This Row],[Position 2]]-Table1[[#This Row],[Position 1]]+1))</f>
        <v>/0SAP/</v>
      </c>
      <c r="AE510" t="str">
        <f>VLOOKUP(Table1[[#This Row],[/* Object]],Namespace!A:J,10,FALSE)</f>
        <v>SAP AG</v>
      </c>
      <c r="AF510" t="str">
        <f>IF(VLOOKUP(Table1[[#This Row],[/* Object]],Namespace!A:J,4,FALSE)=0,"",VLOOKUP(Table1[[#This Row],[/* Object]],Namespace!A:J,4,FALSE))</f>
        <v>X</v>
      </c>
      <c r="AG510" t="str">
        <f>IF(VLOOKUP(Table1[[#This Row],[/* Object]],Namespace!A:J,5,FALSE)=0,"",VLOOKUP(Table1[[#This Row],[/* Object]],Namespace!A:J,5,FALSE))</f>
        <v>X</v>
      </c>
      <c r="AH510" t="str">
        <f>IF(VLOOKUP(Table1[[#This Row],[/* Object]],Namespace!A:J,6,FALSE)=0,"",VLOOKUP(Table1[[#This Row],[/* Object]],Namespace!A:J,6,FALSE))</f>
        <v/>
      </c>
      <c r="AI510">
        <f>IFERROR(FIND("/",Table1[[#This Row],[Final Obj Name]],1),0)</f>
        <v>0</v>
      </c>
      <c r="AJ510">
        <f>IF(Table1[[#This Row],[Position 1]]=0,0,FIND("/",Table1[[#This Row],[Final Obj Name]],Table1[[#This Row],[Position 1]]+1))</f>
        <v>0</v>
      </c>
      <c r="AK510" t="str">
        <f>IF(LEFT(Table1[[#This Row],[Final Obj Name]],1)="/",LEFT(Table1[[#This Row],[Final Obj Name]],FIND("/",Table1[[#This Row],[Final Obj Name]],2)),"/0SAP/")</f>
        <v>/0SAP/</v>
      </c>
    </row>
    <row r="511">
      <c r="A511" t="str">
        <v>ENHO</v>
      </c>
      <c r="B511" t="str">
        <v>ZATP_ENHANCEMENT_FIEDLS_V2</v>
      </c>
      <c r="C511" t="str">
        <v>ENHO</v>
      </c>
      <c r="D511" t="str">
        <v>ZATP_ENHANCEMENT_FIEDLS_V2</v>
      </c>
      <c r="G511" t="str">
        <v>ALL</v>
      </c>
      <c r="L511" t="str">
        <v>CST_BSOLAIMA</v>
      </c>
      <c r="M511">
        <v>45234</v>
      </c>
      <c r="N511">
        <v>0.73070601851852</v>
      </c>
      <c r="S511" t="str">
        <v>X</v>
      </c>
      <c r="W511" t="str">
        <v>PP1K900541</v>
      </c>
      <c r="Y511">
        <f>IF(Table1[[#This Row],[OPERATION]]="NOTE","NOTE",Table1[[#This Row],[SUB_TYPE]])</f>
        <v>0</v>
      </c>
      <c r="Z511">
        <f>IF(Table1[[#This Row],[OPERATION]]="NOTE",NUMBERVALUE(LEFT(Table1[[#This Row],[MOD_NAME]],LEN(Table1[[#This Row],[MOD_NAME]])-4)),Table1[[#This Row],[SUB_NAME]])</f>
        <v>0</v>
      </c>
      <c r="AA511" t="str">
        <f>CONCAT(Table1[[#This Row],[Final Obj Type]],"|",Table1[[#This Row],[Final Obj Name]])</f>
        <v>0|0</v>
      </c>
      <c r="AB511" t="e">
        <f>VLOOKUP(Table1[[#This Row],[Final Obj Type]],Classification!B:E,3,FALSE)</f>
        <v>#N/A</v>
      </c>
      <c r="AC511" t="e">
        <f>VLOOKUP(Table1[[#This Row],[Final Obj Type]],Classification!B:E,4,FALSE)</f>
        <v>#N/A</v>
      </c>
      <c r="AD511" t="str">
        <f>IF(Table1[[#This Row],[Position 1]]=0,"/0SAP/",MID(Table1[[#This Row],[Final Obj Name]],Table1[[#This Row],[Position 1]],Table1[[#This Row],[Position 2]]-Table1[[#This Row],[Position 1]]+1))</f>
        <v>/0SAP/</v>
      </c>
      <c r="AE511" t="str">
        <f>VLOOKUP(Table1[[#This Row],[/* Object]],Namespace!A:J,10,FALSE)</f>
        <v>SAP AG</v>
      </c>
      <c r="AF511" t="str">
        <f>IF(VLOOKUP(Table1[[#This Row],[/* Object]],Namespace!A:J,4,FALSE)=0,"",VLOOKUP(Table1[[#This Row],[/* Object]],Namespace!A:J,4,FALSE))</f>
        <v>X</v>
      </c>
      <c r="AG511" t="str">
        <f>IF(VLOOKUP(Table1[[#This Row],[/* Object]],Namespace!A:J,5,FALSE)=0,"",VLOOKUP(Table1[[#This Row],[/* Object]],Namespace!A:J,5,FALSE))</f>
        <v>X</v>
      </c>
      <c r="AH511" t="str">
        <f>IF(VLOOKUP(Table1[[#This Row],[/* Object]],Namespace!A:J,6,FALSE)=0,"",VLOOKUP(Table1[[#This Row],[/* Object]],Namespace!A:J,6,FALSE))</f>
        <v/>
      </c>
      <c r="AI511">
        <f>IFERROR(FIND("/",Table1[[#This Row],[Final Obj Name]],1),0)</f>
        <v>0</v>
      </c>
      <c r="AJ511">
        <f>IF(Table1[[#This Row],[Position 1]]=0,0,FIND("/",Table1[[#This Row],[Final Obj Name]],Table1[[#This Row],[Position 1]]+1))</f>
        <v>0</v>
      </c>
      <c r="AK511" t="str">
        <f>IF(LEFT(Table1[[#This Row],[Final Obj Name]],1)="/",LEFT(Table1[[#This Row],[Final Obj Name]],FIND("/",Table1[[#This Row],[Final Obj Name]],2)),"/0SAP/")</f>
        <v>/0SAP/</v>
      </c>
    </row>
    <row r="512">
      <c r="A512" t="str">
        <v>ENHO</v>
      </c>
      <c r="B512" t="str">
        <v>ZCHANGE_TRTYP</v>
      </c>
      <c r="C512" t="str">
        <v>ENHO</v>
      </c>
      <c r="D512" t="str">
        <v>ZCHANGE_TRTYP</v>
      </c>
      <c r="G512" t="str">
        <v>ALL</v>
      </c>
      <c r="L512" t="str">
        <v>CST_BSOLAIMA</v>
      </c>
      <c r="M512">
        <v>45234</v>
      </c>
      <c r="N512">
        <v>0.73140046296296</v>
      </c>
      <c r="S512" t="str">
        <v>X</v>
      </c>
      <c r="W512" t="str">
        <v>PP1K900520</v>
      </c>
      <c r="Y512">
        <f>IF(Table1[[#This Row],[OPERATION]]="NOTE","NOTE",Table1[[#This Row],[SUB_TYPE]])</f>
        <v>0</v>
      </c>
      <c r="Z512">
        <f>IF(Table1[[#This Row],[OPERATION]]="NOTE",NUMBERVALUE(LEFT(Table1[[#This Row],[MOD_NAME]],LEN(Table1[[#This Row],[MOD_NAME]])-4)),Table1[[#This Row],[SUB_NAME]])</f>
        <v>0</v>
      </c>
      <c r="AA512" t="str">
        <f>CONCAT(Table1[[#This Row],[Final Obj Type]],"|",Table1[[#This Row],[Final Obj Name]])</f>
        <v>0|0</v>
      </c>
      <c r="AB512" t="e">
        <f>VLOOKUP(Table1[[#This Row],[Final Obj Type]],Classification!B:E,3,FALSE)</f>
        <v>#N/A</v>
      </c>
      <c r="AC512" t="e">
        <f>VLOOKUP(Table1[[#This Row],[Final Obj Type]],Classification!B:E,4,FALSE)</f>
        <v>#N/A</v>
      </c>
      <c r="AD512" t="str">
        <f>IF(Table1[[#This Row],[Position 1]]=0,"/0SAP/",MID(Table1[[#This Row],[Final Obj Name]],Table1[[#This Row],[Position 1]],Table1[[#This Row],[Position 2]]-Table1[[#This Row],[Position 1]]+1))</f>
        <v>/0SAP/</v>
      </c>
      <c r="AE512" t="str">
        <f>VLOOKUP(Table1[[#This Row],[/* Object]],Namespace!A:J,10,FALSE)</f>
        <v>SAP AG</v>
      </c>
      <c r="AF512" t="str">
        <f>IF(VLOOKUP(Table1[[#This Row],[/* Object]],Namespace!A:J,4,FALSE)=0,"",VLOOKUP(Table1[[#This Row],[/* Object]],Namespace!A:J,4,FALSE))</f>
        <v>X</v>
      </c>
      <c r="AG512" t="str">
        <f>IF(VLOOKUP(Table1[[#This Row],[/* Object]],Namespace!A:J,5,FALSE)=0,"",VLOOKUP(Table1[[#This Row],[/* Object]],Namespace!A:J,5,FALSE))</f>
        <v>X</v>
      </c>
      <c r="AH512" t="str">
        <f>IF(VLOOKUP(Table1[[#This Row],[/* Object]],Namespace!A:J,6,FALSE)=0,"",VLOOKUP(Table1[[#This Row],[/* Object]],Namespace!A:J,6,FALSE))</f>
        <v/>
      </c>
      <c r="AI512">
        <f>IFERROR(FIND("/",Table1[[#This Row],[Final Obj Name]],1),0)</f>
        <v>0</v>
      </c>
      <c r="AJ512">
        <f>IF(Table1[[#This Row],[Position 1]]=0,0,FIND("/",Table1[[#This Row],[Final Obj Name]],Table1[[#This Row],[Position 1]]+1))</f>
        <v>0</v>
      </c>
      <c r="AK512" t="str">
        <f>IF(LEFT(Table1[[#This Row],[Final Obj Name]],1)="/",LEFT(Table1[[#This Row],[Final Obj Name]],FIND("/",Table1[[#This Row],[Final Obj Name]],2)),"/0SAP/")</f>
        <v>/0SAP/</v>
      </c>
    </row>
    <row r="513">
      <c r="A513" t="str">
        <v>ENHO</v>
      </c>
      <c r="B513" t="str">
        <v>ZEI_ADD_ATTACHMENTS</v>
      </c>
      <c r="C513" t="str">
        <v>ENHO</v>
      </c>
      <c r="D513" t="str">
        <v>ZEI_ADD_ATTACHMENTS</v>
      </c>
      <c r="G513" t="str">
        <v>ALL</v>
      </c>
      <c r="L513">
        <v>50116387</v>
      </c>
      <c r="M513">
        <v>45235</v>
      </c>
      <c r="N513">
        <v>0.23296296296296</v>
      </c>
      <c r="S513" t="str">
        <v>X</v>
      </c>
      <c r="W513" t="str">
        <v>PP1K900541</v>
      </c>
      <c r="Y513">
        <f>IF(Table1[[#This Row],[OPERATION]]="NOTE","NOTE",Table1[[#This Row],[SUB_TYPE]])</f>
        <v>0</v>
      </c>
      <c r="Z513">
        <f>IF(Table1[[#This Row],[OPERATION]]="NOTE",NUMBERVALUE(LEFT(Table1[[#This Row],[MOD_NAME]],LEN(Table1[[#This Row],[MOD_NAME]])-4)),Table1[[#This Row],[SUB_NAME]])</f>
        <v>0</v>
      </c>
      <c r="AA513" t="str">
        <f>CONCAT(Table1[[#This Row],[Final Obj Type]],"|",Table1[[#This Row],[Final Obj Name]])</f>
        <v>0|0</v>
      </c>
      <c r="AB513" t="e">
        <f>VLOOKUP(Table1[[#This Row],[Final Obj Type]],Classification!B:E,3,FALSE)</f>
        <v>#N/A</v>
      </c>
      <c r="AC513" t="e">
        <f>VLOOKUP(Table1[[#This Row],[Final Obj Type]],Classification!B:E,4,FALSE)</f>
        <v>#N/A</v>
      </c>
      <c r="AD513" t="str">
        <f>IF(Table1[[#This Row],[Position 1]]=0,"/0SAP/",MID(Table1[[#This Row],[Final Obj Name]],Table1[[#This Row],[Position 1]],Table1[[#This Row],[Position 2]]-Table1[[#This Row],[Position 1]]+1))</f>
        <v>/0SAP/</v>
      </c>
      <c r="AE513" t="str">
        <f>VLOOKUP(Table1[[#This Row],[/* Object]],Namespace!A:J,10,FALSE)</f>
        <v>SAP AG</v>
      </c>
      <c r="AF513" t="str">
        <f>IF(VLOOKUP(Table1[[#This Row],[/* Object]],Namespace!A:J,4,FALSE)=0,"",VLOOKUP(Table1[[#This Row],[/* Object]],Namespace!A:J,4,FALSE))</f>
        <v>X</v>
      </c>
      <c r="AG513" t="str">
        <f>IF(VLOOKUP(Table1[[#This Row],[/* Object]],Namespace!A:J,5,FALSE)=0,"",VLOOKUP(Table1[[#This Row],[/* Object]],Namespace!A:J,5,FALSE))</f>
        <v>X</v>
      </c>
      <c r="AH513" t="str">
        <f>IF(VLOOKUP(Table1[[#This Row],[/* Object]],Namespace!A:J,6,FALSE)=0,"",VLOOKUP(Table1[[#This Row],[/* Object]],Namespace!A:J,6,FALSE))</f>
        <v/>
      </c>
      <c r="AI513">
        <f>IFERROR(FIND("/",Table1[[#This Row],[Final Obj Name]],1),0)</f>
        <v>0</v>
      </c>
      <c r="AJ513">
        <f>IF(Table1[[#This Row],[Position 1]]=0,0,FIND("/",Table1[[#This Row],[Final Obj Name]],Table1[[#This Row],[Position 1]]+1))</f>
        <v>0</v>
      </c>
      <c r="AK513" t="str">
        <f>IF(LEFT(Table1[[#This Row],[Final Obj Name]],1)="/",LEFT(Table1[[#This Row],[Final Obj Name]],FIND("/",Table1[[#This Row],[Final Obj Name]],2)),"/0SAP/")</f>
        <v>/0SAP/</v>
      </c>
    </row>
    <row r="514">
      <c r="A514" t="str">
        <v>ENHO</v>
      </c>
      <c r="B514" t="str">
        <v>ZEI_ADD_ATTACHMENTS_PO</v>
      </c>
      <c r="C514" t="str">
        <v>ENHO</v>
      </c>
      <c r="D514" t="str">
        <v>ZEI_ADD_ATTACHMENTS_PO</v>
      </c>
      <c r="G514" t="str">
        <v>ALL</v>
      </c>
      <c r="L514" t="str">
        <v>CST_BSOLAIMA</v>
      </c>
      <c r="M514">
        <v>45235</v>
      </c>
      <c r="N514">
        <v>0.13136574074074</v>
      </c>
      <c r="S514" t="str">
        <v>X</v>
      </c>
      <c r="W514" t="str">
        <v>PP1K900541</v>
      </c>
      <c r="Y514">
        <f>IF(Table1[[#This Row],[OPERATION]]="NOTE","NOTE",Table1[[#This Row],[SUB_TYPE]])</f>
        <v>0</v>
      </c>
      <c r="Z514">
        <f>IF(Table1[[#This Row],[OPERATION]]="NOTE",NUMBERVALUE(LEFT(Table1[[#This Row],[MOD_NAME]],LEN(Table1[[#This Row],[MOD_NAME]])-4)),Table1[[#This Row],[SUB_NAME]])</f>
        <v>0</v>
      </c>
      <c r="AA514" t="str">
        <f>CONCAT(Table1[[#This Row],[Final Obj Type]],"|",Table1[[#This Row],[Final Obj Name]])</f>
        <v>0|0</v>
      </c>
      <c r="AB514" t="e">
        <f>VLOOKUP(Table1[[#This Row],[Final Obj Type]],Classification!B:E,3,FALSE)</f>
        <v>#N/A</v>
      </c>
      <c r="AC514" t="e">
        <f>VLOOKUP(Table1[[#This Row],[Final Obj Type]],Classification!B:E,4,FALSE)</f>
        <v>#N/A</v>
      </c>
      <c r="AD514" t="str">
        <f>IF(Table1[[#This Row],[Position 1]]=0,"/0SAP/",MID(Table1[[#This Row],[Final Obj Name]],Table1[[#This Row],[Position 1]],Table1[[#This Row],[Position 2]]-Table1[[#This Row],[Position 1]]+1))</f>
        <v>/0SAP/</v>
      </c>
      <c r="AE514" t="str">
        <f>VLOOKUP(Table1[[#This Row],[/* Object]],Namespace!A:J,10,FALSE)</f>
        <v>SAP AG</v>
      </c>
      <c r="AF514" t="str">
        <f>IF(VLOOKUP(Table1[[#This Row],[/* Object]],Namespace!A:J,4,FALSE)=0,"",VLOOKUP(Table1[[#This Row],[/* Object]],Namespace!A:J,4,FALSE))</f>
        <v>X</v>
      </c>
      <c r="AG514" t="str">
        <f>IF(VLOOKUP(Table1[[#This Row],[/* Object]],Namespace!A:J,5,FALSE)=0,"",VLOOKUP(Table1[[#This Row],[/* Object]],Namespace!A:J,5,FALSE))</f>
        <v>X</v>
      </c>
      <c r="AH514" t="str">
        <f>IF(VLOOKUP(Table1[[#This Row],[/* Object]],Namespace!A:J,6,FALSE)=0,"",VLOOKUP(Table1[[#This Row],[/* Object]],Namespace!A:J,6,FALSE))</f>
        <v/>
      </c>
      <c r="AI514">
        <f>IFERROR(FIND("/",Table1[[#This Row],[Final Obj Name]],1),0)</f>
        <v>0</v>
      </c>
      <c r="AJ514">
        <f>IF(Table1[[#This Row],[Position 1]]=0,0,FIND("/",Table1[[#This Row],[Final Obj Name]],Table1[[#This Row],[Position 1]]+1))</f>
        <v>0</v>
      </c>
      <c r="AK514" t="str">
        <f>IF(LEFT(Table1[[#This Row],[Final Obj Name]],1)="/",LEFT(Table1[[#This Row],[Final Obj Name]],FIND("/",Table1[[#This Row],[Final Obj Name]],2)),"/0SAP/")</f>
        <v>/0SAP/</v>
      </c>
    </row>
    <row r="515">
      <c r="A515" t="str">
        <v>ENHO</v>
      </c>
      <c r="B515" t="str">
        <v>ZEI_ADD_PARTNER_FUNCTION</v>
      </c>
      <c r="C515" t="str">
        <v>ENHO</v>
      </c>
      <c r="D515" t="str">
        <v>ZEI_ADD_PARTNER_FUNCTION</v>
      </c>
      <c r="G515" t="str">
        <v>ALL</v>
      </c>
      <c r="L515" t="str">
        <v>CST_BSOLAIMA</v>
      </c>
      <c r="M515">
        <v>45235</v>
      </c>
      <c r="N515">
        <v>0.14204861111111</v>
      </c>
      <c r="S515" t="str">
        <v>X</v>
      </c>
      <c r="W515" t="str">
        <v>PP1K900541</v>
      </c>
      <c r="Y515">
        <f>IF(Table1[[#This Row],[OPERATION]]="NOTE","NOTE",Table1[[#This Row],[SUB_TYPE]])</f>
        <v>0</v>
      </c>
      <c r="Z515">
        <f>IF(Table1[[#This Row],[OPERATION]]="NOTE",NUMBERVALUE(LEFT(Table1[[#This Row],[MOD_NAME]],LEN(Table1[[#This Row],[MOD_NAME]])-4)),Table1[[#This Row],[SUB_NAME]])</f>
        <v>0</v>
      </c>
      <c r="AA515" t="str">
        <f>CONCAT(Table1[[#This Row],[Final Obj Type]],"|",Table1[[#This Row],[Final Obj Name]])</f>
        <v>0|0</v>
      </c>
      <c r="AB515" t="e">
        <f>VLOOKUP(Table1[[#This Row],[Final Obj Type]],Classification!B:E,3,FALSE)</f>
        <v>#N/A</v>
      </c>
      <c r="AC515" t="e">
        <f>VLOOKUP(Table1[[#This Row],[Final Obj Type]],Classification!B:E,4,FALSE)</f>
        <v>#N/A</v>
      </c>
      <c r="AD515" t="str">
        <f>IF(Table1[[#This Row],[Position 1]]=0,"/0SAP/",MID(Table1[[#This Row],[Final Obj Name]],Table1[[#This Row],[Position 1]],Table1[[#This Row],[Position 2]]-Table1[[#This Row],[Position 1]]+1))</f>
        <v>/0SAP/</v>
      </c>
      <c r="AE515" t="str">
        <f>VLOOKUP(Table1[[#This Row],[/* Object]],Namespace!A:J,10,FALSE)</f>
        <v>SAP AG</v>
      </c>
      <c r="AF515" t="str">
        <f>IF(VLOOKUP(Table1[[#This Row],[/* Object]],Namespace!A:J,4,FALSE)=0,"",VLOOKUP(Table1[[#This Row],[/* Object]],Namespace!A:J,4,FALSE))</f>
        <v>X</v>
      </c>
      <c r="AG515" t="str">
        <f>IF(VLOOKUP(Table1[[#This Row],[/* Object]],Namespace!A:J,5,FALSE)=0,"",VLOOKUP(Table1[[#This Row],[/* Object]],Namespace!A:J,5,FALSE))</f>
        <v>X</v>
      </c>
      <c r="AH515" t="str">
        <f>IF(VLOOKUP(Table1[[#This Row],[/* Object]],Namespace!A:J,6,FALSE)=0,"",VLOOKUP(Table1[[#This Row],[/* Object]],Namespace!A:J,6,FALSE))</f>
        <v/>
      </c>
      <c r="AI515">
        <f>IFERROR(FIND("/",Table1[[#This Row],[Final Obj Name]],1),0)</f>
        <v>0</v>
      </c>
      <c r="AJ515">
        <f>IF(Table1[[#This Row],[Position 1]]=0,0,FIND("/",Table1[[#This Row],[Final Obj Name]],Table1[[#This Row],[Position 1]]+1))</f>
        <v>0</v>
      </c>
      <c r="AK515" t="str">
        <f>IF(LEFT(Table1[[#This Row],[Final Obj Name]],1)="/",LEFT(Table1[[#This Row],[Final Obj Name]],FIND("/",Table1[[#This Row],[Final Obj Name]],2)),"/0SAP/")</f>
        <v>/0SAP/</v>
      </c>
    </row>
    <row r="516">
      <c r="A516" t="str">
        <v>ENHO</v>
      </c>
      <c r="B516" t="str">
        <v>ZEI_ADD_PO_DRAWINGS</v>
      </c>
      <c r="C516" t="str">
        <v>ENHO</v>
      </c>
      <c r="D516" t="str">
        <v>ZEI_ADD_PO_DRAWINGS</v>
      </c>
      <c r="G516" t="str">
        <v>ALL</v>
      </c>
      <c r="L516">
        <v>50116387</v>
      </c>
      <c r="M516">
        <v>45235</v>
      </c>
      <c r="N516">
        <v>0.23298611111111</v>
      </c>
      <c r="S516" t="str">
        <v>X</v>
      </c>
      <c r="W516" t="str">
        <v>PP1K900541</v>
      </c>
      <c r="Y516">
        <f>IF(Table1[[#This Row],[OPERATION]]="NOTE","NOTE",Table1[[#This Row],[SUB_TYPE]])</f>
        <v>0</v>
      </c>
      <c r="Z516">
        <f>IF(Table1[[#This Row],[OPERATION]]="NOTE",NUMBERVALUE(LEFT(Table1[[#This Row],[MOD_NAME]],LEN(Table1[[#This Row],[MOD_NAME]])-4)),Table1[[#This Row],[SUB_NAME]])</f>
        <v>0</v>
      </c>
      <c r="AA516" t="str">
        <f>CONCAT(Table1[[#This Row],[Final Obj Type]],"|",Table1[[#This Row],[Final Obj Name]])</f>
        <v>0|0</v>
      </c>
      <c r="AB516" t="e">
        <f>VLOOKUP(Table1[[#This Row],[Final Obj Type]],Classification!B:E,3,FALSE)</f>
        <v>#N/A</v>
      </c>
      <c r="AC516" t="e">
        <f>VLOOKUP(Table1[[#This Row],[Final Obj Type]],Classification!B:E,4,FALSE)</f>
        <v>#N/A</v>
      </c>
      <c r="AD516" t="str">
        <f>IF(Table1[[#This Row],[Position 1]]=0,"/0SAP/",MID(Table1[[#This Row],[Final Obj Name]],Table1[[#This Row],[Position 1]],Table1[[#This Row],[Position 2]]-Table1[[#This Row],[Position 1]]+1))</f>
        <v>/0SAP/</v>
      </c>
      <c r="AE516" t="str">
        <f>VLOOKUP(Table1[[#This Row],[/* Object]],Namespace!A:J,10,FALSE)</f>
        <v>SAP AG</v>
      </c>
      <c r="AF516" t="str">
        <f>IF(VLOOKUP(Table1[[#This Row],[/* Object]],Namespace!A:J,4,FALSE)=0,"",VLOOKUP(Table1[[#This Row],[/* Object]],Namespace!A:J,4,FALSE))</f>
        <v>X</v>
      </c>
      <c r="AG516" t="str">
        <f>IF(VLOOKUP(Table1[[#This Row],[/* Object]],Namespace!A:J,5,FALSE)=0,"",VLOOKUP(Table1[[#This Row],[/* Object]],Namespace!A:J,5,FALSE))</f>
        <v>X</v>
      </c>
      <c r="AH516" t="str">
        <f>IF(VLOOKUP(Table1[[#This Row],[/* Object]],Namespace!A:J,6,FALSE)=0,"",VLOOKUP(Table1[[#This Row],[/* Object]],Namespace!A:J,6,FALSE))</f>
        <v/>
      </c>
      <c r="AI516">
        <f>IFERROR(FIND("/",Table1[[#This Row],[Final Obj Name]],1),0)</f>
        <v>0</v>
      </c>
      <c r="AJ516">
        <f>IF(Table1[[#This Row],[Position 1]]=0,0,FIND("/",Table1[[#This Row],[Final Obj Name]],Table1[[#This Row],[Position 1]]+1))</f>
        <v>0</v>
      </c>
      <c r="AK516" t="str">
        <f>IF(LEFT(Table1[[#This Row],[Final Obj Name]],1)="/",LEFT(Table1[[#This Row],[Final Obj Name]],FIND("/",Table1[[#This Row],[Final Obj Name]],2)),"/0SAP/")</f>
        <v>/0SAP/</v>
      </c>
    </row>
    <row r="517">
      <c r="A517" t="str">
        <v>ENHO</v>
      </c>
      <c r="B517" t="str">
        <v>ZEI_BILLING_BLOCK</v>
      </c>
      <c r="C517" t="str">
        <v>ENHO</v>
      </c>
      <c r="D517" t="str">
        <v>ZEI_BILLING_BLOCK</v>
      </c>
      <c r="G517" t="str">
        <v>ALL</v>
      </c>
      <c r="L517" t="str">
        <v>CST_BSOLAIMA</v>
      </c>
      <c r="M517">
        <v>45234</v>
      </c>
      <c r="N517">
        <v>0.73233796296296</v>
      </c>
      <c r="S517" t="str">
        <v>X</v>
      </c>
      <c r="W517" t="str">
        <v>PP1K900541</v>
      </c>
      <c r="Y517">
        <f>IF(Table1[[#This Row],[OPERATION]]="NOTE","NOTE",Table1[[#This Row],[SUB_TYPE]])</f>
        <v>0</v>
      </c>
      <c r="Z517">
        <f>IF(Table1[[#This Row],[OPERATION]]="NOTE",NUMBERVALUE(LEFT(Table1[[#This Row],[MOD_NAME]],LEN(Table1[[#This Row],[MOD_NAME]])-4)),Table1[[#This Row],[SUB_NAME]])</f>
        <v>0</v>
      </c>
      <c r="AA517" t="str">
        <f>CONCAT(Table1[[#This Row],[Final Obj Type]],"|",Table1[[#This Row],[Final Obj Name]])</f>
        <v>0|0</v>
      </c>
      <c r="AB517" t="e">
        <f>VLOOKUP(Table1[[#This Row],[Final Obj Type]],Classification!B:E,3,FALSE)</f>
        <v>#N/A</v>
      </c>
      <c r="AC517" t="e">
        <f>VLOOKUP(Table1[[#This Row],[Final Obj Type]],Classification!B:E,4,FALSE)</f>
        <v>#N/A</v>
      </c>
      <c r="AD517" t="str">
        <f>IF(Table1[[#This Row],[Position 1]]=0,"/0SAP/",MID(Table1[[#This Row],[Final Obj Name]],Table1[[#This Row],[Position 1]],Table1[[#This Row],[Position 2]]-Table1[[#This Row],[Position 1]]+1))</f>
        <v>/0SAP/</v>
      </c>
      <c r="AE517" t="str">
        <f>VLOOKUP(Table1[[#This Row],[/* Object]],Namespace!A:J,10,FALSE)</f>
        <v>SAP AG</v>
      </c>
      <c r="AF517" t="str">
        <f>IF(VLOOKUP(Table1[[#This Row],[/* Object]],Namespace!A:J,4,FALSE)=0,"",VLOOKUP(Table1[[#This Row],[/* Object]],Namespace!A:J,4,FALSE))</f>
        <v>X</v>
      </c>
      <c r="AG517" t="str">
        <f>IF(VLOOKUP(Table1[[#This Row],[/* Object]],Namespace!A:J,5,FALSE)=0,"",VLOOKUP(Table1[[#This Row],[/* Object]],Namespace!A:J,5,FALSE))</f>
        <v>X</v>
      </c>
      <c r="AH517" t="str">
        <f>IF(VLOOKUP(Table1[[#This Row],[/* Object]],Namespace!A:J,6,FALSE)=0,"",VLOOKUP(Table1[[#This Row],[/* Object]],Namespace!A:J,6,FALSE))</f>
        <v/>
      </c>
      <c r="AI517">
        <f>IFERROR(FIND("/",Table1[[#This Row],[Final Obj Name]],1),0)</f>
        <v>0</v>
      </c>
      <c r="AJ517">
        <f>IF(Table1[[#This Row],[Position 1]]=0,0,FIND("/",Table1[[#This Row],[Final Obj Name]],Table1[[#This Row],[Position 1]]+1))</f>
        <v>0</v>
      </c>
      <c r="AK517" t="str">
        <f>IF(LEFT(Table1[[#This Row],[Final Obj Name]],1)="/",LEFT(Table1[[#This Row],[Final Obj Name]],FIND("/",Table1[[#This Row],[Final Obj Name]],2)),"/0SAP/")</f>
        <v>/0SAP/</v>
      </c>
    </row>
    <row r="518">
      <c r="A518" t="str">
        <v>ENHO</v>
      </c>
      <c r="B518" t="str">
        <v>ZEI_CALC_TURNOVERS_ADD_PRCTR</v>
      </c>
      <c r="C518" t="str">
        <v>ENHO</v>
      </c>
      <c r="D518" t="str">
        <v>ZEI_CALC_TURNOVERS_ADD_PRCTR</v>
      </c>
      <c r="G518" t="str">
        <v>ALL</v>
      </c>
      <c r="L518">
        <v>50083766</v>
      </c>
      <c r="M518">
        <v>44168</v>
      </c>
      <c r="N518">
        <v>0.62827546296296</v>
      </c>
      <c r="S518" t="str">
        <v>X</v>
      </c>
      <c r="W518" t="str">
        <v>S01K910310</v>
      </c>
      <c r="Y518">
        <f>IF(Table1[[#This Row],[OPERATION]]="NOTE","NOTE",Table1[[#This Row],[SUB_TYPE]])</f>
        <v>0</v>
      </c>
      <c r="Z518">
        <f>IF(Table1[[#This Row],[OPERATION]]="NOTE",NUMBERVALUE(LEFT(Table1[[#This Row],[MOD_NAME]],LEN(Table1[[#This Row],[MOD_NAME]])-4)),Table1[[#This Row],[SUB_NAME]])</f>
        <v>0</v>
      </c>
      <c r="AA518" t="str">
        <f>CONCAT(Table1[[#This Row],[Final Obj Type]],"|",Table1[[#This Row],[Final Obj Name]])</f>
        <v>0|0</v>
      </c>
      <c r="AB518" t="e">
        <f>VLOOKUP(Table1[[#This Row],[Final Obj Type]],Classification!B:E,3,FALSE)</f>
        <v>#N/A</v>
      </c>
      <c r="AC518" t="e">
        <f>VLOOKUP(Table1[[#This Row],[Final Obj Type]],Classification!B:E,4,FALSE)</f>
        <v>#N/A</v>
      </c>
      <c r="AD518" t="str">
        <f>IF(Table1[[#This Row],[Position 1]]=0,"/0SAP/",MID(Table1[[#This Row],[Final Obj Name]],Table1[[#This Row],[Position 1]],Table1[[#This Row],[Position 2]]-Table1[[#This Row],[Position 1]]+1))</f>
        <v>/0SAP/</v>
      </c>
      <c r="AE518" t="str">
        <f>VLOOKUP(Table1[[#This Row],[/* Object]],Namespace!A:J,10,FALSE)</f>
        <v>SAP AG</v>
      </c>
      <c r="AF518" t="str">
        <f>IF(VLOOKUP(Table1[[#This Row],[/* Object]],Namespace!A:J,4,FALSE)=0,"",VLOOKUP(Table1[[#This Row],[/* Object]],Namespace!A:J,4,FALSE))</f>
        <v>X</v>
      </c>
      <c r="AG518" t="str">
        <f>IF(VLOOKUP(Table1[[#This Row],[/* Object]],Namespace!A:J,5,FALSE)=0,"",VLOOKUP(Table1[[#This Row],[/* Object]],Namespace!A:J,5,FALSE))</f>
        <v>X</v>
      </c>
      <c r="AH518" t="str">
        <f>IF(VLOOKUP(Table1[[#This Row],[/* Object]],Namespace!A:J,6,FALSE)=0,"",VLOOKUP(Table1[[#This Row],[/* Object]],Namespace!A:J,6,FALSE))</f>
        <v/>
      </c>
      <c r="AI518">
        <f>IFERROR(FIND("/",Table1[[#This Row],[Final Obj Name]],1),0)</f>
        <v>0</v>
      </c>
      <c r="AJ518">
        <f>IF(Table1[[#This Row],[Position 1]]=0,0,FIND("/",Table1[[#This Row],[Final Obj Name]],Table1[[#This Row],[Position 1]]+1))</f>
        <v>0</v>
      </c>
      <c r="AK518" t="str">
        <f>IF(LEFT(Table1[[#This Row],[Final Obj Name]],1)="/",LEFT(Table1[[#This Row],[Final Obj Name]],FIND("/",Table1[[#This Row],[Final Obj Name]],2)),"/0SAP/")</f>
        <v>/0SAP/</v>
      </c>
    </row>
    <row r="519">
      <c r="A519" t="str">
        <v>ENHO</v>
      </c>
      <c r="B519" t="str">
        <v>ZEI_CHANGE_DISPATCH_TIME</v>
      </c>
      <c r="C519" t="str">
        <v>ENHO</v>
      </c>
      <c r="D519" t="str">
        <v>ZEI_CHANGE_DISPATCH_TIME</v>
      </c>
      <c r="G519" t="str">
        <v>ALL</v>
      </c>
      <c r="L519" t="str">
        <v>CST_VIGNESHS</v>
      </c>
      <c r="M519">
        <v>46038</v>
      </c>
      <c r="N519">
        <v>0.54833333333333</v>
      </c>
      <c r="S519" t="str">
        <v>X</v>
      </c>
      <c r="W519" t="str">
        <v>S01K927740</v>
      </c>
      <c r="Y519">
        <f>IF(Table1[[#This Row],[OPERATION]]="NOTE","NOTE",Table1[[#This Row],[SUB_TYPE]])</f>
        <v>0</v>
      </c>
      <c r="Z519">
        <f>IF(Table1[[#This Row],[OPERATION]]="NOTE",NUMBERVALUE(LEFT(Table1[[#This Row],[MOD_NAME]],LEN(Table1[[#This Row],[MOD_NAME]])-4)),Table1[[#This Row],[SUB_NAME]])</f>
        <v>0</v>
      </c>
      <c r="AA519" t="str">
        <f>CONCAT(Table1[[#This Row],[Final Obj Type]],"|",Table1[[#This Row],[Final Obj Name]])</f>
        <v>0|0</v>
      </c>
      <c r="AB519" t="e">
        <f>VLOOKUP(Table1[[#This Row],[Final Obj Type]],Classification!B:E,3,FALSE)</f>
        <v>#N/A</v>
      </c>
      <c r="AC519" t="e">
        <f>VLOOKUP(Table1[[#This Row],[Final Obj Type]],Classification!B:E,4,FALSE)</f>
        <v>#N/A</v>
      </c>
      <c r="AD519" t="str">
        <f>IF(Table1[[#This Row],[Position 1]]=0,"/0SAP/",MID(Table1[[#This Row],[Final Obj Name]],Table1[[#This Row],[Position 1]],Table1[[#This Row],[Position 2]]-Table1[[#This Row],[Position 1]]+1))</f>
        <v>/0SAP/</v>
      </c>
      <c r="AE519" t="str">
        <f>VLOOKUP(Table1[[#This Row],[/* Object]],Namespace!A:J,10,FALSE)</f>
        <v>SAP AG</v>
      </c>
      <c r="AF519" t="str">
        <f>IF(VLOOKUP(Table1[[#This Row],[/* Object]],Namespace!A:J,4,FALSE)=0,"",VLOOKUP(Table1[[#This Row],[/* Object]],Namespace!A:J,4,FALSE))</f>
        <v>X</v>
      </c>
      <c r="AG519" t="str">
        <f>IF(VLOOKUP(Table1[[#This Row],[/* Object]],Namespace!A:J,5,FALSE)=0,"",VLOOKUP(Table1[[#This Row],[/* Object]],Namespace!A:J,5,FALSE))</f>
        <v>X</v>
      </c>
      <c r="AH519" t="str">
        <f>IF(VLOOKUP(Table1[[#This Row],[/* Object]],Namespace!A:J,6,FALSE)=0,"",VLOOKUP(Table1[[#This Row],[/* Object]],Namespace!A:J,6,FALSE))</f>
        <v/>
      </c>
      <c r="AI519">
        <f>IFERROR(FIND("/",Table1[[#This Row],[Final Obj Name]],1),0)</f>
        <v>0</v>
      </c>
      <c r="AJ519">
        <f>IF(Table1[[#This Row],[Position 1]]=0,0,FIND("/",Table1[[#This Row],[Final Obj Name]],Table1[[#This Row],[Position 1]]+1))</f>
        <v>0</v>
      </c>
      <c r="AK519" t="str">
        <f>IF(LEFT(Table1[[#This Row],[Final Obj Name]],1)="/",LEFT(Table1[[#This Row],[Final Obj Name]],FIND("/",Table1[[#This Row],[Final Obj Name]],2)),"/0SAP/")</f>
        <v>/0SAP/</v>
      </c>
    </row>
    <row r="520">
      <c r="A520" t="str">
        <v>ENHO</v>
      </c>
      <c r="B520" t="str">
        <v>ZEI_CHANGE_PARTNER_QUOTE</v>
      </c>
      <c r="C520" t="str">
        <v>ENHO</v>
      </c>
      <c r="D520" t="str">
        <v>ZEI_CHANGE_PARTNER_QUOTE</v>
      </c>
      <c r="G520" t="str">
        <v>ALL</v>
      </c>
      <c r="L520" t="str">
        <v>CST_BSOLAIMA</v>
      </c>
      <c r="M520">
        <v>45234</v>
      </c>
      <c r="N520">
        <v>0.73363425925926</v>
      </c>
      <c r="S520" t="str">
        <v>X</v>
      </c>
      <c r="W520" t="str">
        <v>PP1K900541</v>
      </c>
      <c r="Y520">
        <f>IF(Table1[[#This Row],[OPERATION]]="NOTE","NOTE",Table1[[#This Row],[SUB_TYPE]])</f>
        <v>0</v>
      </c>
      <c r="Z520">
        <f>IF(Table1[[#This Row],[OPERATION]]="NOTE",NUMBERVALUE(LEFT(Table1[[#This Row],[MOD_NAME]],LEN(Table1[[#This Row],[MOD_NAME]])-4)),Table1[[#This Row],[SUB_NAME]])</f>
        <v>0</v>
      </c>
      <c r="AA520" t="str">
        <f>CONCAT(Table1[[#This Row],[Final Obj Type]],"|",Table1[[#This Row],[Final Obj Name]])</f>
        <v>0|0</v>
      </c>
      <c r="AB520" t="e">
        <f>VLOOKUP(Table1[[#This Row],[Final Obj Type]],Classification!B:E,3,FALSE)</f>
        <v>#N/A</v>
      </c>
      <c r="AC520" t="e">
        <f>VLOOKUP(Table1[[#This Row],[Final Obj Type]],Classification!B:E,4,FALSE)</f>
        <v>#N/A</v>
      </c>
      <c r="AD520" t="str">
        <f>IF(Table1[[#This Row],[Position 1]]=0,"/0SAP/",MID(Table1[[#This Row],[Final Obj Name]],Table1[[#This Row],[Position 1]],Table1[[#This Row],[Position 2]]-Table1[[#This Row],[Position 1]]+1))</f>
        <v>/0SAP/</v>
      </c>
      <c r="AE520" t="str">
        <f>VLOOKUP(Table1[[#This Row],[/* Object]],Namespace!A:J,10,FALSE)</f>
        <v>SAP AG</v>
      </c>
      <c r="AF520" t="str">
        <f>IF(VLOOKUP(Table1[[#This Row],[/* Object]],Namespace!A:J,4,FALSE)=0,"",VLOOKUP(Table1[[#This Row],[/* Object]],Namespace!A:J,4,FALSE))</f>
        <v>X</v>
      </c>
      <c r="AG520" t="str">
        <f>IF(VLOOKUP(Table1[[#This Row],[/* Object]],Namespace!A:J,5,FALSE)=0,"",VLOOKUP(Table1[[#This Row],[/* Object]],Namespace!A:J,5,FALSE))</f>
        <v>X</v>
      </c>
      <c r="AH520" t="str">
        <f>IF(VLOOKUP(Table1[[#This Row],[/* Object]],Namespace!A:J,6,FALSE)=0,"",VLOOKUP(Table1[[#This Row],[/* Object]],Namespace!A:J,6,FALSE))</f>
        <v/>
      </c>
      <c r="AI520">
        <f>IFERROR(FIND("/",Table1[[#This Row],[Final Obj Name]],1),0)</f>
        <v>0</v>
      </c>
      <c r="AJ520">
        <f>IF(Table1[[#This Row],[Position 1]]=0,0,FIND("/",Table1[[#This Row],[Final Obj Name]],Table1[[#This Row],[Position 1]]+1))</f>
        <v>0</v>
      </c>
      <c r="AK520" t="str">
        <f>IF(LEFT(Table1[[#This Row],[Final Obj Name]],1)="/",LEFT(Table1[[#This Row],[Final Obj Name]],FIND("/",Table1[[#This Row],[Final Obj Name]],2)),"/0SAP/")</f>
        <v>/0SAP/</v>
      </c>
    </row>
    <row r="521">
      <c r="A521" t="str">
        <v>ENHO</v>
      </c>
      <c r="B521" t="str">
        <v>ZEI_CMIR_SHIP_TO_PARTY</v>
      </c>
      <c r="C521" t="str">
        <v>ENHO</v>
      </c>
      <c r="D521" t="str">
        <v>ZEI_CMIR_SHIP_TO_PARTY</v>
      </c>
      <c r="G521" t="str">
        <v>ALL</v>
      </c>
      <c r="L521" t="str">
        <v>CST_BSOLAIMA</v>
      </c>
      <c r="M521">
        <v>45166</v>
      </c>
      <c r="N521">
        <v>0.57013888888889</v>
      </c>
      <c r="S521" t="str">
        <v>X</v>
      </c>
      <c r="W521" t="str">
        <v>S01K917917</v>
      </c>
      <c r="Y521">
        <f>IF(Table1[[#This Row],[OPERATION]]="NOTE","NOTE",Table1[[#This Row],[SUB_TYPE]])</f>
        <v>0</v>
      </c>
      <c r="Z521">
        <f>IF(Table1[[#This Row],[OPERATION]]="NOTE",NUMBERVALUE(LEFT(Table1[[#This Row],[MOD_NAME]],LEN(Table1[[#This Row],[MOD_NAME]])-4)),Table1[[#This Row],[SUB_NAME]])</f>
        <v>0</v>
      </c>
      <c r="AA521" t="str">
        <f>CONCAT(Table1[[#This Row],[Final Obj Type]],"|",Table1[[#This Row],[Final Obj Name]])</f>
        <v>0|0</v>
      </c>
      <c r="AB521" t="e">
        <f>VLOOKUP(Table1[[#This Row],[Final Obj Type]],Classification!B:E,3,FALSE)</f>
        <v>#N/A</v>
      </c>
      <c r="AC521" t="e">
        <f>VLOOKUP(Table1[[#This Row],[Final Obj Type]],Classification!B:E,4,FALSE)</f>
        <v>#N/A</v>
      </c>
      <c r="AD521" t="str">
        <f>IF(Table1[[#This Row],[Position 1]]=0,"/0SAP/",MID(Table1[[#This Row],[Final Obj Name]],Table1[[#This Row],[Position 1]],Table1[[#This Row],[Position 2]]-Table1[[#This Row],[Position 1]]+1))</f>
        <v>/0SAP/</v>
      </c>
      <c r="AE521" t="str">
        <f>VLOOKUP(Table1[[#This Row],[/* Object]],Namespace!A:J,10,FALSE)</f>
        <v>SAP AG</v>
      </c>
      <c r="AF521" t="str">
        <f>IF(VLOOKUP(Table1[[#This Row],[/* Object]],Namespace!A:J,4,FALSE)=0,"",VLOOKUP(Table1[[#This Row],[/* Object]],Namespace!A:J,4,FALSE))</f>
        <v>X</v>
      </c>
      <c r="AG521" t="str">
        <f>IF(VLOOKUP(Table1[[#This Row],[/* Object]],Namespace!A:J,5,FALSE)=0,"",VLOOKUP(Table1[[#This Row],[/* Object]],Namespace!A:J,5,FALSE))</f>
        <v>X</v>
      </c>
      <c r="AH521" t="str">
        <f>IF(VLOOKUP(Table1[[#This Row],[/* Object]],Namespace!A:J,6,FALSE)=0,"",VLOOKUP(Table1[[#This Row],[/* Object]],Namespace!A:J,6,FALSE))</f>
        <v/>
      </c>
      <c r="AI521">
        <f>IFERROR(FIND("/",Table1[[#This Row],[Final Obj Name]],1),0)</f>
        <v>0</v>
      </c>
      <c r="AJ521">
        <f>IF(Table1[[#This Row],[Position 1]]=0,0,FIND("/",Table1[[#This Row],[Final Obj Name]],Table1[[#This Row],[Position 1]]+1))</f>
        <v>0</v>
      </c>
      <c r="AK521" t="str">
        <f>IF(LEFT(Table1[[#This Row],[Final Obj Name]],1)="/",LEFT(Table1[[#This Row],[Final Obj Name]],FIND("/",Table1[[#This Row],[Final Obj Name]],2)),"/0SAP/")</f>
        <v>/0SAP/</v>
      </c>
    </row>
    <row r="522">
      <c r="A522" t="str">
        <v>ENHO</v>
      </c>
      <c r="B522" t="str">
        <v>ZEI_CUSTOMER_GROUP</v>
      </c>
      <c r="C522" t="str">
        <v>ENHO</v>
      </c>
      <c r="D522" t="str">
        <v>ZEI_CUSTOMER_GROUP</v>
      </c>
      <c r="G522" t="str">
        <v>ALL</v>
      </c>
      <c r="L522" t="str">
        <v>CST_BSOLAIMA</v>
      </c>
      <c r="M522">
        <v>45235</v>
      </c>
      <c r="N522">
        <v>0.14296296296296</v>
      </c>
      <c r="S522" t="str">
        <v>X</v>
      </c>
      <c r="W522" t="str">
        <v>PP1K900541</v>
      </c>
      <c r="Y522">
        <f>IF(Table1[[#This Row],[OPERATION]]="NOTE","NOTE",Table1[[#This Row],[SUB_TYPE]])</f>
        <v>0</v>
      </c>
      <c r="Z522">
        <f>IF(Table1[[#This Row],[OPERATION]]="NOTE",NUMBERVALUE(LEFT(Table1[[#This Row],[MOD_NAME]],LEN(Table1[[#This Row],[MOD_NAME]])-4)),Table1[[#This Row],[SUB_NAME]])</f>
        <v>0</v>
      </c>
      <c r="AA522" t="str">
        <f>CONCAT(Table1[[#This Row],[Final Obj Type]],"|",Table1[[#This Row],[Final Obj Name]])</f>
        <v>0|0</v>
      </c>
      <c r="AB522" t="e">
        <f>VLOOKUP(Table1[[#This Row],[Final Obj Type]],Classification!B:E,3,FALSE)</f>
        <v>#N/A</v>
      </c>
      <c r="AC522" t="e">
        <f>VLOOKUP(Table1[[#This Row],[Final Obj Type]],Classification!B:E,4,FALSE)</f>
        <v>#N/A</v>
      </c>
      <c r="AD522" t="str">
        <f>IF(Table1[[#This Row],[Position 1]]=0,"/0SAP/",MID(Table1[[#This Row],[Final Obj Name]],Table1[[#This Row],[Position 1]],Table1[[#This Row],[Position 2]]-Table1[[#This Row],[Position 1]]+1))</f>
        <v>/0SAP/</v>
      </c>
      <c r="AE522" t="str">
        <f>VLOOKUP(Table1[[#This Row],[/* Object]],Namespace!A:J,10,FALSE)</f>
        <v>SAP AG</v>
      </c>
      <c r="AF522" t="str">
        <f>IF(VLOOKUP(Table1[[#This Row],[/* Object]],Namespace!A:J,4,FALSE)=0,"",VLOOKUP(Table1[[#This Row],[/* Object]],Namespace!A:J,4,FALSE))</f>
        <v>X</v>
      </c>
      <c r="AG522" t="str">
        <f>IF(VLOOKUP(Table1[[#This Row],[/* Object]],Namespace!A:J,5,FALSE)=0,"",VLOOKUP(Table1[[#This Row],[/* Object]],Namespace!A:J,5,FALSE))</f>
        <v>X</v>
      </c>
      <c r="AH522" t="str">
        <f>IF(VLOOKUP(Table1[[#This Row],[/* Object]],Namespace!A:J,6,FALSE)=0,"",VLOOKUP(Table1[[#This Row],[/* Object]],Namespace!A:J,6,FALSE))</f>
        <v/>
      </c>
      <c r="AI522">
        <f>IFERROR(FIND("/",Table1[[#This Row],[Final Obj Name]],1),0)</f>
        <v>0</v>
      </c>
      <c r="AJ522">
        <f>IF(Table1[[#This Row],[Position 1]]=0,0,FIND("/",Table1[[#This Row],[Final Obj Name]],Table1[[#This Row],[Position 1]]+1))</f>
        <v>0</v>
      </c>
      <c r="AK522" t="str">
        <f>IF(LEFT(Table1[[#This Row],[Final Obj Name]],1)="/",LEFT(Table1[[#This Row],[Final Obj Name]],FIND("/",Table1[[#This Row],[Final Obj Name]],2)),"/0SAP/")</f>
        <v>/0SAP/</v>
      </c>
    </row>
    <row r="523">
      <c r="A523" t="str">
        <v>ENHO</v>
      </c>
      <c r="B523" t="str">
        <v>ZEI_CUSTOM_FIELDS_DEFAULT</v>
      </c>
      <c r="C523" t="str">
        <v>ENHO</v>
      </c>
      <c r="D523" t="str">
        <v>ZEI_CUSTOM_FIELDS_DEFAULT</v>
      </c>
      <c r="G523" t="str">
        <v>ALL</v>
      </c>
      <c r="L523" t="str">
        <v>CST_BSOLAIMA</v>
      </c>
      <c r="M523">
        <v>45235</v>
      </c>
      <c r="N523">
        <v>0.14392361111111</v>
      </c>
      <c r="S523" t="str">
        <v>X</v>
      </c>
      <c r="W523" t="str">
        <v>PP1K900541</v>
      </c>
      <c r="Y523">
        <f>IF(Table1[[#This Row],[OPERATION]]="NOTE","NOTE",Table1[[#This Row],[SUB_TYPE]])</f>
        <v>0</v>
      </c>
      <c r="Z523">
        <f>IF(Table1[[#This Row],[OPERATION]]="NOTE",NUMBERVALUE(LEFT(Table1[[#This Row],[MOD_NAME]],LEN(Table1[[#This Row],[MOD_NAME]])-4)),Table1[[#This Row],[SUB_NAME]])</f>
        <v>0</v>
      </c>
      <c r="AA523" t="str">
        <f>CONCAT(Table1[[#This Row],[Final Obj Type]],"|",Table1[[#This Row],[Final Obj Name]])</f>
        <v>0|0</v>
      </c>
      <c r="AB523" t="e">
        <f>VLOOKUP(Table1[[#This Row],[Final Obj Type]],Classification!B:E,3,FALSE)</f>
        <v>#N/A</v>
      </c>
      <c r="AC523" t="e">
        <f>VLOOKUP(Table1[[#This Row],[Final Obj Type]],Classification!B:E,4,FALSE)</f>
        <v>#N/A</v>
      </c>
      <c r="AD523" t="str">
        <f>IF(Table1[[#This Row],[Position 1]]=0,"/0SAP/",MID(Table1[[#This Row],[Final Obj Name]],Table1[[#This Row],[Position 1]],Table1[[#This Row],[Position 2]]-Table1[[#This Row],[Position 1]]+1))</f>
        <v>/0SAP/</v>
      </c>
      <c r="AE523" t="str">
        <f>VLOOKUP(Table1[[#This Row],[/* Object]],Namespace!A:J,10,FALSE)</f>
        <v>SAP AG</v>
      </c>
      <c r="AF523" t="str">
        <f>IF(VLOOKUP(Table1[[#This Row],[/* Object]],Namespace!A:J,4,FALSE)=0,"",VLOOKUP(Table1[[#This Row],[/* Object]],Namespace!A:J,4,FALSE))</f>
        <v>X</v>
      </c>
      <c r="AG523" t="str">
        <f>IF(VLOOKUP(Table1[[#This Row],[/* Object]],Namespace!A:J,5,FALSE)=0,"",VLOOKUP(Table1[[#This Row],[/* Object]],Namespace!A:J,5,FALSE))</f>
        <v>X</v>
      </c>
      <c r="AH523" t="str">
        <f>IF(VLOOKUP(Table1[[#This Row],[/* Object]],Namespace!A:J,6,FALSE)=0,"",VLOOKUP(Table1[[#This Row],[/* Object]],Namespace!A:J,6,FALSE))</f>
        <v/>
      </c>
      <c r="AI523">
        <f>IFERROR(FIND("/",Table1[[#This Row],[Final Obj Name]],1),0)</f>
        <v>0</v>
      </c>
      <c r="AJ523">
        <f>IF(Table1[[#This Row],[Position 1]]=0,0,FIND("/",Table1[[#This Row],[Final Obj Name]],Table1[[#This Row],[Position 1]]+1))</f>
        <v>0</v>
      </c>
      <c r="AK523" t="str">
        <f>IF(LEFT(Table1[[#This Row],[Final Obj Name]],1)="/",LEFT(Table1[[#This Row],[Final Obj Name]],FIND("/",Table1[[#This Row],[Final Obj Name]],2)),"/0SAP/")</f>
        <v>/0SAP/</v>
      </c>
    </row>
    <row r="524">
      <c r="A524" t="str">
        <v>ENHO</v>
      </c>
      <c r="B524" t="str">
        <v>ZEI_FI_TRASLADOS</v>
      </c>
      <c r="C524" t="str">
        <v>ENHO</v>
      </c>
      <c r="D524" t="str">
        <v>ZEI_FI_TRASLADOS</v>
      </c>
      <c r="G524" t="str">
        <v>ALL</v>
      </c>
      <c r="L524" t="str">
        <v>CST_BSOLAIMA</v>
      </c>
      <c r="M524">
        <v>45234</v>
      </c>
      <c r="N524">
        <v>0.73467592592593</v>
      </c>
      <c r="S524" t="str">
        <v>X</v>
      </c>
      <c r="W524" t="str">
        <v>PP1K900541</v>
      </c>
      <c r="Y524">
        <f>IF(Table1[[#This Row],[OPERATION]]="NOTE","NOTE",Table1[[#This Row],[SUB_TYPE]])</f>
        <v>0</v>
      </c>
      <c r="Z524">
        <f>IF(Table1[[#This Row],[OPERATION]]="NOTE",NUMBERVALUE(LEFT(Table1[[#This Row],[MOD_NAME]],LEN(Table1[[#This Row],[MOD_NAME]])-4)),Table1[[#This Row],[SUB_NAME]])</f>
        <v>0</v>
      </c>
      <c r="AA524" t="str">
        <f>CONCAT(Table1[[#This Row],[Final Obj Type]],"|",Table1[[#This Row],[Final Obj Name]])</f>
        <v>0|0</v>
      </c>
      <c r="AB524" t="e">
        <f>VLOOKUP(Table1[[#This Row],[Final Obj Type]],Classification!B:E,3,FALSE)</f>
        <v>#N/A</v>
      </c>
      <c r="AC524" t="e">
        <f>VLOOKUP(Table1[[#This Row],[Final Obj Type]],Classification!B:E,4,FALSE)</f>
        <v>#N/A</v>
      </c>
      <c r="AD524" t="str">
        <f>IF(Table1[[#This Row],[Position 1]]=0,"/0SAP/",MID(Table1[[#This Row],[Final Obj Name]],Table1[[#This Row],[Position 1]],Table1[[#This Row],[Position 2]]-Table1[[#This Row],[Position 1]]+1))</f>
        <v>/0SAP/</v>
      </c>
      <c r="AE524" t="str">
        <f>VLOOKUP(Table1[[#This Row],[/* Object]],Namespace!A:J,10,FALSE)</f>
        <v>SAP AG</v>
      </c>
      <c r="AF524" t="str">
        <f>IF(VLOOKUP(Table1[[#This Row],[/* Object]],Namespace!A:J,4,FALSE)=0,"",VLOOKUP(Table1[[#This Row],[/* Object]],Namespace!A:J,4,FALSE))</f>
        <v>X</v>
      </c>
      <c r="AG524" t="str">
        <f>IF(VLOOKUP(Table1[[#This Row],[/* Object]],Namespace!A:J,5,FALSE)=0,"",VLOOKUP(Table1[[#This Row],[/* Object]],Namespace!A:J,5,FALSE))</f>
        <v>X</v>
      </c>
      <c r="AH524" t="str">
        <f>IF(VLOOKUP(Table1[[#This Row],[/* Object]],Namespace!A:J,6,FALSE)=0,"",VLOOKUP(Table1[[#This Row],[/* Object]],Namespace!A:J,6,FALSE))</f>
        <v/>
      </c>
      <c r="AI524">
        <f>IFERROR(FIND("/",Table1[[#This Row],[Final Obj Name]],1),0)</f>
        <v>0</v>
      </c>
      <c r="AJ524">
        <f>IF(Table1[[#This Row],[Position 1]]=0,0,FIND("/",Table1[[#This Row],[Final Obj Name]],Table1[[#This Row],[Position 1]]+1))</f>
        <v>0</v>
      </c>
      <c r="AK524" t="str">
        <f>IF(LEFT(Table1[[#This Row],[Final Obj Name]],1)="/",LEFT(Table1[[#This Row],[Final Obj Name]],FIND("/",Table1[[#This Row],[Final Obj Name]],2)),"/0SAP/")</f>
        <v>/0SAP/</v>
      </c>
    </row>
    <row r="525">
      <c r="A525" t="str">
        <v>ENHO</v>
      </c>
      <c r="B525" t="str">
        <v>ZEI_IDENTIFY_EMAIL_PO</v>
      </c>
      <c r="C525" t="str">
        <v>ENHO</v>
      </c>
      <c r="D525" t="str">
        <v>ZEI_IDENTIFY_EMAIL_PO</v>
      </c>
      <c r="G525" t="str">
        <v>ALL</v>
      </c>
      <c r="L525" t="str">
        <v>CST_BSOLAIMA</v>
      </c>
      <c r="M525">
        <v>45234</v>
      </c>
      <c r="N525">
        <v>0.72936342592593</v>
      </c>
      <c r="S525" t="str">
        <v>X</v>
      </c>
      <c r="W525" t="str">
        <v>PP1K900541</v>
      </c>
      <c r="Y525">
        <f>IF(Table1[[#This Row],[OPERATION]]="NOTE","NOTE",Table1[[#This Row],[SUB_TYPE]])</f>
        <v>0</v>
      </c>
      <c r="Z525">
        <f>IF(Table1[[#This Row],[OPERATION]]="NOTE",NUMBERVALUE(LEFT(Table1[[#This Row],[MOD_NAME]],LEN(Table1[[#This Row],[MOD_NAME]])-4)),Table1[[#This Row],[SUB_NAME]])</f>
        <v>0</v>
      </c>
      <c r="AA525" t="str">
        <f>CONCAT(Table1[[#This Row],[Final Obj Type]],"|",Table1[[#This Row],[Final Obj Name]])</f>
        <v>0|0</v>
      </c>
      <c r="AB525" t="e">
        <f>VLOOKUP(Table1[[#This Row],[Final Obj Type]],Classification!B:E,3,FALSE)</f>
        <v>#N/A</v>
      </c>
      <c r="AC525" t="e">
        <f>VLOOKUP(Table1[[#This Row],[Final Obj Type]],Classification!B:E,4,FALSE)</f>
        <v>#N/A</v>
      </c>
      <c r="AD525" t="str">
        <f>IF(Table1[[#This Row],[Position 1]]=0,"/0SAP/",MID(Table1[[#This Row],[Final Obj Name]],Table1[[#This Row],[Position 1]],Table1[[#This Row],[Position 2]]-Table1[[#This Row],[Position 1]]+1))</f>
        <v>/0SAP/</v>
      </c>
      <c r="AE525" t="str">
        <f>VLOOKUP(Table1[[#This Row],[/* Object]],Namespace!A:J,10,FALSE)</f>
        <v>SAP AG</v>
      </c>
      <c r="AF525" t="str">
        <f>IF(VLOOKUP(Table1[[#This Row],[/* Object]],Namespace!A:J,4,FALSE)=0,"",VLOOKUP(Table1[[#This Row],[/* Object]],Namespace!A:J,4,FALSE))</f>
        <v>X</v>
      </c>
      <c r="AG525" t="str">
        <f>IF(VLOOKUP(Table1[[#This Row],[/* Object]],Namespace!A:J,5,FALSE)=0,"",VLOOKUP(Table1[[#This Row],[/* Object]],Namespace!A:J,5,FALSE))</f>
        <v>X</v>
      </c>
      <c r="AH525" t="str">
        <f>IF(VLOOKUP(Table1[[#This Row],[/* Object]],Namespace!A:J,6,FALSE)=0,"",VLOOKUP(Table1[[#This Row],[/* Object]],Namespace!A:J,6,FALSE))</f>
        <v/>
      </c>
      <c r="AI525">
        <f>IFERROR(FIND("/",Table1[[#This Row],[Final Obj Name]],1),0)</f>
        <v>0</v>
      </c>
      <c r="AJ525">
        <f>IF(Table1[[#This Row],[Position 1]]=0,0,FIND("/",Table1[[#This Row],[Final Obj Name]],Table1[[#This Row],[Position 1]]+1))</f>
        <v>0</v>
      </c>
      <c r="AK525" t="str">
        <f>IF(LEFT(Table1[[#This Row],[Final Obj Name]],1)="/",LEFT(Table1[[#This Row],[Final Obj Name]],FIND("/",Table1[[#This Row],[Final Obj Name]],2)),"/0SAP/")</f>
        <v>/0SAP/</v>
      </c>
    </row>
    <row r="526">
      <c r="A526" t="str">
        <v>ENHO</v>
      </c>
      <c r="B526" t="str">
        <v>ZEI_IDENTIFY_PARTNER_EMAIL_SD</v>
      </c>
      <c r="C526" t="str">
        <v>ENHO</v>
      </c>
      <c r="D526" t="str">
        <v>ZEI_IDENTIFY_PARTNER_EMAIL_SD</v>
      </c>
      <c r="G526" t="str">
        <v>ALL</v>
      </c>
      <c r="L526" t="str">
        <v>CST_BSOLAIMA</v>
      </c>
      <c r="M526">
        <v>45234</v>
      </c>
      <c r="N526">
        <v>0.73519675925926</v>
      </c>
      <c r="S526" t="str">
        <v>X</v>
      </c>
      <c r="W526" t="str">
        <v>PP1K900541</v>
      </c>
      <c r="Y526">
        <f>IF(Table1[[#This Row],[OPERATION]]="NOTE","NOTE",Table1[[#This Row],[SUB_TYPE]])</f>
        <v>0</v>
      </c>
      <c r="Z526">
        <f>IF(Table1[[#This Row],[OPERATION]]="NOTE",NUMBERVALUE(LEFT(Table1[[#This Row],[MOD_NAME]],LEN(Table1[[#This Row],[MOD_NAME]])-4)),Table1[[#This Row],[SUB_NAME]])</f>
        <v>0</v>
      </c>
      <c r="AA526" t="str">
        <f>CONCAT(Table1[[#This Row],[Final Obj Type]],"|",Table1[[#This Row],[Final Obj Name]])</f>
        <v>0|0</v>
      </c>
      <c r="AB526" t="e">
        <f>VLOOKUP(Table1[[#This Row],[Final Obj Type]],Classification!B:E,3,FALSE)</f>
        <v>#N/A</v>
      </c>
      <c r="AC526" t="e">
        <f>VLOOKUP(Table1[[#This Row],[Final Obj Type]],Classification!B:E,4,FALSE)</f>
        <v>#N/A</v>
      </c>
      <c r="AD526" t="str">
        <f>IF(Table1[[#This Row],[Position 1]]=0,"/0SAP/",MID(Table1[[#This Row],[Final Obj Name]],Table1[[#This Row],[Position 1]],Table1[[#This Row],[Position 2]]-Table1[[#This Row],[Position 1]]+1))</f>
        <v>/0SAP/</v>
      </c>
      <c r="AE526" t="str">
        <f>VLOOKUP(Table1[[#This Row],[/* Object]],Namespace!A:J,10,FALSE)</f>
        <v>SAP AG</v>
      </c>
      <c r="AF526" t="str">
        <f>IF(VLOOKUP(Table1[[#This Row],[/* Object]],Namespace!A:J,4,FALSE)=0,"",VLOOKUP(Table1[[#This Row],[/* Object]],Namespace!A:J,4,FALSE))</f>
        <v>X</v>
      </c>
      <c r="AG526" t="str">
        <f>IF(VLOOKUP(Table1[[#This Row],[/* Object]],Namespace!A:J,5,FALSE)=0,"",VLOOKUP(Table1[[#This Row],[/* Object]],Namespace!A:J,5,FALSE))</f>
        <v>X</v>
      </c>
      <c r="AH526" t="str">
        <f>IF(VLOOKUP(Table1[[#This Row],[/* Object]],Namespace!A:J,6,FALSE)=0,"",VLOOKUP(Table1[[#This Row],[/* Object]],Namespace!A:J,6,FALSE))</f>
        <v/>
      </c>
      <c r="AI526">
        <f>IFERROR(FIND("/",Table1[[#This Row],[Final Obj Name]],1),0)</f>
        <v>0</v>
      </c>
      <c r="AJ526">
        <f>IF(Table1[[#This Row],[Position 1]]=0,0,FIND("/",Table1[[#This Row],[Final Obj Name]],Table1[[#This Row],[Position 1]]+1))</f>
        <v>0</v>
      </c>
      <c r="AK526" t="str">
        <f>IF(LEFT(Table1[[#This Row],[Final Obj Name]],1)="/",LEFT(Table1[[#This Row],[Final Obj Name]],FIND("/",Table1[[#This Row],[Final Obj Name]],2)),"/0SAP/")</f>
        <v>/0SAP/</v>
      </c>
    </row>
    <row r="527">
      <c r="A527" t="str">
        <v>ENHO</v>
      </c>
      <c r="B527" t="str">
        <v>ZEI_KDAUF_GET</v>
      </c>
      <c r="C527" t="str">
        <v>ENHO</v>
      </c>
      <c r="D527" t="str">
        <v>ZEI_KDAUF_GET</v>
      </c>
      <c r="G527" t="str">
        <v>ALL</v>
      </c>
      <c r="L527" t="str">
        <v>CST_SOURYA</v>
      </c>
      <c r="M527">
        <v>45832</v>
      </c>
      <c r="N527">
        <v>0.48084490740741</v>
      </c>
      <c r="S527" t="str">
        <v>X</v>
      </c>
      <c r="W527" t="str">
        <v>S01K925069</v>
      </c>
      <c r="Y527">
        <f>IF(Table1[[#This Row],[OPERATION]]="NOTE","NOTE",Table1[[#This Row],[SUB_TYPE]])</f>
        <v>0</v>
      </c>
      <c r="Z527">
        <f>IF(Table1[[#This Row],[OPERATION]]="NOTE",NUMBERVALUE(LEFT(Table1[[#This Row],[MOD_NAME]],LEN(Table1[[#This Row],[MOD_NAME]])-4)),Table1[[#This Row],[SUB_NAME]])</f>
        <v>0</v>
      </c>
      <c r="AA527" t="str">
        <f>CONCAT(Table1[[#This Row],[Final Obj Type]],"|",Table1[[#This Row],[Final Obj Name]])</f>
        <v>0|0</v>
      </c>
      <c r="AB527" t="e">
        <f>VLOOKUP(Table1[[#This Row],[Final Obj Type]],Classification!B:E,3,FALSE)</f>
        <v>#N/A</v>
      </c>
      <c r="AC527" t="e">
        <f>VLOOKUP(Table1[[#This Row],[Final Obj Type]],Classification!B:E,4,FALSE)</f>
        <v>#N/A</v>
      </c>
      <c r="AD527" t="str">
        <f>IF(Table1[[#This Row],[Position 1]]=0,"/0SAP/",MID(Table1[[#This Row],[Final Obj Name]],Table1[[#This Row],[Position 1]],Table1[[#This Row],[Position 2]]-Table1[[#This Row],[Position 1]]+1))</f>
        <v>/0SAP/</v>
      </c>
      <c r="AE527" t="str">
        <f>VLOOKUP(Table1[[#This Row],[/* Object]],Namespace!A:J,10,FALSE)</f>
        <v>SAP AG</v>
      </c>
      <c r="AF527" t="str">
        <f>IF(VLOOKUP(Table1[[#This Row],[/* Object]],Namespace!A:J,4,FALSE)=0,"",VLOOKUP(Table1[[#This Row],[/* Object]],Namespace!A:J,4,FALSE))</f>
        <v>X</v>
      </c>
      <c r="AG527" t="str">
        <f>IF(VLOOKUP(Table1[[#This Row],[/* Object]],Namespace!A:J,5,FALSE)=0,"",VLOOKUP(Table1[[#This Row],[/* Object]],Namespace!A:J,5,FALSE))</f>
        <v>X</v>
      </c>
      <c r="AH527" t="str">
        <f>IF(VLOOKUP(Table1[[#This Row],[/* Object]],Namespace!A:J,6,FALSE)=0,"",VLOOKUP(Table1[[#This Row],[/* Object]],Namespace!A:J,6,FALSE))</f>
        <v/>
      </c>
      <c r="AI527">
        <f>IFERROR(FIND("/",Table1[[#This Row],[Final Obj Name]],1),0)</f>
        <v>0</v>
      </c>
      <c r="AJ527">
        <f>IF(Table1[[#This Row],[Position 1]]=0,0,FIND("/",Table1[[#This Row],[Final Obj Name]],Table1[[#This Row],[Position 1]]+1))</f>
        <v>0</v>
      </c>
      <c r="AK527" t="str">
        <f>IF(LEFT(Table1[[#This Row],[Final Obj Name]],1)="/",LEFT(Table1[[#This Row],[Final Obj Name]],FIND("/",Table1[[#This Row],[Final Obj Name]],2)),"/0SAP/")</f>
        <v>/0SAP/</v>
      </c>
    </row>
    <row r="528">
      <c r="A528" t="str">
        <v>ENHO</v>
      </c>
      <c r="B528" t="str">
        <v>ZEI_LEX_DELIVERY_CHECK</v>
      </c>
      <c r="C528" t="str">
        <v>ENHO</v>
      </c>
      <c r="D528" t="str">
        <v>ZEI_LEX_DELIVERY_CHECK</v>
      </c>
      <c r="G528" t="str">
        <v>ALL</v>
      </c>
      <c r="L528" t="str">
        <v>CST_BSOLAIMA</v>
      </c>
      <c r="M528">
        <v>45235</v>
      </c>
      <c r="N528">
        <v>0.14486111111111</v>
      </c>
      <c r="S528" t="str">
        <v>X</v>
      </c>
      <c r="W528" t="str">
        <v>PP1K900520</v>
      </c>
      <c r="Y528">
        <f>IF(Table1[[#This Row],[OPERATION]]="NOTE","NOTE",Table1[[#This Row],[SUB_TYPE]])</f>
        <v>0</v>
      </c>
      <c r="Z528">
        <f>IF(Table1[[#This Row],[OPERATION]]="NOTE",NUMBERVALUE(LEFT(Table1[[#This Row],[MOD_NAME]],LEN(Table1[[#This Row],[MOD_NAME]])-4)),Table1[[#This Row],[SUB_NAME]])</f>
        <v>0</v>
      </c>
      <c r="AA528" t="str">
        <f>CONCAT(Table1[[#This Row],[Final Obj Type]],"|",Table1[[#This Row],[Final Obj Name]])</f>
        <v>0|0</v>
      </c>
      <c r="AB528" t="e">
        <f>VLOOKUP(Table1[[#This Row],[Final Obj Type]],Classification!B:E,3,FALSE)</f>
        <v>#N/A</v>
      </c>
      <c r="AC528" t="e">
        <f>VLOOKUP(Table1[[#This Row],[Final Obj Type]],Classification!B:E,4,FALSE)</f>
        <v>#N/A</v>
      </c>
      <c r="AD528" t="str">
        <f>IF(Table1[[#This Row],[Position 1]]=0,"/0SAP/",MID(Table1[[#This Row],[Final Obj Name]],Table1[[#This Row],[Position 1]],Table1[[#This Row],[Position 2]]-Table1[[#This Row],[Position 1]]+1))</f>
        <v>/0SAP/</v>
      </c>
      <c r="AE528" t="str">
        <f>VLOOKUP(Table1[[#This Row],[/* Object]],Namespace!A:J,10,FALSE)</f>
        <v>SAP AG</v>
      </c>
      <c r="AF528" t="str">
        <f>IF(VLOOKUP(Table1[[#This Row],[/* Object]],Namespace!A:J,4,FALSE)=0,"",VLOOKUP(Table1[[#This Row],[/* Object]],Namespace!A:J,4,FALSE))</f>
        <v>X</v>
      </c>
      <c r="AG528" t="str">
        <f>IF(VLOOKUP(Table1[[#This Row],[/* Object]],Namespace!A:J,5,FALSE)=0,"",VLOOKUP(Table1[[#This Row],[/* Object]],Namespace!A:J,5,FALSE))</f>
        <v>X</v>
      </c>
      <c r="AH528" t="str">
        <f>IF(VLOOKUP(Table1[[#This Row],[/* Object]],Namespace!A:J,6,FALSE)=0,"",VLOOKUP(Table1[[#This Row],[/* Object]],Namespace!A:J,6,FALSE))</f>
        <v/>
      </c>
      <c r="AI528">
        <f>IFERROR(FIND("/",Table1[[#This Row],[Final Obj Name]],1),0)</f>
        <v>0</v>
      </c>
      <c r="AJ528">
        <f>IF(Table1[[#This Row],[Position 1]]=0,0,FIND("/",Table1[[#This Row],[Final Obj Name]],Table1[[#This Row],[Position 1]]+1))</f>
        <v>0</v>
      </c>
      <c r="AK528" t="str">
        <f>IF(LEFT(Table1[[#This Row],[Final Obj Name]],1)="/",LEFT(Table1[[#This Row],[Final Obj Name]],FIND("/",Table1[[#This Row],[Final Obj Name]],2)),"/0SAP/")</f>
        <v>/0SAP/</v>
      </c>
    </row>
    <row r="529">
      <c r="A529" t="str">
        <v>ENHO</v>
      </c>
      <c r="B529" t="str">
        <v>ZEI_LMGD1O1D_SCREEN</v>
      </c>
      <c r="C529" t="str">
        <v>ENHO</v>
      </c>
      <c r="D529" t="str">
        <v>ZEI_LMGD1O1D_SCREEN</v>
      </c>
      <c r="G529" t="str">
        <v>ALL</v>
      </c>
      <c r="L529" t="str">
        <v>CST_BSOLAIMA</v>
      </c>
      <c r="M529">
        <v>45234</v>
      </c>
      <c r="N529">
        <v>0.73572916666667</v>
      </c>
      <c r="S529" t="str">
        <v>X</v>
      </c>
      <c r="W529" t="str">
        <v>PP1K900541</v>
      </c>
      <c r="Y529">
        <f>IF(Table1[[#This Row],[OPERATION]]="NOTE","NOTE",Table1[[#This Row],[SUB_TYPE]])</f>
        <v>0</v>
      </c>
      <c r="Z529">
        <f>IF(Table1[[#This Row],[OPERATION]]="NOTE",NUMBERVALUE(LEFT(Table1[[#This Row],[MOD_NAME]],LEN(Table1[[#This Row],[MOD_NAME]])-4)),Table1[[#This Row],[SUB_NAME]])</f>
        <v>0</v>
      </c>
      <c r="AA529" t="str">
        <f>CONCAT(Table1[[#This Row],[Final Obj Type]],"|",Table1[[#This Row],[Final Obj Name]])</f>
        <v>0|0</v>
      </c>
      <c r="AB529" t="e">
        <f>VLOOKUP(Table1[[#This Row],[Final Obj Type]],Classification!B:E,3,FALSE)</f>
        <v>#N/A</v>
      </c>
      <c r="AC529" t="e">
        <f>VLOOKUP(Table1[[#This Row],[Final Obj Type]],Classification!B:E,4,FALSE)</f>
        <v>#N/A</v>
      </c>
      <c r="AD529" t="str">
        <f>IF(Table1[[#This Row],[Position 1]]=0,"/0SAP/",MID(Table1[[#This Row],[Final Obj Name]],Table1[[#This Row],[Position 1]],Table1[[#This Row],[Position 2]]-Table1[[#This Row],[Position 1]]+1))</f>
        <v>/0SAP/</v>
      </c>
      <c r="AE529" t="str">
        <f>VLOOKUP(Table1[[#This Row],[/* Object]],Namespace!A:J,10,FALSE)</f>
        <v>SAP AG</v>
      </c>
      <c r="AF529" t="str">
        <f>IF(VLOOKUP(Table1[[#This Row],[/* Object]],Namespace!A:J,4,FALSE)=0,"",VLOOKUP(Table1[[#This Row],[/* Object]],Namespace!A:J,4,FALSE))</f>
        <v>X</v>
      </c>
      <c r="AG529" t="str">
        <f>IF(VLOOKUP(Table1[[#This Row],[/* Object]],Namespace!A:J,5,FALSE)=0,"",VLOOKUP(Table1[[#This Row],[/* Object]],Namespace!A:J,5,FALSE))</f>
        <v>X</v>
      </c>
      <c r="AH529" t="str">
        <f>IF(VLOOKUP(Table1[[#This Row],[/* Object]],Namespace!A:J,6,FALSE)=0,"",VLOOKUP(Table1[[#This Row],[/* Object]],Namespace!A:J,6,FALSE))</f>
        <v/>
      </c>
      <c r="AI529">
        <f>IFERROR(FIND("/",Table1[[#This Row],[Final Obj Name]],1),0)</f>
        <v>0</v>
      </c>
      <c r="AJ529">
        <f>IF(Table1[[#This Row],[Position 1]]=0,0,FIND("/",Table1[[#This Row],[Final Obj Name]],Table1[[#This Row],[Position 1]]+1))</f>
        <v>0</v>
      </c>
      <c r="AK529" t="str">
        <f>IF(LEFT(Table1[[#This Row],[Final Obj Name]],1)="/",LEFT(Table1[[#This Row],[Final Obj Name]],FIND("/",Table1[[#This Row],[Final Obj Name]],2)),"/0SAP/")</f>
        <v>/0SAP/</v>
      </c>
    </row>
    <row r="530">
      <c r="A530" t="str">
        <v>ENHO</v>
      </c>
      <c r="B530" t="str">
        <v>ZEI_MM_ARBCIG2</v>
      </c>
      <c r="C530" t="str">
        <v>ENHO</v>
      </c>
      <c r="D530" t="str">
        <v>ZEI_MM_ARBCIG2</v>
      </c>
      <c r="G530" t="str">
        <v>ALL</v>
      </c>
      <c r="L530" t="str">
        <v>CST_BSOLAIMA</v>
      </c>
      <c r="M530">
        <v>45235</v>
      </c>
      <c r="N530">
        <v>0.14571759259259</v>
      </c>
      <c r="S530" t="str">
        <v>X</v>
      </c>
      <c r="W530" t="str">
        <v>PP1K900541</v>
      </c>
      <c r="Y530">
        <f>IF(Table1[[#This Row],[OPERATION]]="NOTE","NOTE",Table1[[#This Row],[SUB_TYPE]])</f>
        <v>0</v>
      </c>
      <c r="Z530">
        <f>IF(Table1[[#This Row],[OPERATION]]="NOTE",NUMBERVALUE(LEFT(Table1[[#This Row],[MOD_NAME]],LEN(Table1[[#This Row],[MOD_NAME]])-4)),Table1[[#This Row],[SUB_NAME]])</f>
        <v>0</v>
      </c>
      <c r="AA530" t="str">
        <f>CONCAT(Table1[[#This Row],[Final Obj Type]],"|",Table1[[#This Row],[Final Obj Name]])</f>
        <v>0|0</v>
      </c>
      <c r="AB530" t="e">
        <f>VLOOKUP(Table1[[#This Row],[Final Obj Type]],Classification!B:E,3,FALSE)</f>
        <v>#N/A</v>
      </c>
      <c r="AC530" t="e">
        <f>VLOOKUP(Table1[[#This Row],[Final Obj Type]],Classification!B:E,4,FALSE)</f>
        <v>#N/A</v>
      </c>
      <c r="AD530" t="str">
        <f>IF(Table1[[#This Row],[Position 1]]=0,"/0SAP/",MID(Table1[[#This Row],[Final Obj Name]],Table1[[#This Row],[Position 1]],Table1[[#This Row],[Position 2]]-Table1[[#This Row],[Position 1]]+1))</f>
        <v>/0SAP/</v>
      </c>
      <c r="AE530" t="str">
        <f>VLOOKUP(Table1[[#This Row],[/* Object]],Namespace!A:J,10,FALSE)</f>
        <v>SAP AG</v>
      </c>
      <c r="AF530" t="str">
        <f>IF(VLOOKUP(Table1[[#This Row],[/* Object]],Namespace!A:J,4,FALSE)=0,"",VLOOKUP(Table1[[#This Row],[/* Object]],Namespace!A:J,4,FALSE))</f>
        <v>X</v>
      </c>
      <c r="AG530" t="str">
        <f>IF(VLOOKUP(Table1[[#This Row],[/* Object]],Namespace!A:J,5,FALSE)=0,"",VLOOKUP(Table1[[#This Row],[/* Object]],Namespace!A:J,5,FALSE))</f>
        <v>X</v>
      </c>
      <c r="AH530" t="str">
        <f>IF(VLOOKUP(Table1[[#This Row],[/* Object]],Namespace!A:J,6,FALSE)=0,"",VLOOKUP(Table1[[#This Row],[/* Object]],Namespace!A:J,6,FALSE))</f>
        <v/>
      </c>
      <c r="AI530">
        <f>IFERROR(FIND("/",Table1[[#This Row],[Final Obj Name]],1),0)</f>
        <v>0</v>
      </c>
      <c r="AJ530">
        <f>IF(Table1[[#This Row],[Position 1]]=0,0,FIND("/",Table1[[#This Row],[Final Obj Name]],Table1[[#This Row],[Position 1]]+1))</f>
        <v>0</v>
      </c>
      <c r="AK530" t="str">
        <f>IF(LEFT(Table1[[#This Row],[Final Obj Name]],1)="/",LEFT(Table1[[#This Row],[Final Obj Name]],FIND("/",Table1[[#This Row],[Final Obj Name]],2)),"/0SAP/")</f>
        <v>/0SAP/</v>
      </c>
    </row>
    <row r="531">
      <c r="A531" t="str">
        <v>ENHO</v>
      </c>
      <c r="B531" t="str">
        <v>ZEI_MM_ARBCIG_INBOUND_DELIV</v>
      </c>
      <c r="C531" t="str">
        <v>ENHO</v>
      </c>
      <c r="D531" t="str">
        <v>ZEI_MM_ARBCIG_INBOUND_DELIV</v>
      </c>
      <c r="G531" t="str">
        <v>ALL</v>
      </c>
      <c r="L531" t="str">
        <v>CST_BSOLAIMA</v>
      </c>
      <c r="M531">
        <v>45234</v>
      </c>
      <c r="N531">
        <v>0.73628472222222</v>
      </c>
      <c r="S531" t="str">
        <v>X</v>
      </c>
      <c r="W531" t="str">
        <v>PP1K900541</v>
      </c>
      <c r="Y531">
        <f>IF(Table1[[#This Row],[OPERATION]]="NOTE","NOTE",Table1[[#This Row],[SUB_TYPE]])</f>
        <v>0</v>
      </c>
      <c r="Z531">
        <f>IF(Table1[[#This Row],[OPERATION]]="NOTE",NUMBERVALUE(LEFT(Table1[[#This Row],[MOD_NAME]],LEN(Table1[[#This Row],[MOD_NAME]])-4)),Table1[[#This Row],[SUB_NAME]])</f>
        <v>0</v>
      </c>
      <c r="AA531" t="str">
        <f>CONCAT(Table1[[#This Row],[Final Obj Type]],"|",Table1[[#This Row],[Final Obj Name]])</f>
        <v>0|0</v>
      </c>
      <c r="AB531" t="e">
        <f>VLOOKUP(Table1[[#This Row],[Final Obj Type]],Classification!B:E,3,FALSE)</f>
        <v>#N/A</v>
      </c>
      <c r="AC531" t="e">
        <f>VLOOKUP(Table1[[#This Row],[Final Obj Type]],Classification!B:E,4,FALSE)</f>
        <v>#N/A</v>
      </c>
      <c r="AD531" t="str">
        <f>IF(Table1[[#This Row],[Position 1]]=0,"/0SAP/",MID(Table1[[#This Row],[Final Obj Name]],Table1[[#This Row],[Position 1]],Table1[[#This Row],[Position 2]]-Table1[[#This Row],[Position 1]]+1))</f>
        <v>/0SAP/</v>
      </c>
      <c r="AE531" t="str">
        <f>VLOOKUP(Table1[[#This Row],[/* Object]],Namespace!A:J,10,FALSE)</f>
        <v>SAP AG</v>
      </c>
      <c r="AF531" t="str">
        <f>IF(VLOOKUP(Table1[[#This Row],[/* Object]],Namespace!A:J,4,FALSE)=0,"",VLOOKUP(Table1[[#This Row],[/* Object]],Namespace!A:J,4,FALSE))</f>
        <v>X</v>
      </c>
      <c r="AG531" t="str">
        <f>IF(VLOOKUP(Table1[[#This Row],[/* Object]],Namespace!A:J,5,FALSE)=0,"",VLOOKUP(Table1[[#This Row],[/* Object]],Namespace!A:J,5,FALSE))</f>
        <v>X</v>
      </c>
      <c r="AH531" t="str">
        <f>IF(VLOOKUP(Table1[[#This Row],[/* Object]],Namespace!A:J,6,FALSE)=0,"",VLOOKUP(Table1[[#This Row],[/* Object]],Namespace!A:J,6,FALSE))</f>
        <v/>
      </c>
      <c r="AI531">
        <f>IFERROR(FIND("/",Table1[[#This Row],[Final Obj Name]],1),0)</f>
        <v>0</v>
      </c>
      <c r="AJ531">
        <f>IF(Table1[[#This Row],[Position 1]]=0,0,FIND("/",Table1[[#This Row],[Final Obj Name]],Table1[[#This Row],[Position 1]]+1))</f>
        <v>0</v>
      </c>
      <c r="AK531" t="str">
        <f>IF(LEFT(Table1[[#This Row],[Final Obj Name]],1)="/",LEFT(Table1[[#This Row],[Final Obj Name]],FIND("/",Table1[[#This Row],[Final Obj Name]],2)),"/0SAP/")</f>
        <v>/0SAP/</v>
      </c>
    </row>
    <row r="532">
      <c r="A532" t="str">
        <v>ENHO</v>
      </c>
      <c r="B532" t="str">
        <v>ZEI_MM_ARBCIG_INBOUND_DELIV_LF</v>
      </c>
      <c r="C532" t="str">
        <v>ENHO</v>
      </c>
      <c r="D532" t="str">
        <v>ZEI_MM_ARBCIG_INBOUND_DELIV_LF</v>
      </c>
      <c r="G532" t="str">
        <v>ALL</v>
      </c>
      <c r="L532" t="str">
        <v>CST_BSOLAIMA</v>
      </c>
      <c r="M532">
        <v>45235</v>
      </c>
      <c r="N532">
        <v>0.1462037037037</v>
      </c>
      <c r="S532" t="str">
        <v>X</v>
      </c>
      <c r="W532" t="str">
        <v>PP1K900541</v>
      </c>
      <c r="Y532">
        <f>IF(Table1[[#This Row],[OPERATION]]="NOTE","NOTE",Table1[[#This Row],[SUB_TYPE]])</f>
        <v>0</v>
      </c>
      <c r="Z532">
        <f>IF(Table1[[#This Row],[OPERATION]]="NOTE",NUMBERVALUE(LEFT(Table1[[#This Row],[MOD_NAME]],LEN(Table1[[#This Row],[MOD_NAME]])-4)),Table1[[#This Row],[SUB_NAME]])</f>
        <v>0</v>
      </c>
      <c r="AA532" t="str">
        <f>CONCAT(Table1[[#This Row],[Final Obj Type]],"|",Table1[[#This Row],[Final Obj Name]])</f>
        <v>0|0</v>
      </c>
      <c r="AB532" t="e">
        <f>VLOOKUP(Table1[[#This Row],[Final Obj Type]],Classification!B:E,3,FALSE)</f>
        <v>#N/A</v>
      </c>
      <c r="AC532" t="e">
        <f>VLOOKUP(Table1[[#This Row],[Final Obj Type]],Classification!B:E,4,FALSE)</f>
        <v>#N/A</v>
      </c>
      <c r="AD532" t="str">
        <f>IF(Table1[[#This Row],[Position 1]]=0,"/0SAP/",MID(Table1[[#This Row],[Final Obj Name]],Table1[[#This Row],[Position 1]],Table1[[#This Row],[Position 2]]-Table1[[#This Row],[Position 1]]+1))</f>
        <v>/0SAP/</v>
      </c>
      <c r="AE532" t="str">
        <f>VLOOKUP(Table1[[#This Row],[/* Object]],Namespace!A:J,10,FALSE)</f>
        <v>SAP AG</v>
      </c>
      <c r="AF532" t="str">
        <f>IF(VLOOKUP(Table1[[#This Row],[/* Object]],Namespace!A:J,4,FALSE)=0,"",VLOOKUP(Table1[[#This Row],[/* Object]],Namespace!A:J,4,FALSE))</f>
        <v>X</v>
      </c>
      <c r="AG532" t="str">
        <f>IF(VLOOKUP(Table1[[#This Row],[/* Object]],Namespace!A:J,5,FALSE)=0,"",VLOOKUP(Table1[[#This Row],[/* Object]],Namespace!A:J,5,FALSE))</f>
        <v>X</v>
      </c>
      <c r="AH532" t="str">
        <f>IF(VLOOKUP(Table1[[#This Row],[/* Object]],Namespace!A:J,6,FALSE)=0,"",VLOOKUP(Table1[[#This Row],[/* Object]],Namespace!A:J,6,FALSE))</f>
        <v/>
      </c>
      <c r="AI532">
        <f>IFERROR(FIND("/",Table1[[#This Row],[Final Obj Name]],1),0)</f>
        <v>0</v>
      </c>
      <c r="AJ532">
        <f>IF(Table1[[#This Row],[Position 1]]=0,0,FIND("/",Table1[[#This Row],[Final Obj Name]],Table1[[#This Row],[Position 1]]+1))</f>
        <v>0</v>
      </c>
      <c r="AK532" t="str">
        <f>IF(LEFT(Table1[[#This Row],[Final Obj Name]],1)="/",LEFT(Table1[[#This Row],[Final Obj Name]],FIND("/",Table1[[#This Row],[Final Obj Name]],2)),"/0SAP/")</f>
        <v>/0SAP/</v>
      </c>
    </row>
    <row r="533">
      <c r="A533" t="str">
        <v>ENHO</v>
      </c>
      <c r="B533" t="str">
        <v>ZEI_MM_ARIBA_MASTERDATA_SPLIT</v>
      </c>
      <c r="C533" t="str">
        <v>ENHO</v>
      </c>
      <c r="D533" t="str">
        <v>ZEI_MM_ARIBA_MASTERDATA_SPLIT</v>
      </c>
      <c r="G533" t="str">
        <v>ALL</v>
      </c>
      <c r="L533" t="str">
        <v>CST_BSOLAIMA</v>
      </c>
      <c r="M533">
        <v>45234</v>
      </c>
      <c r="N533">
        <v>0.73685185185185</v>
      </c>
      <c r="S533" t="str">
        <v>X</v>
      </c>
      <c r="W533" t="str">
        <v>PP1K900541</v>
      </c>
      <c r="Y533">
        <f>IF(Table1[[#This Row],[OPERATION]]="NOTE","NOTE",Table1[[#This Row],[SUB_TYPE]])</f>
        <v>0</v>
      </c>
      <c r="Z533">
        <f>IF(Table1[[#This Row],[OPERATION]]="NOTE",NUMBERVALUE(LEFT(Table1[[#This Row],[MOD_NAME]],LEN(Table1[[#This Row],[MOD_NAME]])-4)),Table1[[#This Row],[SUB_NAME]])</f>
        <v>0</v>
      </c>
      <c r="AA533" t="str">
        <f>CONCAT(Table1[[#This Row],[Final Obj Type]],"|",Table1[[#This Row],[Final Obj Name]])</f>
        <v>0|0</v>
      </c>
      <c r="AB533" t="e">
        <f>VLOOKUP(Table1[[#This Row],[Final Obj Type]],Classification!B:E,3,FALSE)</f>
        <v>#N/A</v>
      </c>
      <c r="AC533" t="e">
        <f>VLOOKUP(Table1[[#This Row],[Final Obj Type]],Classification!B:E,4,FALSE)</f>
        <v>#N/A</v>
      </c>
      <c r="AD533" t="str">
        <f>IF(Table1[[#This Row],[Position 1]]=0,"/0SAP/",MID(Table1[[#This Row],[Final Obj Name]],Table1[[#This Row],[Position 1]],Table1[[#This Row],[Position 2]]-Table1[[#This Row],[Position 1]]+1))</f>
        <v>/0SAP/</v>
      </c>
      <c r="AE533" t="str">
        <f>VLOOKUP(Table1[[#This Row],[/* Object]],Namespace!A:J,10,FALSE)</f>
        <v>SAP AG</v>
      </c>
      <c r="AF533" t="str">
        <f>IF(VLOOKUP(Table1[[#This Row],[/* Object]],Namespace!A:J,4,FALSE)=0,"",VLOOKUP(Table1[[#This Row],[/* Object]],Namespace!A:J,4,FALSE))</f>
        <v>X</v>
      </c>
      <c r="AG533" t="str">
        <f>IF(VLOOKUP(Table1[[#This Row],[/* Object]],Namespace!A:J,5,FALSE)=0,"",VLOOKUP(Table1[[#This Row],[/* Object]],Namespace!A:J,5,FALSE))</f>
        <v>X</v>
      </c>
      <c r="AH533" t="str">
        <f>IF(VLOOKUP(Table1[[#This Row],[/* Object]],Namespace!A:J,6,FALSE)=0,"",VLOOKUP(Table1[[#This Row],[/* Object]],Namespace!A:J,6,FALSE))</f>
        <v/>
      </c>
      <c r="AI533">
        <f>IFERROR(FIND("/",Table1[[#This Row],[Final Obj Name]],1),0)</f>
        <v>0</v>
      </c>
      <c r="AJ533">
        <f>IF(Table1[[#This Row],[Position 1]]=0,0,FIND("/",Table1[[#This Row],[Final Obj Name]],Table1[[#This Row],[Position 1]]+1))</f>
        <v>0</v>
      </c>
      <c r="AK533" t="str">
        <f>IF(LEFT(Table1[[#This Row],[Final Obj Name]],1)="/",LEFT(Table1[[#This Row],[Final Obj Name]],FIND("/",Table1[[#This Row],[Final Obj Name]],2)),"/0SAP/")</f>
        <v>/0SAP/</v>
      </c>
    </row>
    <row r="534">
      <c r="A534" t="str">
        <v>ENHO</v>
      </c>
      <c r="B534" t="str">
        <v>ZEI_MM_ARIBA_RFQ_OUTPUTTYPE</v>
      </c>
      <c r="C534" t="str">
        <v>ENHO</v>
      </c>
      <c r="D534" t="str">
        <v>ZEI_MM_ARIBA_RFQ_OUTPUTTYPE</v>
      </c>
      <c r="G534" t="str">
        <v>ALL</v>
      </c>
      <c r="L534" t="str">
        <v>CST_BSOLAIMA</v>
      </c>
      <c r="M534">
        <v>45235</v>
      </c>
      <c r="N534">
        <v>0.14731481481481</v>
      </c>
      <c r="S534" t="str">
        <v>X</v>
      </c>
      <c r="W534" t="str">
        <v>PP1K900541</v>
      </c>
      <c r="Y534">
        <f>IF(Table1[[#This Row],[OPERATION]]="NOTE","NOTE",Table1[[#This Row],[SUB_TYPE]])</f>
        <v>0</v>
      </c>
      <c r="Z534">
        <f>IF(Table1[[#This Row],[OPERATION]]="NOTE",NUMBERVALUE(LEFT(Table1[[#This Row],[MOD_NAME]],LEN(Table1[[#This Row],[MOD_NAME]])-4)),Table1[[#This Row],[SUB_NAME]])</f>
        <v>0</v>
      </c>
      <c r="AA534" t="str">
        <f>CONCAT(Table1[[#This Row],[Final Obj Type]],"|",Table1[[#This Row],[Final Obj Name]])</f>
        <v>0|0</v>
      </c>
      <c r="AB534" t="e">
        <f>VLOOKUP(Table1[[#This Row],[Final Obj Type]],Classification!B:E,3,FALSE)</f>
        <v>#N/A</v>
      </c>
      <c r="AC534" t="e">
        <f>VLOOKUP(Table1[[#This Row],[Final Obj Type]],Classification!B:E,4,FALSE)</f>
        <v>#N/A</v>
      </c>
      <c r="AD534" t="str">
        <f>IF(Table1[[#This Row],[Position 1]]=0,"/0SAP/",MID(Table1[[#This Row],[Final Obj Name]],Table1[[#This Row],[Position 1]],Table1[[#This Row],[Position 2]]-Table1[[#This Row],[Position 1]]+1))</f>
        <v>/0SAP/</v>
      </c>
      <c r="AE534" t="str">
        <f>VLOOKUP(Table1[[#This Row],[/* Object]],Namespace!A:J,10,FALSE)</f>
        <v>SAP AG</v>
      </c>
      <c r="AF534" t="str">
        <f>IF(VLOOKUP(Table1[[#This Row],[/* Object]],Namespace!A:J,4,FALSE)=0,"",VLOOKUP(Table1[[#This Row],[/* Object]],Namespace!A:J,4,FALSE))</f>
        <v>X</v>
      </c>
      <c r="AG534" t="str">
        <f>IF(VLOOKUP(Table1[[#This Row],[/* Object]],Namespace!A:J,5,FALSE)=0,"",VLOOKUP(Table1[[#This Row],[/* Object]],Namespace!A:J,5,FALSE))</f>
        <v>X</v>
      </c>
      <c r="AH534" t="str">
        <f>IF(VLOOKUP(Table1[[#This Row],[/* Object]],Namespace!A:J,6,FALSE)=0,"",VLOOKUP(Table1[[#This Row],[/* Object]],Namespace!A:J,6,FALSE))</f>
        <v/>
      </c>
      <c r="AI534">
        <f>IFERROR(FIND("/",Table1[[#This Row],[Final Obj Name]],1),0)</f>
        <v>0</v>
      </c>
      <c r="AJ534">
        <f>IF(Table1[[#This Row],[Position 1]]=0,0,FIND("/",Table1[[#This Row],[Final Obj Name]],Table1[[#This Row],[Position 1]]+1))</f>
        <v>0</v>
      </c>
      <c r="AK534" t="str">
        <f>IF(LEFT(Table1[[#This Row],[Final Obj Name]],1)="/",LEFT(Table1[[#This Row],[Final Obj Name]],FIND("/",Table1[[#This Row],[Final Obj Name]],2)),"/0SAP/")</f>
        <v>/0SAP/</v>
      </c>
    </row>
    <row r="535">
      <c r="A535" t="str">
        <v>ENHO</v>
      </c>
      <c r="B535" t="str">
        <v>ZEI_MM_IBD_CREATE</v>
      </c>
      <c r="C535" t="str">
        <v>ENHO</v>
      </c>
      <c r="D535" t="str">
        <v>ZEI_MM_IBD_CREATE</v>
      </c>
      <c r="G535" t="str">
        <v>ALL</v>
      </c>
      <c r="L535" t="str">
        <v>CST_BSOLAIMA</v>
      </c>
      <c r="M535">
        <v>45235</v>
      </c>
      <c r="N535">
        <v>0.14806712962963</v>
      </c>
      <c r="S535" t="str">
        <v>X</v>
      </c>
      <c r="W535" t="str">
        <v>PP1K900541</v>
      </c>
      <c r="Y535">
        <f>IF(Table1[[#This Row],[OPERATION]]="NOTE","NOTE",Table1[[#This Row],[SUB_TYPE]])</f>
        <v>0</v>
      </c>
      <c r="Z535">
        <f>IF(Table1[[#This Row],[OPERATION]]="NOTE",NUMBERVALUE(LEFT(Table1[[#This Row],[MOD_NAME]],LEN(Table1[[#This Row],[MOD_NAME]])-4)),Table1[[#This Row],[SUB_NAME]])</f>
        <v>0</v>
      </c>
      <c r="AA535" t="str">
        <f>CONCAT(Table1[[#This Row],[Final Obj Type]],"|",Table1[[#This Row],[Final Obj Name]])</f>
        <v>0|0</v>
      </c>
      <c r="AB535" t="e">
        <f>VLOOKUP(Table1[[#This Row],[Final Obj Type]],Classification!B:E,3,FALSE)</f>
        <v>#N/A</v>
      </c>
      <c r="AC535" t="e">
        <f>VLOOKUP(Table1[[#This Row],[Final Obj Type]],Classification!B:E,4,FALSE)</f>
        <v>#N/A</v>
      </c>
      <c r="AD535" t="str">
        <f>IF(Table1[[#This Row],[Position 1]]=0,"/0SAP/",MID(Table1[[#This Row],[Final Obj Name]],Table1[[#This Row],[Position 1]],Table1[[#This Row],[Position 2]]-Table1[[#This Row],[Position 1]]+1))</f>
        <v>/0SAP/</v>
      </c>
      <c r="AE535" t="str">
        <f>VLOOKUP(Table1[[#This Row],[/* Object]],Namespace!A:J,10,FALSE)</f>
        <v>SAP AG</v>
      </c>
      <c r="AF535" t="str">
        <f>IF(VLOOKUP(Table1[[#This Row],[/* Object]],Namespace!A:J,4,FALSE)=0,"",VLOOKUP(Table1[[#This Row],[/* Object]],Namespace!A:J,4,FALSE))</f>
        <v>X</v>
      </c>
      <c r="AG535" t="str">
        <f>IF(VLOOKUP(Table1[[#This Row],[/* Object]],Namespace!A:J,5,FALSE)=0,"",VLOOKUP(Table1[[#This Row],[/* Object]],Namespace!A:J,5,FALSE))</f>
        <v>X</v>
      </c>
      <c r="AH535" t="str">
        <f>IF(VLOOKUP(Table1[[#This Row],[/* Object]],Namespace!A:J,6,FALSE)=0,"",VLOOKUP(Table1[[#This Row],[/* Object]],Namespace!A:J,6,FALSE))</f>
        <v/>
      </c>
      <c r="AI535">
        <f>IFERROR(FIND("/",Table1[[#This Row],[Final Obj Name]],1),0)</f>
        <v>0</v>
      </c>
      <c r="AJ535">
        <f>IF(Table1[[#This Row],[Position 1]]=0,0,FIND("/",Table1[[#This Row],[Final Obj Name]],Table1[[#This Row],[Position 1]]+1))</f>
        <v>0</v>
      </c>
      <c r="AK535" t="str">
        <f>IF(LEFT(Table1[[#This Row],[Final Obj Name]],1)="/",LEFT(Table1[[#This Row],[Final Obj Name]],FIND("/",Table1[[#This Row],[Final Obj Name]],2)),"/0SAP/")</f>
        <v>/0SAP/</v>
      </c>
    </row>
    <row r="536">
      <c r="A536" t="str">
        <v>ENHO</v>
      </c>
      <c r="B536" t="str">
        <v>ZEI_MV45AFZZ_SALES_PRICING</v>
      </c>
      <c r="C536" t="str">
        <v>ENHO</v>
      </c>
      <c r="D536" t="str">
        <v>ZEI_MV45AFZZ_SALES_PRICING</v>
      </c>
      <c r="G536" t="str">
        <v>ALL</v>
      </c>
      <c r="L536" t="str">
        <v>CST_BSOLAIMA</v>
      </c>
      <c r="M536">
        <v>45294</v>
      </c>
      <c r="N536">
        <v>0.21834490740741</v>
      </c>
      <c r="S536" t="str">
        <v>X</v>
      </c>
      <c r="W536" t="str">
        <v>PP1K900541</v>
      </c>
      <c r="Y536">
        <f>IF(Table1[[#This Row],[OPERATION]]="NOTE","NOTE",Table1[[#This Row],[SUB_TYPE]])</f>
        <v>0</v>
      </c>
      <c r="Z536">
        <f>IF(Table1[[#This Row],[OPERATION]]="NOTE",NUMBERVALUE(LEFT(Table1[[#This Row],[MOD_NAME]],LEN(Table1[[#This Row],[MOD_NAME]])-4)),Table1[[#This Row],[SUB_NAME]])</f>
        <v>0</v>
      </c>
      <c r="AA536" t="str">
        <f>CONCAT(Table1[[#This Row],[Final Obj Type]],"|",Table1[[#This Row],[Final Obj Name]])</f>
        <v>0|0</v>
      </c>
      <c r="AB536" t="e">
        <f>VLOOKUP(Table1[[#This Row],[Final Obj Type]],Classification!B:E,3,FALSE)</f>
        <v>#N/A</v>
      </c>
      <c r="AC536" t="e">
        <f>VLOOKUP(Table1[[#This Row],[Final Obj Type]],Classification!B:E,4,FALSE)</f>
        <v>#N/A</v>
      </c>
      <c r="AD536" t="str">
        <f>IF(Table1[[#This Row],[Position 1]]=0,"/0SAP/",MID(Table1[[#This Row],[Final Obj Name]],Table1[[#This Row],[Position 1]],Table1[[#This Row],[Position 2]]-Table1[[#This Row],[Position 1]]+1))</f>
        <v>/0SAP/</v>
      </c>
      <c r="AE536" t="str">
        <f>VLOOKUP(Table1[[#This Row],[/* Object]],Namespace!A:J,10,FALSE)</f>
        <v>SAP AG</v>
      </c>
      <c r="AF536" t="str">
        <f>IF(VLOOKUP(Table1[[#This Row],[/* Object]],Namespace!A:J,4,FALSE)=0,"",VLOOKUP(Table1[[#This Row],[/* Object]],Namespace!A:J,4,FALSE))</f>
        <v>X</v>
      </c>
      <c r="AG536" t="str">
        <f>IF(VLOOKUP(Table1[[#This Row],[/* Object]],Namespace!A:J,5,FALSE)=0,"",VLOOKUP(Table1[[#This Row],[/* Object]],Namespace!A:J,5,FALSE))</f>
        <v>X</v>
      </c>
      <c r="AH536" t="str">
        <f>IF(VLOOKUP(Table1[[#This Row],[/* Object]],Namespace!A:J,6,FALSE)=0,"",VLOOKUP(Table1[[#This Row],[/* Object]],Namespace!A:J,6,FALSE))</f>
        <v/>
      </c>
      <c r="AI536">
        <f>IFERROR(FIND("/",Table1[[#This Row],[Final Obj Name]],1),0)</f>
        <v>0</v>
      </c>
      <c r="AJ536">
        <f>IF(Table1[[#This Row],[Position 1]]=0,0,FIND("/",Table1[[#This Row],[Final Obj Name]],Table1[[#This Row],[Position 1]]+1))</f>
        <v>0</v>
      </c>
      <c r="AK536" t="str">
        <f>IF(LEFT(Table1[[#This Row],[Final Obj Name]],1)="/",LEFT(Table1[[#This Row],[Final Obj Name]],FIND("/",Table1[[#This Row],[Final Obj Name]],2)),"/0SAP/")</f>
        <v>/0SAP/</v>
      </c>
    </row>
    <row r="537">
      <c r="A537" t="str">
        <v>ENHO</v>
      </c>
      <c r="B537" t="str">
        <v>ZEI_MV45AIZZ</v>
      </c>
      <c r="C537" t="str">
        <v>ENHO</v>
      </c>
      <c r="D537" t="str">
        <v>ZEI_MV45AIZZ</v>
      </c>
      <c r="G537" t="str">
        <v>ALL</v>
      </c>
      <c r="L537" t="str">
        <v>CST_BSOLAIMA</v>
      </c>
      <c r="M537">
        <v>45234</v>
      </c>
      <c r="N537">
        <v>0.72575231481481</v>
      </c>
      <c r="S537" t="str">
        <v>X</v>
      </c>
      <c r="W537" t="str">
        <v>PP1K900541</v>
      </c>
      <c r="Y537">
        <f>IF(Table1[[#This Row],[OPERATION]]="NOTE","NOTE",Table1[[#This Row],[SUB_TYPE]])</f>
        <v>0</v>
      </c>
      <c r="Z537">
        <f>IF(Table1[[#This Row],[OPERATION]]="NOTE",NUMBERVALUE(LEFT(Table1[[#This Row],[MOD_NAME]],LEN(Table1[[#This Row],[MOD_NAME]])-4)),Table1[[#This Row],[SUB_NAME]])</f>
        <v>0</v>
      </c>
      <c r="AA537" t="str">
        <f>CONCAT(Table1[[#This Row],[Final Obj Type]],"|",Table1[[#This Row],[Final Obj Name]])</f>
        <v>0|0</v>
      </c>
      <c r="AB537" t="e">
        <f>VLOOKUP(Table1[[#This Row],[Final Obj Type]],Classification!B:E,3,FALSE)</f>
        <v>#N/A</v>
      </c>
      <c r="AC537" t="e">
        <f>VLOOKUP(Table1[[#This Row],[Final Obj Type]],Classification!B:E,4,FALSE)</f>
        <v>#N/A</v>
      </c>
      <c r="AD537" t="str">
        <f>IF(Table1[[#This Row],[Position 1]]=0,"/0SAP/",MID(Table1[[#This Row],[Final Obj Name]],Table1[[#This Row],[Position 1]],Table1[[#This Row],[Position 2]]-Table1[[#This Row],[Position 1]]+1))</f>
        <v>/0SAP/</v>
      </c>
      <c r="AE537" t="str">
        <f>VLOOKUP(Table1[[#This Row],[/* Object]],Namespace!A:J,10,FALSE)</f>
        <v>SAP AG</v>
      </c>
      <c r="AF537" t="str">
        <f>IF(VLOOKUP(Table1[[#This Row],[/* Object]],Namespace!A:J,4,FALSE)=0,"",VLOOKUP(Table1[[#This Row],[/* Object]],Namespace!A:J,4,FALSE))</f>
        <v>X</v>
      </c>
      <c r="AG537" t="str">
        <f>IF(VLOOKUP(Table1[[#This Row],[/* Object]],Namespace!A:J,5,FALSE)=0,"",VLOOKUP(Table1[[#This Row],[/* Object]],Namespace!A:J,5,FALSE))</f>
        <v>X</v>
      </c>
      <c r="AH537" t="str">
        <f>IF(VLOOKUP(Table1[[#This Row],[/* Object]],Namespace!A:J,6,FALSE)=0,"",VLOOKUP(Table1[[#This Row],[/* Object]],Namespace!A:J,6,FALSE))</f>
        <v/>
      </c>
      <c r="AI537">
        <f>IFERROR(FIND("/",Table1[[#This Row],[Final Obj Name]],1),0)</f>
        <v>0</v>
      </c>
      <c r="AJ537">
        <f>IF(Table1[[#This Row],[Position 1]]=0,0,FIND("/",Table1[[#This Row],[Final Obj Name]],Table1[[#This Row],[Position 1]]+1))</f>
        <v>0</v>
      </c>
      <c r="AK537" t="str">
        <f>IF(LEFT(Table1[[#This Row],[Final Obj Name]],1)="/",LEFT(Table1[[#This Row],[Final Obj Name]],FIND("/",Table1[[#This Row],[Final Obj Name]],2)),"/0SAP/")</f>
        <v>/0SAP/</v>
      </c>
    </row>
    <row r="538">
      <c r="A538" t="str">
        <v>ENHO</v>
      </c>
      <c r="B538" t="str">
        <v>ZEI_OTC_CCB103_ADD_ITEM_CAT</v>
      </c>
      <c r="C538" t="str">
        <v>ENHO</v>
      </c>
      <c r="D538" t="str">
        <v>ZEI_OTC_CCB103_ADD_ITEM_CAT</v>
      </c>
      <c r="G538" t="str">
        <v>ALL</v>
      </c>
      <c r="L538" t="str">
        <v>CST_SOURYA</v>
      </c>
      <c r="M538">
        <v>46085</v>
      </c>
      <c r="N538">
        <v>0.41769675925926</v>
      </c>
      <c r="S538" t="str">
        <v>X</v>
      </c>
      <c r="W538" t="str">
        <v>S01K927400</v>
      </c>
      <c r="Y538">
        <f>IF(Table1[[#This Row],[OPERATION]]="NOTE","NOTE",Table1[[#This Row],[SUB_TYPE]])</f>
        <v>0</v>
      </c>
      <c r="Z538">
        <f>IF(Table1[[#This Row],[OPERATION]]="NOTE",NUMBERVALUE(LEFT(Table1[[#This Row],[MOD_NAME]],LEN(Table1[[#This Row],[MOD_NAME]])-4)),Table1[[#This Row],[SUB_NAME]])</f>
        <v>0</v>
      </c>
      <c r="AA538" t="str">
        <f>CONCAT(Table1[[#This Row],[Final Obj Type]],"|",Table1[[#This Row],[Final Obj Name]])</f>
        <v>0|0</v>
      </c>
      <c r="AB538" t="e">
        <f>VLOOKUP(Table1[[#This Row],[Final Obj Type]],Classification!B:E,3,FALSE)</f>
        <v>#N/A</v>
      </c>
      <c r="AC538" t="e">
        <f>VLOOKUP(Table1[[#This Row],[Final Obj Type]],Classification!B:E,4,FALSE)</f>
        <v>#N/A</v>
      </c>
      <c r="AD538" t="str">
        <f>IF(Table1[[#This Row],[Position 1]]=0,"/0SAP/",MID(Table1[[#This Row],[Final Obj Name]],Table1[[#This Row],[Position 1]],Table1[[#This Row],[Position 2]]-Table1[[#This Row],[Position 1]]+1))</f>
        <v>/0SAP/</v>
      </c>
      <c r="AE538" t="str">
        <f>VLOOKUP(Table1[[#This Row],[/* Object]],Namespace!A:J,10,FALSE)</f>
        <v>SAP AG</v>
      </c>
      <c r="AF538" t="str">
        <f>IF(VLOOKUP(Table1[[#This Row],[/* Object]],Namespace!A:J,4,FALSE)=0,"",VLOOKUP(Table1[[#This Row],[/* Object]],Namespace!A:J,4,FALSE))</f>
        <v>X</v>
      </c>
      <c r="AG538" t="str">
        <f>IF(VLOOKUP(Table1[[#This Row],[/* Object]],Namespace!A:J,5,FALSE)=0,"",VLOOKUP(Table1[[#This Row],[/* Object]],Namespace!A:J,5,FALSE))</f>
        <v>X</v>
      </c>
      <c r="AH538" t="str">
        <f>IF(VLOOKUP(Table1[[#This Row],[/* Object]],Namespace!A:J,6,FALSE)=0,"",VLOOKUP(Table1[[#This Row],[/* Object]],Namespace!A:J,6,FALSE))</f>
        <v/>
      </c>
      <c r="AI538">
        <f>IFERROR(FIND("/",Table1[[#This Row],[Final Obj Name]],1),0)</f>
        <v>0</v>
      </c>
      <c r="AJ538">
        <f>IF(Table1[[#This Row],[Position 1]]=0,0,FIND("/",Table1[[#This Row],[Final Obj Name]],Table1[[#This Row],[Position 1]]+1))</f>
        <v>0</v>
      </c>
      <c r="AK538" t="str">
        <f>IF(LEFT(Table1[[#This Row],[Final Obj Name]],1)="/",LEFT(Table1[[#This Row],[Final Obj Name]],FIND("/",Table1[[#This Row],[Final Obj Name]],2)),"/0SAP/")</f>
        <v>/0SAP/</v>
      </c>
    </row>
    <row r="539">
      <c r="A539" t="str">
        <v>ENHO</v>
      </c>
      <c r="B539" t="str">
        <v>ZEI_OTC_CCB103_ADD_ITEM_CAT_RV</v>
      </c>
      <c r="C539" t="str">
        <v>ENHO</v>
      </c>
      <c r="D539" t="str">
        <v>ZEI_OTC_CCB103_ADD_ITEM_CAT_RV</v>
      </c>
      <c r="G539" t="str">
        <v>ALL</v>
      </c>
      <c r="L539" t="str">
        <v>CST_SOURYA</v>
      </c>
      <c r="M539">
        <v>46027</v>
      </c>
      <c r="N539">
        <v>0.34336805555556</v>
      </c>
      <c r="S539" t="str">
        <v>X</v>
      </c>
      <c r="W539" t="str">
        <v>S01K927400</v>
      </c>
      <c r="Y539">
        <f>IF(Table1[[#This Row],[OPERATION]]="NOTE","NOTE",Table1[[#This Row],[SUB_TYPE]])</f>
        <v>0</v>
      </c>
      <c r="Z539">
        <f>IF(Table1[[#This Row],[OPERATION]]="NOTE",NUMBERVALUE(LEFT(Table1[[#This Row],[MOD_NAME]],LEN(Table1[[#This Row],[MOD_NAME]])-4)),Table1[[#This Row],[SUB_NAME]])</f>
        <v>0</v>
      </c>
      <c r="AA539" t="str">
        <f>CONCAT(Table1[[#This Row],[Final Obj Type]],"|",Table1[[#This Row],[Final Obj Name]])</f>
        <v>0|0</v>
      </c>
      <c r="AB539" t="e">
        <f>VLOOKUP(Table1[[#This Row],[Final Obj Type]],Classification!B:E,3,FALSE)</f>
        <v>#N/A</v>
      </c>
      <c r="AC539" t="e">
        <f>VLOOKUP(Table1[[#This Row],[Final Obj Type]],Classification!B:E,4,FALSE)</f>
        <v>#N/A</v>
      </c>
      <c r="AD539" t="str">
        <f>IF(Table1[[#This Row],[Position 1]]=0,"/0SAP/",MID(Table1[[#This Row],[Final Obj Name]],Table1[[#This Row],[Position 1]],Table1[[#This Row],[Position 2]]-Table1[[#This Row],[Position 1]]+1))</f>
        <v>/0SAP/</v>
      </c>
      <c r="AE539" t="str">
        <f>VLOOKUP(Table1[[#This Row],[/* Object]],Namespace!A:J,10,FALSE)</f>
        <v>SAP AG</v>
      </c>
      <c r="AF539" t="str">
        <f>IF(VLOOKUP(Table1[[#This Row],[/* Object]],Namespace!A:J,4,FALSE)=0,"",VLOOKUP(Table1[[#This Row],[/* Object]],Namespace!A:J,4,FALSE))</f>
        <v>X</v>
      </c>
      <c r="AG539" t="str">
        <f>IF(VLOOKUP(Table1[[#This Row],[/* Object]],Namespace!A:J,5,FALSE)=0,"",VLOOKUP(Table1[[#This Row],[/* Object]],Namespace!A:J,5,FALSE))</f>
        <v>X</v>
      </c>
      <c r="AH539" t="str">
        <f>IF(VLOOKUP(Table1[[#This Row],[/* Object]],Namespace!A:J,6,FALSE)=0,"",VLOOKUP(Table1[[#This Row],[/* Object]],Namespace!A:J,6,FALSE))</f>
        <v/>
      </c>
      <c r="AI539">
        <f>IFERROR(FIND("/",Table1[[#This Row],[Final Obj Name]],1),0)</f>
        <v>0</v>
      </c>
      <c r="AJ539">
        <f>IF(Table1[[#This Row],[Position 1]]=0,0,FIND("/",Table1[[#This Row],[Final Obj Name]],Table1[[#This Row],[Position 1]]+1))</f>
        <v>0</v>
      </c>
      <c r="AK539" t="str">
        <f>IF(LEFT(Table1[[#This Row],[Final Obj Name]],1)="/",LEFT(Table1[[#This Row],[Final Obj Name]],FIND("/",Table1[[#This Row],[Final Obj Name]],2)),"/0SAP/")</f>
        <v>/0SAP/</v>
      </c>
    </row>
    <row r="540">
      <c r="A540" t="str">
        <v>ENHO</v>
      </c>
      <c r="B540" t="str">
        <v>ZEI_OTC_CCB822_CUST_CONT_PROD</v>
      </c>
      <c r="C540" t="str">
        <v>ENHO</v>
      </c>
      <c r="D540" t="str">
        <v>ZEI_OTC_CCB822_CUST_CONT_PROD</v>
      </c>
      <c r="G540" t="str">
        <v>ALL</v>
      </c>
      <c r="L540" t="str">
        <v>CST_BSOLAIMA</v>
      </c>
      <c r="M540">
        <v>45294</v>
      </c>
      <c r="N540">
        <v>0.22020833333333</v>
      </c>
      <c r="S540" t="str">
        <v>X</v>
      </c>
      <c r="W540" t="str">
        <v>PP1K900541</v>
      </c>
      <c r="Y540">
        <f>IF(Table1[[#This Row],[OPERATION]]="NOTE","NOTE",Table1[[#This Row],[SUB_TYPE]])</f>
        <v>0</v>
      </c>
      <c r="Z540">
        <f>IF(Table1[[#This Row],[OPERATION]]="NOTE",NUMBERVALUE(LEFT(Table1[[#This Row],[MOD_NAME]],LEN(Table1[[#This Row],[MOD_NAME]])-4)),Table1[[#This Row],[SUB_NAME]])</f>
        <v>0</v>
      </c>
      <c r="AA540" t="str">
        <f>CONCAT(Table1[[#This Row],[Final Obj Type]],"|",Table1[[#This Row],[Final Obj Name]])</f>
        <v>0|0</v>
      </c>
      <c r="AB540" t="e">
        <f>VLOOKUP(Table1[[#This Row],[Final Obj Type]],Classification!B:E,3,FALSE)</f>
        <v>#N/A</v>
      </c>
      <c r="AC540" t="e">
        <f>VLOOKUP(Table1[[#This Row],[Final Obj Type]],Classification!B:E,4,FALSE)</f>
        <v>#N/A</v>
      </c>
      <c r="AD540" t="str">
        <f>IF(Table1[[#This Row],[Position 1]]=0,"/0SAP/",MID(Table1[[#This Row],[Final Obj Name]],Table1[[#This Row],[Position 1]],Table1[[#This Row],[Position 2]]-Table1[[#This Row],[Position 1]]+1))</f>
        <v>/0SAP/</v>
      </c>
      <c r="AE540" t="str">
        <f>VLOOKUP(Table1[[#This Row],[/* Object]],Namespace!A:J,10,FALSE)</f>
        <v>SAP AG</v>
      </c>
      <c r="AF540" t="str">
        <f>IF(VLOOKUP(Table1[[#This Row],[/* Object]],Namespace!A:J,4,FALSE)=0,"",VLOOKUP(Table1[[#This Row],[/* Object]],Namespace!A:J,4,FALSE))</f>
        <v>X</v>
      </c>
      <c r="AG540" t="str">
        <f>IF(VLOOKUP(Table1[[#This Row],[/* Object]],Namespace!A:J,5,FALSE)=0,"",VLOOKUP(Table1[[#This Row],[/* Object]],Namespace!A:J,5,FALSE))</f>
        <v>X</v>
      </c>
      <c r="AH540" t="str">
        <f>IF(VLOOKUP(Table1[[#This Row],[/* Object]],Namespace!A:J,6,FALSE)=0,"",VLOOKUP(Table1[[#This Row],[/* Object]],Namespace!A:J,6,FALSE))</f>
        <v/>
      </c>
      <c r="AI540">
        <f>IFERROR(FIND("/",Table1[[#This Row],[Final Obj Name]],1),0)</f>
        <v>0</v>
      </c>
      <c r="AJ540">
        <f>IF(Table1[[#This Row],[Position 1]]=0,0,FIND("/",Table1[[#This Row],[Final Obj Name]],Table1[[#This Row],[Position 1]]+1))</f>
        <v>0</v>
      </c>
      <c r="AK540" t="str">
        <f>IF(LEFT(Table1[[#This Row],[Final Obj Name]],1)="/",LEFT(Table1[[#This Row],[Final Obj Name]],FIND("/",Table1[[#This Row],[Final Obj Name]],2)),"/0SAP/")</f>
        <v>/0SAP/</v>
      </c>
    </row>
    <row r="541">
      <c r="A541" t="str">
        <v>ENHO</v>
      </c>
      <c r="B541" t="str">
        <v>ZEI_OTC_IC_BILLNG_SRVC_CNFMN_2</v>
      </c>
      <c r="C541" t="str">
        <v>ENHO</v>
      </c>
      <c r="D541" t="str">
        <v>ZEI_OTC_IC_BILLNG_SRVC_CNFMN_2</v>
      </c>
      <c r="G541" t="str">
        <v>ALL</v>
      </c>
      <c r="L541" t="str">
        <v>CST_BSOLAIMA</v>
      </c>
      <c r="M541">
        <v>45235</v>
      </c>
      <c r="N541">
        <v>0.14869212962963</v>
      </c>
      <c r="S541" t="str">
        <v>X</v>
      </c>
      <c r="W541" t="str">
        <v>PP1K900541</v>
      </c>
      <c r="Y541">
        <f>IF(Table1[[#This Row],[OPERATION]]="NOTE","NOTE",Table1[[#This Row],[SUB_TYPE]])</f>
        <v>0</v>
      </c>
      <c r="Z541">
        <f>IF(Table1[[#This Row],[OPERATION]]="NOTE",NUMBERVALUE(LEFT(Table1[[#This Row],[MOD_NAME]],LEN(Table1[[#This Row],[MOD_NAME]])-4)),Table1[[#This Row],[SUB_NAME]])</f>
        <v>0</v>
      </c>
      <c r="AA541" t="str">
        <f>CONCAT(Table1[[#This Row],[Final Obj Type]],"|",Table1[[#This Row],[Final Obj Name]])</f>
        <v>0|0</v>
      </c>
      <c r="AB541" t="e">
        <f>VLOOKUP(Table1[[#This Row],[Final Obj Type]],Classification!B:E,3,FALSE)</f>
        <v>#N/A</v>
      </c>
      <c r="AC541" t="e">
        <f>VLOOKUP(Table1[[#This Row],[Final Obj Type]],Classification!B:E,4,FALSE)</f>
        <v>#N/A</v>
      </c>
      <c r="AD541" t="str">
        <f>IF(Table1[[#This Row],[Position 1]]=0,"/0SAP/",MID(Table1[[#This Row],[Final Obj Name]],Table1[[#This Row],[Position 1]],Table1[[#This Row],[Position 2]]-Table1[[#This Row],[Position 1]]+1))</f>
        <v>/0SAP/</v>
      </c>
      <c r="AE541" t="str">
        <f>VLOOKUP(Table1[[#This Row],[/* Object]],Namespace!A:J,10,FALSE)</f>
        <v>SAP AG</v>
      </c>
      <c r="AF541" t="str">
        <f>IF(VLOOKUP(Table1[[#This Row],[/* Object]],Namespace!A:J,4,FALSE)=0,"",VLOOKUP(Table1[[#This Row],[/* Object]],Namespace!A:J,4,FALSE))</f>
        <v>X</v>
      </c>
      <c r="AG541" t="str">
        <f>IF(VLOOKUP(Table1[[#This Row],[/* Object]],Namespace!A:J,5,FALSE)=0,"",VLOOKUP(Table1[[#This Row],[/* Object]],Namespace!A:J,5,FALSE))</f>
        <v>X</v>
      </c>
      <c r="AH541" t="str">
        <f>IF(VLOOKUP(Table1[[#This Row],[/* Object]],Namespace!A:J,6,FALSE)=0,"",VLOOKUP(Table1[[#This Row],[/* Object]],Namespace!A:J,6,FALSE))</f>
        <v/>
      </c>
      <c r="AI541">
        <f>IFERROR(FIND("/",Table1[[#This Row],[Final Obj Name]],1),0)</f>
        <v>0</v>
      </c>
      <c r="AJ541">
        <f>IF(Table1[[#This Row],[Position 1]]=0,0,FIND("/",Table1[[#This Row],[Final Obj Name]],Table1[[#This Row],[Position 1]]+1))</f>
        <v>0</v>
      </c>
      <c r="AK541" t="str">
        <f>IF(LEFT(Table1[[#This Row],[Final Obj Name]],1)="/",LEFT(Table1[[#This Row],[Final Obj Name]],FIND("/",Table1[[#This Row],[Final Obj Name]],2)),"/0SAP/")</f>
        <v>/0SAP/</v>
      </c>
    </row>
    <row r="542">
      <c r="A542" t="str">
        <v>ENHO</v>
      </c>
      <c r="B542" t="str">
        <v>ZEI_OTC_ORDER_ITEM_TEXT</v>
      </c>
      <c r="C542" t="str">
        <v>ENHO</v>
      </c>
      <c r="D542" t="str">
        <v>ZEI_OTC_ORDER_ITEM_TEXT</v>
      </c>
      <c r="G542" t="str">
        <v>ALL</v>
      </c>
      <c r="L542" t="str">
        <v>CST_BSOLAIMA</v>
      </c>
      <c r="M542">
        <v>45235</v>
      </c>
      <c r="N542">
        <v>0.14956018518519</v>
      </c>
      <c r="S542" t="str">
        <v>X</v>
      </c>
      <c r="W542" t="str">
        <v>PP1K900541</v>
      </c>
      <c r="Y542">
        <f>IF(Table1[[#This Row],[OPERATION]]="NOTE","NOTE",Table1[[#This Row],[SUB_TYPE]])</f>
        <v>0</v>
      </c>
      <c r="Z542">
        <f>IF(Table1[[#This Row],[OPERATION]]="NOTE",NUMBERVALUE(LEFT(Table1[[#This Row],[MOD_NAME]],LEN(Table1[[#This Row],[MOD_NAME]])-4)),Table1[[#This Row],[SUB_NAME]])</f>
        <v>0</v>
      </c>
      <c r="AA542" t="str">
        <f>CONCAT(Table1[[#This Row],[Final Obj Type]],"|",Table1[[#This Row],[Final Obj Name]])</f>
        <v>0|0</v>
      </c>
      <c r="AB542" t="e">
        <f>VLOOKUP(Table1[[#This Row],[Final Obj Type]],Classification!B:E,3,FALSE)</f>
        <v>#N/A</v>
      </c>
      <c r="AC542" t="e">
        <f>VLOOKUP(Table1[[#This Row],[Final Obj Type]],Classification!B:E,4,FALSE)</f>
        <v>#N/A</v>
      </c>
      <c r="AD542" t="str">
        <f>IF(Table1[[#This Row],[Position 1]]=0,"/0SAP/",MID(Table1[[#This Row],[Final Obj Name]],Table1[[#This Row],[Position 1]],Table1[[#This Row],[Position 2]]-Table1[[#This Row],[Position 1]]+1))</f>
        <v>/0SAP/</v>
      </c>
      <c r="AE542" t="str">
        <f>VLOOKUP(Table1[[#This Row],[/* Object]],Namespace!A:J,10,FALSE)</f>
        <v>SAP AG</v>
      </c>
      <c r="AF542" t="str">
        <f>IF(VLOOKUP(Table1[[#This Row],[/* Object]],Namespace!A:J,4,FALSE)=0,"",VLOOKUP(Table1[[#This Row],[/* Object]],Namespace!A:J,4,FALSE))</f>
        <v>X</v>
      </c>
      <c r="AG542" t="str">
        <f>IF(VLOOKUP(Table1[[#This Row],[/* Object]],Namespace!A:J,5,FALSE)=0,"",VLOOKUP(Table1[[#This Row],[/* Object]],Namespace!A:J,5,FALSE))</f>
        <v>X</v>
      </c>
      <c r="AH542" t="str">
        <f>IF(VLOOKUP(Table1[[#This Row],[/* Object]],Namespace!A:J,6,FALSE)=0,"",VLOOKUP(Table1[[#This Row],[/* Object]],Namespace!A:J,6,FALSE))</f>
        <v/>
      </c>
      <c r="AI542">
        <f>IFERROR(FIND("/",Table1[[#This Row],[Final Obj Name]],1),0)</f>
        <v>0</v>
      </c>
      <c r="AJ542">
        <f>IF(Table1[[#This Row],[Position 1]]=0,0,FIND("/",Table1[[#This Row],[Final Obj Name]],Table1[[#This Row],[Position 1]]+1))</f>
        <v>0</v>
      </c>
      <c r="AK542" t="str">
        <f>IF(LEFT(Table1[[#This Row],[Final Obj Name]],1)="/",LEFT(Table1[[#This Row],[Final Obj Name]],FIND("/",Table1[[#This Row],[Final Obj Name]],2)),"/0SAP/")</f>
        <v>/0SAP/</v>
      </c>
    </row>
    <row r="543">
      <c r="A543" t="str">
        <v>ENHO</v>
      </c>
      <c r="B543" t="str">
        <v>ZEI_OTC_PRICING_TKOMP</v>
      </c>
      <c r="C543" t="str">
        <v>ENHO</v>
      </c>
      <c r="D543" t="str">
        <v>ZEI_OTC_PRICING_TKOMP</v>
      </c>
      <c r="G543" t="str">
        <v>ALL</v>
      </c>
      <c r="L543">
        <v>50116387</v>
      </c>
      <c r="M543">
        <v>45096</v>
      </c>
      <c r="N543">
        <v>0.30416666666667</v>
      </c>
      <c r="S543" t="str">
        <v>X</v>
      </c>
      <c r="W543" t="str">
        <v>S01K916619</v>
      </c>
      <c r="Y543">
        <f>IF(Table1[[#This Row],[OPERATION]]="NOTE","NOTE",Table1[[#This Row],[SUB_TYPE]])</f>
        <v>0</v>
      </c>
      <c r="Z543">
        <f>IF(Table1[[#This Row],[OPERATION]]="NOTE",NUMBERVALUE(LEFT(Table1[[#This Row],[MOD_NAME]],LEN(Table1[[#This Row],[MOD_NAME]])-4)),Table1[[#This Row],[SUB_NAME]])</f>
        <v>0</v>
      </c>
      <c r="AA543" t="str">
        <f>CONCAT(Table1[[#This Row],[Final Obj Type]],"|",Table1[[#This Row],[Final Obj Name]])</f>
        <v>0|0</v>
      </c>
      <c r="AB543" t="e">
        <f>VLOOKUP(Table1[[#This Row],[Final Obj Type]],Classification!B:E,3,FALSE)</f>
        <v>#N/A</v>
      </c>
      <c r="AC543" t="e">
        <f>VLOOKUP(Table1[[#This Row],[Final Obj Type]],Classification!B:E,4,FALSE)</f>
        <v>#N/A</v>
      </c>
      <c r="AD543" t="str">
        <f>IF(Table1[[#This Row],[Position 1]]=0,"/0SAP/",MID(Table1[[#This Row],[Final Obj Name]],Table1[[#This Row],[Position 1]],Table1[[#This Row],[Position 2]]-Table1[[#This Row],[Position 1]]+1))</f>
        <v>/0SAP/</v>
      </c>
      <c r="AE543" t="str">
        <f>VLOOKUP(Table1[[#This Row],[/* Object]],Namespace!A:J,10,FALSE)</f>
        <v>SAP AG</v>
      </c>
      <c r="AF543" t="str">
        <f>IF(VLOOKUP(Table1[[#This Row],[/* Object]],Namespace!A:J,4,FALSE)=0,"",VLOOKUP(Table1[[#This Row],[/* Object]],Namespace!A:J,4,FALSE))</f>
        <v>X</v>
      </c>
      <c r="AG543" t="str">
        <f>IF(VLOOKUP(Table1[[#This Row],[/* Object]],Namespace!A:J,5,FALSE)=0,"",VLOOKUP(Table1[[#This Row],[/* Object]],Namespace!A:J,5,FALSE))</f>
        <v>X</v>
      </c>
      <c r="AH543" t="str">
        <f>IF(VLOOKUP(Table1[[#This Row],[/* Object]],Namespace!A:J,6,FALSE)=0,"",VLOOKUP(Table1[[#This Row],[/* Object]],Namespace!A:J,6,FALSE))</f>
        <v/>
      </c>
      <c r="AI543">
        <f>IFERROR(FIND("/",Table1[[#This Row],[Final Obj Name]],1),0)</f>
        <v>0</v>
      </c>
      <c r="AJ543">
        <f>IF(Table1[[#This Row],[Position 1]]=0,0,FIND("/",Table1[[#This Row],[Final Obj Name]],Table1[[#This Row],[Position 1]]+1))</f>
        <v>0</v>
      </c>
      <c r="AK543" t="str">
        <f>IF(LEFT(Table1[[#This Row],[Final Obj Name]],1)="/",LEFT(Table1[[#This Row],[Final Obj Name]],FIND("/",Table1[[#This Row],[Final Obj Name]],2)),"/0SAP/")</f>
        <v>/0SAP/</v>
      </c>
    </row>
    <row r="544">
      <c r="A544" t="str">
        <v>ENHO</v>
      </c>
      <c r="B544" t="str">
        <v>ZEI_PP_SERNRPREFIX</v>
      </c>
      <c r="C544" t="str">
        <v>ENHO</v>
      </c>
      <c r="D544" t="str">
        <v>ZEI_PP_SERNRPREFIX</v>
      </c>
      <c r="G544" t="str">
        <v>ALL</v>
      </c>
      <c r="L544" t="str">
        <v>CST_BSOLAIMA</v>
      </c>
      <c r="M544">
        <v>45234</v>
      </c>
      <c r="N544">
        <v>0.74190972222222</v>
      </c>
      <c r="S544" t="str">
        <v>X</v>
      </c>
      <c r="W544" t="str">
        <v>PP1K900541</v>
      </c>
      <c r="Y544">
        <f>IF(Table1[[#This Row],[OPERATION]]="NOTE","NOTE",Table1[[#This Row],[SUB_TYPE]])</f>
        <v>0</v>
      </c>
      <c r="Z544">
        <f>IF(Table1[[#This Row],[OPERATION]]="NOTE",NUMBERVALUE(LEFT(Table1[[#This Row],[MOD_NAME]],LEN(Table1[[#This Row],[MOD_NAME]])-4)),Table1[[#This Row],[SUB_NAME]])</f>
        <v>0</v>
      </c>
      <c r="AA544" t="str">
        <f>CONCAT(Table1[[#This Row],[Final Obj Type]],"|",Table1[[#This Row],[Final Obj Name]])</f>
        <v>0|0</v>
      </c>
      <c r="AB544" t="e">
        <f>VLOOKUP(Table1[[#This Row],[Final Obj Type]],Classification!B:E,3,FALSE)</f>
        <v>#N/A</v>
      </c>
      <c r="AC544" t="e">
        <f>VLOOKUP(Table1[[#This Row],[Final Obj Type]],Classification!B:E,4,FALSE)</f>
        <v>#N/A</v>
      </c>
      <c r="AD544" t="str">
        <f>IF(Table1[[#This Row],[Position 1]]=0,"/0SAP/",MID(Table1[[#This Row],[Final Obj Name]],Table1[[#This Row],[Position 1]],Table1[[#This Row],[Position 2]]-Table1[[#This Row],[Position 1]]+1))</f>
        <v>/0SAP/</v>
      </c>
      <c r="AE544" t="str">
        <f>VLOOKUP(Table1[[#This Row],[/* Object]],Namespace!A:J,10,FALSE)</f>
        <v>SAP AG</v>
      </c>
      <c r="AF544" t="str">
        <f>IF(VLOOKUP(Table1[[#This Row],[/* Object]],Namespace!A:J,4,FALSE)=0,"",VLOOKUP(Table1[[#This Row],[/* Object]],Namespace!A:J,4,FALSE))</f>
        <v>X</v>
      </c>
      <c r="AG544" t="str">
        <f>IF(VLOOKUP(Table1[[#This Row],[/* Object]],Namespace!A:J,5,FALSE)=0,"",VLOOKUP(Table1[[#This Row],[/* Object]],Namespace!A:J,5,FALSE))</f>
        <v>X</v>
      </c>
      <c r="AH544" t="str">
        <f>IF(VLOOKUP(Table1[[#This Row],[/* Object]],Namespace!A:J,6,FALSE)=0,"",VLOOKUP(Table1[[#This Row],[/* Object]],Namespace!A:J,6,FALSE))</f>
        <v/>
      </c>
      <c r="AI544">
        <f>IFERROR(FIND("/",Table1[[#This Row],[Final Obj Name]],1),0)</f>
        <v>0</v>
      </c>
      <c r="AJ544">
        <f>IF(Table1[[#This Row],[Position 1]]=0,0,FIND("/",Table1[[#This Row],[Final Obj Name]],Table1[[#This Row],[Position 1]]+1))</f>
        <v>0</v>
      </c>
      <c r="AK544" t="str">
        <f>IF(LEFT(Table1[[#This Row],[Final Obj Name]],1)="/",LEFT(Table1[[#This Row],[Final Obj Name]],FIND("/",Table1[[#This Row],[Final Obj Name]],2)),"/0SAP/")</f>
        <v>/0SAP/</v>
      </c>
    </row>
    <row r="545">
      <c r="A545" t="str">
        <v>ENHO</v>
      </c>
      <c r="B545" t="str">
        <v>ZEI_PS_NETWRK_ACTVTY_CHECK</v>
      </c>
      <c r="C545" t="str">
        <v>ENHO</v>
      </c>
      <c r="D545" t="str">
        <v>ZEI_PS_NETWRK_ACTVTY_CHECK</v>
      </c>
      <c r="G545" t="str">
        <v>ALL</v>
      </c>
      <c r="L545" t="str">
        <v>CST_MANORANJ</v>
      </c>
      <c r="M545">
        <v>46148</v>
      </c>
      <c r="N545">
        <v>0.70417824074074</v>
      </c>
      <c r="S545" t="str">
        <v>X</v>
      </c>
      <c r="W545" t="str">
        <v>S01K929408</v>
      </c>
      <c r="Y545">
        <f>IF(Table1[[#This Row],[OPERATION]]="NOTE","NOTE",Table1[[#This Row],[SUB_TYPE]])</f>
        <v>0</v>
      </c>
      <c r="Z545">
        <f>IF(Table1[[#This Row],[OPERATION]]="NOTE",NUMBERVALUE(LEFT(Table1[[#This Row],[MOD_NAME]],LEN(Table1[[#This Row],[MOD_NAME]])-4)),Table1[[#This Row],[SUB_NAME]])</f>
        <v>0</v>
      </c>
      <c r="AA545" t="str">
        <f>CONCAT(Table1[[#This Row],[Final Obj Type]],"|",Table1[[#This Row],[Final Obj Name]])</f>
        <v>0|0</v>
      </c>
      <c r="AB545" t="e">
        <f>VLOOKUP(Table1[[#This Row],[Final Obj Type]],Classification!B:E,3,FALSE)</f>
        <v>#N/A</v>
      </c>
      <c r="AC545" t="e">
        <f>VLOOKUP(Table1[[#This Row],[Final Obj Type]],Classification!B:E,4,FALSE)</f>
        <v>#N/A</v>
      </c>
      <c r="AD545" t="str">
        <f>IF(Table1[[#This Row],[Position 1]]=0,"/0SAP/",MID(Table1[[#This Row],[Final Obj Name]],Table1[[#This Row],[Position 1]],Table1[[#This Row],[Position 2]]-Table1[[#This Row],[Position 1]]+1))</f>
        <v>/0SAP/</v>
      </c>
      <c r="AE545" t="str">
        <f>VLOOKUP(Table1[[#This Row],[/* Object]],Namespace!A:J,10,FALSE)</f>
        <v>SAP AG</v>
      </c>
      <c r="AF545" t="str">
        <f>IF(VLOOKUP(Table1[[#This Row],[/* Object]],Namespace!A:J,4,FALSE)=0,"",VLOOKUP(Table1[[#This Row],[/* Object]],Namespace!A:J,4,FALSE))</f>
        <v>X</v>
      </c>
      <c r="AG545" t="str">
        <f>IF(VLOOKUP(Table1[[#This Row],[/* Object]],Namespace!A:J,5,FALSE)=0,"",VLOOKUP(Table1[[#This Row],[/* Object]],Namespace!A:J,5,FALSE))</f>
        <v>X</v>
      </c>
      <c r="AH545" t="str">
        <f>IF(VLOOKUP(Table1[[#This Row],[/* Object]],Namespace!A:J,6,FALSE)=0,"",VLOOKUP(Table1[[#This Row],[/* Object]],Namespace!A:J,6,FALSE))</f>
        <v/>
      </c>
      <c r="AI545">
        <f>IFERROR(FIND("/",Table1[[#This Row],[Final Obj Name]],1),0)</f>
        <v>0</v>
      </c>
      <c r="AJ545">
        <f>IF(Table1[[#This Row],[Position 1]]=0,0,FIND("/",Table1[[#This Row],[Final Obj Name]],Table1[[#This Row],[Position 1]]+1))</f>
        <v>0</v>
      </c>
      <c r="AK545" t="str">
        <f>IF(LEFT(Table1[[#This Row],[Final Obj Name]],1)="/",LEFT(Table1[[#This Row],[Final Obj Name]],FIND("/",Table1[[#This Row],[Final Obj Name]],2)),"/0SAP/")</f>
        <v>/0SAP/</v>
      </c>
    </row>
    <row r="546">
      <c r="A546" t="str">
        <v>ENHO</v>
      </c>
      <c r="B546" t="str">
        <v>ZEI_PTM_NPT_NO_QTY</v>
      </c>
      <c r="C546" t="str">
        <v>ENHO</v>
      </c>
      <c r="D546" t="str">
        <v>ZEI_PTM_NPT_NO_QTY</v>
      </c>
      <c r="G546" t="str">
        <v>ALL</v>
      </c>
      <c r="L546" t="str">
        <v>CST_BSOLAIMA</v>
      </c>
      <c r="M546">
        <v>45235</v>
      </c>
      <c r="N546">
        <v>0.15046296296296</v>
      </c>
      <c r="S546" t="str">
        <v>X</v>
      </c>
      <c r="W546" t="str">
        <v>PP1K900541</v>
      </c>
      <c r="Y546">
        <f>IF(Table1[[#This Row],[OPERATION]]="NOTE","NOTE",Table1[[#This Row],[SUB_TYPE]])</f>
        <v>0</v>
      </c>
      <c r="Z546">
        <f>IF(Table1[[#This Row],[OPERATION]]="NOTE",NUMBERVALUE(LEFT(Table1[[#This Row],[MOD_NAME]],LEN(Table1[[#This Row],[MOD_NAME]])-4)),Table1[[#This Row],[SUB_NAME]])</f>
        <v>0</v>
      </c>
      <c r="AA546" t="str">
        <f>CONCAT(Table1[[#This Row],[Final Obj Type]],"|",Table1[[#This Row],[Final Obj Name]])</f>
        <v>0|0</v>
      </c>
      <c r="AB546" t="e">
        <f>VLOOKUP(Table1[[#This Row],[Final Obj Type]],Classification!B:E,3,FALSE)</f>
        <v>#N/A</v>
      </c>
      <c r="AC546" t="e">
        <f>VLOOKUP(Table1[[#This Row],[Final Obj Type]],Classification!B:E,4,FALSE)</f>
        <v>#N/A</v>
      </c>
      <c r="AD546" t="str">
        <f>IF(Table1[[#This Row],[Position 1]]=0,"/0SAP/",MID(Table1[[#This Row],[Final Obj Name]],Table1[[#This Row],[Position 1]],Table1[[#This Row],[Position 2]]-Table1[[#This Row],[Position 1]]+1))</f>
        <v>/0SAP/</v>
      </c>
      <c r="AE546" t="str">
        <f>VLOOKUP(Table1[[#This Row],[/* Object]],Namespace!A:J,10,FALSE)</f>
        <v>SAP AG</v>
      </c>
      <c r="AF546" t="str">
        <f>IF(VLOOKUP(Table1[[#This Row],[/* Object]],Namespace!A:J,4,FALSE)=0,"",VLOOKUP(Table1[[#This Row],[/* Object]],Namespace!A:J,4,FALSE))</f>
        <v>X</v>
      </c>
      <c r="AG546" t="str">
        <f>IF(VLOOKUP(Table1[[#This Row],[/* Object]],Namespace!A:J,5,FALSE)=0,"",VLOOKUP(Table1[[#This Row],[/* Object]],Namespace!A:J,5,FALSE))</f>
        <v>X</v>
      </c>
      <c r="AH546" t="str">
        <f>IF(VLOOKUP(Table1[[#This Row],[/* Object]],Namespace!A:J,6,FALSE)=0,"",VLOOKUP(Table1[[#This Row],[/* Object]],Namespace!A:J,6,FALSE))</f>
        <v/>
      </c>
      <c r="AI546">
        <f>IFERROR(FIND("/",Table1[[#This Row],[Final Obj Name]],1),0)</f>
        <v>0</v>
      </c>
      <c r="AJ546">
        <f>IF(Table1[[#This Row],[Position 1]]=0,0,FIND("/",Table1[[#This Row],[Final Obj Name]],Table1[[#This Row],[Position 1]]+1))</f>
        <v>0</v>
      </c>
      <c r="AK546" t="str">
        <f>IF(LEFT(Table1[[#This Row],[Final Obj Name]],1)="/",LEFT(Table1[[#This Row],[Final Obj Name]],FIND("/",Table1[[#This Row],[Final Obj Name]],2)),"/0SAP/")</f>
        <v>/0SAP/</v>
      </c>
    </row>
    <row r="547">
      <c r="A547" t="str">
        <v>ENHO</v>
      </c>
      <c r="B547" t="str">
        <v>ZEI_PTP_MASS_CONFRMTION_CHANGE</v>
      </c>
      <c r="C547" t="str">
        <v>ENHO</v>
      </c>
      <c r="D547" t="str">
        <v>ZEI_PTP_MASS_CONFRMTION_CHANGE</v>
      </c>
      <c r="G547" t="str">
        <v>ALL</v>
      </c>
      <c r="L547" t="str">
        <v>CST_BSOLAIMA</v>
      </c>
      <c r="M547">
        <v>45235</v>
      </c>
      <c r="N547">
        <v>0.15180555555556</v>
      </c>
      <c r="S547" t="str">
        <v>X</v>
      </c>
      <c r="W547" t="str">
        <v>PP1K900541</v>
      </c>
      <c r="Y547">
        <f>IF(Table1[[#This Row],[OPERATION]]="NOTE","NOTE",Table1[[#This Row],[SUB_TYPE]])</f>
        <v>0</v>
      </c>
      <c r="Z547">
        <f>IF(Table1[[#This Row],[OPERATION]]="NOTE",NUMBERVALUE(LEFT(Table1[[#This Row],[MOD_NAME]],LEN(Table1[[#This Row],[MOD_NAME]])-4)),Table1[[#This Row],[SUB_NAME]])</f>
        <v>0</v>
      </c>
      <c r="AA547" t="str">
        <f>CONCAT(Table1[[#This Row],[Final Obj Type]],"|",Table1[[#This Row],[Final Obj Name]])</f>
        <v>0|0</v>
      </c>
      <c r="AB547" t="e">
        <f>VLOOKUP(Table1[[#This Row],[Final Obj Type]],Classification!B:E,3,FALSE)</f>
        <v>#N/A</v>
      </c>
      <c r="AC547" t="e">
        <f>VLOOKUP(Table1[[#This Row],[Final Obj Type]],Classification!B:E,4,FALSE)</f>
        <v>#N/A</v>
      </c>
      <c r="AD547" t="str">
        <f>IF(Table1[[#This Row],[Position 1]]=0,"/0SAP/",MID(Table1[[#This Row],[Final Obj Name]],Table1[[#This Row],[Position 1]],Table1[[#This Row],[Position 2]]-Table1[[#This Row],[Position 1]]+1))</f>
        <v>/0SAP/</v>
      </c>
      <c r="AE547" t="str">
        <f>VLOOKUP(Table1[[#This Row],[/* Object]],Namespace!A:J,10,FALSE)</f>
        <v>SAP AG</v>
      </c>
      <c r="AF547" t="str">
        <f>IF(VLOOKUP(Table1[[#This Row],[/* Object]],Namespace!A:J,4,FALSE)=0,"",VLOOKUP(Table1[[#This Row],[/* Object]],Namespace!A:J,4,FALSE))</f>
        <v>X</v>
      </c>
      <c r="AG547" t="str">
        <f>IF(VLOOKUP(Table1[[#This Row],[/* Object]],Namespace!A:J,5,FALSE)=0,"",VLOOKUP(Table1[[#This Row],[/* Object]],Namespace!A:J,5,FALSE))</f>
        <v>X</v>
      </c>
      <c r="AH547" t="str">
        <f>IF(VLOOKUP(Table1[[#This Row],[/* Object]],Namespace!A:J,6,FALSE)=0,"",VLOOKUP(Table1[[#This Row],[/* Object]],Namespace!A:J,6,FALSE))</f>
        <v/>
      </c>
      <c r="AI547">
        <f>IFERROR(FIND("/",Table1[[#This Row],[Final Obj Name]],1),0)</f>
        <v>0</v>
      </c>
      <c r="AJ547">
        <f>IF(Table1[[#This Row],[Position 1]]=0,0,FIND("/",Table1[[#This Row],[Final Obj Name]],Table1[[#This Row],[Position 1]]+1))</f>
        <v>0</v>
      </c>
      <c r="AK547" t="str">
        <f>IF(LEFT(Table1[[#This Row],[Final Obj Name]],1)="/",LEFT(Table1[[#This Row],[Final Obj Name]],FIND("/",Table1[[#This Row],[Final Obj Name]],2)),"/0SAP/")</f>
        <v>/0SAP/</v>
      </c>
    </row>
    <row r="548">
      <c r="A548" t="str">
        <v>ENHO</v>
      </c>
      <c r="B548" t="str">
        <v>ZEI_PTP_MB_POST_GOODS_MOVEMENT</v>
      </c>
      <c r="C548" t="str">
        <v>ENHO</v>
      </c>
      <c r="D548" t="str">
        <v>ZEI_PTP_MB_POST_GOODS_MOVEMENT</v>
      </c>
      <c r="G548" t="str">
        <v>ALL</v>
      </c>
      <c r="L548" t="str">
        <v>CST_BSOLAIMA</v>
      </c>
      <c r="M548">
        <v>45235</v>
      </c>
      <c r="N548">
        <v>0.15253472222222</v>
      </c>
      <c r="S548" t="str">
        <v>X</v>
      </c>
      <c r="W548" t="str">
        <v>PP1K900541</v>
      </c>
      <c r="Y548">
        <f>IF(Table1[[#This Row],[OPERATION]]="NOTE","NOTE",Table1[[#This Row],[SUB_TYPE]])</f>
        <v>0</v>
      </c>
      <c r="Z548">
        <f>IF(Table1[[#This Row],[OPERATION]]="NOTE",NUMBERVALUE(LEFT(Table1[[#This Row],[MOD_NAME]],LEN(Table1[[#This Row],[MOD_NAME]])-4)),Table1[[#This Row],[SUB_NAME]])</f>
        <v>0</v>
      </c>
      <c r="AA548" t="str">
        <f>CONCAT(Table1[[#This Row],[Final Obj Type]],"|",Table1[[#This Row],[Final Obj Name]])</f>
        <v>0|0</v>
      </c>
      <c r="AB548" t="e">
        <f>VLOOKUP(Table1[[#This Row],[Final Obj Type]],Classification!B:E,3,FALSE)</f>
        <v>#N/A</v>
      </c>
      <c r="AC548" t="e">
        <f>VLOOKUP(Table1[[#This Row],[Final Obj Type]],Classification!B:E,4,FALSE)</f>
        <v>#N/A</v>
      </c>
      <c r="AD548" t="str">
        <f>IF(Table1[[#This Row],[Position 1]]=0,"/0SAP/",MID(Table1[[#This Row],[Final Obj Name]],Table1[[#This Row],[Position 1]],Table1[[#This Row],[Position 2]]-Table1[[#This Row],[Position 1]]+1))</f>
        <v>/0SAP/</v>
      </c>
      <c r="AE548" t="str">
        <f>VLOOKUP(Table1[[#This Row],[/* Object]],Namespace!A:J,10,FALSE)</f>
        <v>SAP AG</v>
      </c>
      <c r="AF548" t="str">
        <f>IF(VLOOKUP(Table1[[#This Row],[/* Object]],Namespace!A:J,4,FALSE)=0,"",VLOOKUP(Table1[[#This Row],[/* Object]],Namespace!A:J,4,FALSE))</f>
        <v>X</v>
      </c>
      <c r="AG548" t="str">
        <f>IF(VLOOKUP(Table1[[#This Row],[/* Object]],Namespace!A:J,5,FALSE)=0,"",VLOOKUP(Table1[[#This Row],[/* Object]],Namespace!A:J,5,FALSE))</f>
        <v>X</v>
      </c>
      <c r="AH548" t="str">
        <f>IF(VLOOKUP(Table1[[#This Row],[/* Object]],Namespace!A:J,6,FALSE)=0,"",VLOOKUP(Table1[[#This Row],[/* Object]],Namespace!A:J,6,FALSE))</f>
        <v/>
      </c>
      <c r="AI548">
        <f>IFERROR(FIND("/",Table1[[#This Row],[Final Obj Name]],1),0)</f>
        <v>0</v>
      </c>
      <c r="AJ548">
        <f>IF(Table1[[#This Row],[Position 1]]=0,0,FIND("/",Table1[[#This Row],[Final Obj Name]],Table1[[#This Row],[Position 1]]+1))</f>
        <v>0</v>
      </c>
      <c r="AK548" t="str">
        <f>IF(LEFT(Table1[[#This Row],[Final Obj Name]],1)="/",LEFT(Table1[[#This Row],[Final Obj Name]],FIND("/",Table1[[#This Row],[Final Obj Name]],2)),"/0SAP/")</f>
        <v>/0SAP/</v>
      </c>
    </row>
    <row r="549">
      <c r="A549" t="str">
        <v>ENHO</v>
      </c>
      <c r="B549" t="str">
        <v>ZEI_PTP_ME_CONFIRMATION_MNTN</v>
      </c>
      <c r="C549" t="str">
        <v>ENHO</v>
      </c>
      <c r="D549" t="str">
        <v>ZEI_PTP_ME_CONFIRMATION_MNTN</v>
      </c>
      <c r="G549" t="str">
        <v>ALL</v>
      </c>
      <c r="L549" t="str">
        <v>CST_BSOLAIMA</v>
      </c>
      <c r="M549">
        <v>45234</v>
      </c>
      <c r="N549">
        <v>0.74283564814815</v>
      </c>
      <c r="S549" t="str">
        <v>X</v>
      </c>
      <c r="W549" t="str">
        <v>PP1K900541</v>
      </c>
      <c r="Y549">
        <f>IF(Table1[[#This Row],[OPERATION]]="NOTE","NOTE",Table1[[#This Row],[SUB_TYPE]])</f>
        <v>0</v>
      </c>
      <c r="Z549">
        <f>IF(Table1[[#This Row],[OPERATION]]="NOTE",NUMBERVALUE(LEFT(Table1[[#This Row],[MOD_NAME]],LEN(Table1[[#This Row],[MOD_NAME]])-4)),Table1[[#This Row],[SUB_NAME]])</f>
        <v>0</v>
      </c>
      <c r="AA549" t="str">
        <f>CONCAT(Table1[[#This Row],[Final Obj Type]],"|",Table1[[#This Row],[Final Obj Name]])</f>
        <v>0|0</v>
      </c>
      <c r="AB549" t="e">
        <f>VLOOKUP(Table1[[#This Row],[Final Obj Type]],Classification!B:E,3,FALSE)</f>
        <v>#N/A</v>
      </c>
      <c r="AC549" t="e">
        <f>VLOOKUP(Table1[[#This Row],[Final Obj Type]],Classification!B:E,4,FALSE)</f>
        <v>#N/A</v>
      </c>
      <c r="AD549" t="str">
        <f>IF(Table1[[#This Row],[Position 1]]=0,"/0SAP/",MID(Table1[[#This Row],[Final Obj Name]],Table1[[#This Row],[Position 1]],Table1[[#This Row],[Position 2]]-Table1[[#This Row],[Position 1]]+1))</f>
        <v>/0SAP/</v>
      </c>
      <c r="AE549" t="str">
        <f>VLOOKUP(Table1[[#This Row],[/* Object]],Namespace!A:J,10,FALSE)</f>
        <v>SAP AG</v>
      </c>
      <c r="AF549" t="str">
        <f>IF(VLOOKUP(Table1[[#This Row],[/* Object]],Namespace!A:J,4,FALSE)=0,"",VLOOKUP(Table1[[#This Row],[/* Object]],Namespace!A:J,4,FALSE))</f>
        <v>X</v>
      </c>
      <c r="AG549" t="str">
        <f>IF(VLOOKUP(Table1[[#This Row],[/* Object]],Namespace!A:J,5,FALSE)=0,"",VLOOKUP(Table1[[#This Row],[/* Object]],Namespace!A:J,5,FALSE))</f>
        <v>X</v>
      </c>
      <c r="AH549" t="str">
        <f>IF(VLOOKUP(Table1[[#This Row],[/* Object]],Namespace!A:J,6,FALSE)=0,"",VLOOKUP(Table1[[#This Row],[/* Object]],Namespace!A:J,6,FALSE))</f>
        <v/>
      </c>
      <c r="AI549">
        <f>IFERROR(FIND("/",Table1[[#This Row],[Final Obj Name]],1),0)</f>
        <v>0</v>
      </c>
      <c r="AJ549">
        <f>IF(Table1[[#This Row],[Position 1]]=0,0,FIND("/",Table1[[#This Row],[Final Obj Name]],Table1[[#This Row],[Position 1]]+1))</f>
        <v>0</v>
      </c>
      <c r="AK549" t="str">
        <f>IF(LEFT(Table1[[#This Row],[Final Obj Name]],1)="/",LEFT(Table1[[#This Row],[Final Obj Name]],FIND("/",Table1[[#This Row],[Final Obj Name]],2)),"/0SAP/")</f>
        <v>/0SAP/</v>
      </c>
    </row>
    <row r="550">
      <c r="A550" t="str">
        <v>ENHO</v>
      </c>
      <c r="B550" t="str">
        <v>ZEI_PTP_PO_MASS_CONFIRMATION</v>
      </c>
      <c r="C550" t="str">
        <v>ENHO</v>
      </c>
      <c r="D550" t="str">
        <v>ZEI_PTP_PO_MASS_CONFIRMATION</v>
      </c>
      <c r="G550" t="str">
        <v>ALL</v>
      </c>
      <c r="L550" t="str">
        <v>CST_BSOLAIMA</v>
      </c>
      <c r="M550">
        <v>45234</v>
      </c>
      <c r="N550">
        <v>0.74503472222222</v>
      </c>
      <c r="S550" t="str">
        <v>X</v>
      </c>
      <c r="W550" t="str">
        <v>PP1K900541</v>
      </c>
      <c r="Y550">
        <f>IF(Table1[[#This Row],[OPERATION]]="NOTE","NOTE",Table1[[#This Row],[SUB_TYPE]])</f>
        <v>0</v>
      </c>
      <c r="Z550">
        <f>IF(Table1[[#This Row],[OPERATION]]="NOTE",NUMBERVALUE(LEFT(Table1[[#This Row],[MOD_NAME]],LEN(Table1[[#This Row],[MOD_NAME]])-4)),Table1[[#This Row],[SUB_NAME]])</f>
        <v>0</v>
      </c>
      <c r="AA550" t="str">
        <f>CONCAT(Table1[[#This Row],[Final Obj Type]],"|",Table1[[#This Row],[Final Obj Name]])</f>
        <v>0|0</v>
      </c>
      <c r="AB550" t="e">
        <f>VLOOKUP(Table1[[#This Row],[Final Obj Type]],Classification!B:E,3,FALSE)</f>
        <v>#N/A</v>
      </c>
      <c r="AC550" t="e">
        <f>VLOOKUP(Table1[[#This Row],[Final Obj Type]],Classification!B:E,4,FALSE)</f>
        <v>#N/A</v>
      </c>
      <c r="AD550" t="str">
        <f>IF(Table1[[#This Row],[Position 1]]=0,"/0SAP/",MID(Table1[[#This Row],[Final Obj Name]],Table1[[#This Row],[Position 1]],Table1[[#This Row],[Position 2]]-Table1[[#This Row],[Position 1]]+1))</f>
        <v>/0SAP/</v>
      </c>
      <c r="AE550" t="str">
        <f>VLOOKUP(Table1[[#This Row],[/* Object]],Namespace!A:J,10,FALSE)</f>
        <v>SAP AG</v>
      </c>
      <c r="AF550" t="str">
        <f>IF(VLOOKUP(Table1[[#This Row],[/* Object]],Namespace!A:J,4,FALSE)=0,"",VLOOKUP(Table1[[#This Row],[/* Object]],Namespace!A:J,4,FALSE))</f>
        <v>X</v>
      </c>
      <c r="AG550" t="str">
        <f>IF(VLOOKUP(Table1[[#This Row],[/* Object]],Namespace!A:J,5,FALSE)=0,"",VLOOKUP(Table1[[#This Row],[/* Object]],Namespace!A:J,5,FALSE))</f>
        <v>X</v>
      </c>
      <c r="AH550" t="str">
        <f>IF(VLOOKUP(Table1[[#This Row],[/* Object]],Namespace!A:J,6,FALSE)=0,"",VLOOKUP(Table1[[#This Row],[/* Object]],Namespace!A:J,6,FALSE))</f>
        <v/>
      </c>
      <c r="AI550">
        <f>IFERROR(FIND("/",Table1[[#This Row],[Final Obj Name]],1),0)</f>
        <v>0</v>
      </c>
      <c r="AJ550">
        <f>IF(Table1[[#This Row],[Position 1]]=0,0,FIND("/",Table1[[#This Row],[Final Obj Name]],Table1[[#This Row],[Position 1]]+1))</f>
        <v>0</v>
      </c>
      <c r="AK550" t="str">
        <f>IF(LEFT(Table1[[#This Row],[Final Obj Name]],1)="/",LEFT(Table1[[#This Row],[Final Obj Name]],FIND("/",Table1[[#This Row],[Final Obj Name]],2)),"/0SAP/")</f>
        <v>/0SAP/</v>
      </c>
    </row>
    <row r="551">
      <c r="A551" t="str">
        <v>ENHO</v>
      </c>
      <c r="B551" t="str">
        <v>ZEI_PTP_PO_UPD_MULT_LINE</v>
      </c>
      <c r="C551" t="str">
        <v>ENHO</v>
      </c>
      <c r="D551" t="str">
        <v>ZEI_PTP_PO_UPD_MULT_LINE</v>
      </c>
      <c r="G551" t="str">
        <v>ALL</v>
      </c>
      <c r="L551" t="str">
        <v>CST_BSOLAIMA</v>
      </c>
      <c r="M551">
        <v>45235</v>
      </c>
      <c r="N551">
        <v>0.15309027777778</v>
      </c>
      <c r="S551" t="str">
        <v>X</v>
      </c>
      <c r="W551" t="str">
        <v>PP1K900541</v>
      </c>
      <c r="Y551">
        <f>IF(Table1[[#This Row],[OPERATION]]="NOTE","NOTE",Table1[[#This Row],[SUB_TYPE]])</f>
        <v>0</v>
      </c>
      <c r="Z551">
        <f>IF(Table1[[#This Row],[OPERATION]]="NOTE",NUMBERVALUE(LEFT(Table1[[#This Row],[MOD_NAME]],LEN(Table1[[#This Row],[MOD_NAME]])-4)),Table1[[#This Row],[SUB_NAME]])</f>
        <v>0</v>
      </c>
      <c r="AA551" t="str">
        <f>CONCAT(Table1[[#This Row],[Final Obj Type]],"|",Table1[[#This Row],[Final Obj Name]])</f>
        <v>0|0</v>
      </c>
      <c r="AB551" t="e">
        <f>VLOOKUP(Table1[[#This Row],[Final Obj Type]],Classification!B:E,3,FALSE)</f>
        <v>#N/A</v>
      </c>
      <c r="AC551" t="e">
        <f>VLOOKUP(Table1[[#This Row],[Final Obj Type]],Classification!B:E,4,FALSE)</f>
        <v>#N/A</v>
      </c>
      <c r="AD551" t="str">
        <f>IF(Table1[[#This Row],[Position 1]]=0,"/0SAP/",MID(Table1[[#This Row],[Final Obj Name]],Table1[[#This Row],[Position 1]],Table1[[#This Row],[Position 2]]-Table1[[#This Row],[Position 1]]+1))</f>
        <v>/0SAP/</v>
      </c>
      <c r="AE551" t="str">
        <f>VLOOKUP(Table1[[#This Row],[/* Object]],Namespace!A:J,10,FALSE)</f>
        <v>SAP AG</v>
      </c>
      <c r="AF551" t="str">
        <f>IF(VLOOKUP(Table1[[#This Row],[/* Object]],Namespace!A:J,4,FALSE)=0,"",VLOOKUP(Table1[[#This Row],[/* Object]],Namespace!A:J,4,FALSE))</f>
        <v>X</v>
      </c>
      <c r="AG551" t="str">
        <f>IF(VLOOKUP(Table1[[#This Row],[/* Object]],Namespace!A:J,5,FALSE)=0,"",VLOOKUP(Table1[[#This Row],[/* Object]],Namespace!A:J,5,FALSE))</f>
        <v>X</v>
      </c>
      <c r="AH551" t="str">
        <f>IF(VLOOKUP(Table1[[#This Row],[/* Object]],Namespace!A:J,6,FALSE)=0,"",VLOOKUP(Table1[[#This Row],[/* Object]],Namespace!A:J,6,FALSE))</f>
        <v/>
      </c>
      <c r="AI551">
        <f>IFERROR(FIND("/",Table1[[#This Row],[Final Obj Name]],1),0)</f>
        <v>0</v>
      </c>
      <c r="AJ551">
        <f>IF(Table1[[#This Row],[Position 1]]=0,0,FIND("/",Table1[[#This Row],[Final Obj Name]],Table1[[#This Row],[Position 1]]+1))</f>
        <v>0</v>
      </c>
      <c r="AK551" t="str">
        <f>IF(LEFT(Table1[[#This Row],[Final Obj Name]],1)="/",LEFT(Table1[[#This Row],[Final Obj Name]],FIND("/",Table1[[#This Row],[Final Obj Name]],2)),"/0SAP/")</f>
        <v>/0SAP/</v>
      </c>
    </row>
    <row r="552">
      <c r="A552" t="str">
        <v>ENHO</v>
      </c>
      <c r="B552" t="str">
        <v>ZEI_PTP_RCV_APP_FILL_COO</v>
      </c>
      <c r="C552" t="str">
        <v>ENHO</v>
      </c>
      <c r="D552" t="str">
        <v>ZEI_PTP_RCV_APP_FILL_COO</v>
      </c>
      <c r="G552" t="str">
        <v>ALL</v>
      </c>
      <c r="L552" t="str">
        <v>CST_JTUGHLAQ</v>
      </c>
      <c r="M552">
        <v>45122</v>
      </c>
      <c r="N552">
        <v>0.38928240740741</v>
      </c>
      <c r="S552" t="str">
        <v>X</v>
      </c>
      <c r="W552" t="str">
        <v>S01K917036</v>
      </c>
      <c r="Y552">
        <f>IF(Table1[[#This Row],[OPERATION]]="NOTE","NOTE",Table1[[#This Row],[SUB_TYPE]])</f>
        <v>0</v>
      </c>
      <c r="Z552">
        <f>IF(Table1[[#This Row],[OPERATION]]="NOTE",NUMBERVALUE(LEFT(Table1[[#This Row],[MOD_NAME]],LEN(Table1[[#This Row],[MOD_NAME]])-4)),Table1[[#This Row],[SUB_NAME]])</f>
        <v>0</v>
      </c>
      <c r="AA552" t="str">
        <f>CONCAT(Table1[[#This Row],[Final Obj Type]],"|",Table1[[#This Row],[Final Obj Name]])</f>
        <v>0|0</v>
      </c>
      <c r="AB552" t="e">
        <f>VLOOKUP(Table1[[#This Row],[Final Obj Type]],Classification!B:E,3,FALSE)</f>
        <v>#N/A</v>
      </c>
      <c r="AC552" t="e">
        <f>VLOOKUP(Table1[[#This Row],[Final Obj Type]],Classification!B:E,4,FALSE)</f>
        <v>#N/A</v>
      </c>
      <c r="AD552" t="str">
        <f>IF(Table1[[#This Row],[Position 1]]=0,"/0SAP/",MID(Table1[[#This Row],[Final Obj Name]],Table1[[#This Row],[Position 1]],Table1[[#This Row],[Position 2]]-Table1[[#This Row],[Position 1]]+1))</f>
        <v>/0SAP/</v>
      </c>
      <c r="AE552" t="str">
        <f>VLOOKUP(Table1[[#This Row],[/* Object]],Namespace!A:J,10,FALSE)</f>
        <v>SAP AG</v>
      </c>
      <c r="AF552" t="str">
        <f>IF(VLOOKUP(Table1[[#This Row],[/* Object]],Namespace!A:J,4,FALSE)=0,"",VLOOKUP(Table1[[#This Row],[/* Object]],Namespace!A:J,4,FALSE))</f>
        <v>X</v>
      </c>
      <c r="AG552" t="str">
        <f>IF(VLOOKUP(Table1[[#This Row],[/* Object]],Namespace!A:J,5,FALSE)=0,"",VLOOKUP(Table1[[#This Row],[/* Object]],Namespace!A:J,5,FALSE))</f>
        <v>X</v>
      </c>
      <c r="AH552" t="str">
        <f>IF(VLOOKUP(Table1[[#This Row],[/* Object]],Namespace!A:J,6,FALSE)=0,"",VLOOKUP(Table1[[#This Row],[/* Object]],Namespace!A:J,6,FALSE))</f>
        <v/>
      </c>
      <c r="AI552">
        <f>IFERROR(FIND("/",Table1[[#This Row],[Final Obj Name]],1),0)</f>
        <v>0</v>
      </c>
      <c r="AJ552">
        <f>IF(Table1[[#This Row],[Position 1]]=0,0,FIND("/",Table1[[#This Row],[Final Obj Name]],Table1[[#This Row],[Position 1]]+1))</f>
        <v>0</v>
      </c>
      <c r="AK552" t="str">
        <f>IF(LEFT(Table1[[#This Row],[Final Obj Name]],1)="/",LEFT(Table1[[#This Row],[Final Obj Name]],FIND("/",Table1[[#This Row],[Final Obj Name]],2)),"/0SAP/")</f>
        <v>/0SAP/</v>
      </c>
    </row>
    <row r="553">
      <c r="A553" t="str">
        <v>ENHO</v>
      </c>
      <c r="B553" t="str">
        <v>ZEI_PTP_RCV_ASN_APP_FLT_ITEMS</v>
      </c>
      <c r="C553" t="str">
        <v>ENHO</v>
      </c>
      <c r="D553" t="str">
        <v>ZEI_PTP_RCV_ASN_APP_FLT_ITEMS</v>
      </c>
      <c r="G553" t="str">
        <v>ALL</v>
      </c>
      <c r="L553" t="str">
        <v>CST_JTUGHLAQ</v>
      </c>
      <c r="M553">
        <v>45122</v>
      </c>
      <c r="N553">
        <v>0.38987268518519</v>
      </c>
      <c r="S553" t="str">
        <v>X</v>
      </c>
      <c r="W553" t="str">
        <v>S01K917036</v>
      </c>
      <c r="Y553">
        <f>IF(Table1[[#This Row],[OPERATION]]="NOTE","NOTE",Table1[[#This Row],[SUB_TYPE]])</f>
        <v>0</v>
      </c>
      <c r="Z553">
        <f>IF(Table1[[#This Row],[OPERATION]]="NOTE",NUMBERVALUE(LEFT(Table1[[#This Row],[MOD_NAME]],LEN(Table1[[#This Row],[MOD_NAME]])-4)),Table1[[#This Row],[SUB_NAME]])</f>
        <v>0</v>
      </c>
      <c r="AA553" t="str">
        <f>CONCAT(Table1[[#This Row],[Final Obj Type]],"|",Table1[[#This Row],[Final Obj Name]])</f>
        <v>0|0</v>
      </c>
      <c r="AB553" t="e">
        <f>VLOOKUP(Table1[[#This Row],[Final Obj Type]],Classification!B:E,3,FALSE)</f>
        <v>#N/A</v>
      </c>
      <c r="AC553" t="e">
        <f>VLOOKUP(Table1[[#This Row],[Final Obj Type]],Classification!B:E,4,FALSE)</f>
        <v>#N/A</v>
      </c>
      <c r="AD553" t="str">
        <f>IF(Table1[[#This Row],[Position 1]]=0,"/0SAP/",MID(Table1[[#This Row],[Final Obj Name]],Table1[[#This Row],[Position 1]],Table1[[#This Row],[Position 2]]-Table1[[#This Row],[Position 1]]+1))</f>
        <v>/0SAP/</v>
      </c>
      <c r="AE553" t="str">
        <f>VLOOKUP(Table1[[#This Row],[/* Object]],Namespace!A:J,10,FALSE)</f>
        <v>SAP AG</v>
      </c>
      <c r="AF553" t="str">
        <f>IF(VLOOKUP(Table1[[#This Row],[/* Object]],Namespace!A:J,4,FALSE)=0,"",VLOOKUP(Table1[[#This Row],[/* Object]],Namespace!A:J,4,FALSE))</f>
        <v>X</v>
      </c>
      <c r="AG553" t="str">
        <f>IF(VLOOKUP(Table1[[#This Row],[/* Object]],Namespace!A:J,5,FALSE)=0,"",VLOOKUP(Table1[[#This Row],[/* Object]],Namespace!A:J,5,FALSE))</f>
        <v>X</v>
      </c>
      <c r="AH553" t="str">
        <f>IF(VLOOKUP(Table1[[#This Row],[/* Object]],Namespace!A:J,6,FALSE)=0,"",VLOOKUP(Table1[[#This Row],[/* Object]],Namespace!A:J,6,FALSE))</f>
        <v/>
      </c>
      <c r="AI553">
        <f>IFERROR(FIND("/",Table1[[#This Row],[Final Obj Name]],1),0)</f>
        <v>0</v>
      </c>
      <c r="AJ553">
        <f>IF(Table1[[#This Row],[Position 1]]=0,0,FIND("/",Table1[[#This Row],[Final Obj Name]],Table1[[#This Row],[Position 1]]+1))</f>
        <v>0</v>
      </c>
      <c r="AK553" t="str">
        <f>IF(LEFT(Table1[[#This Row],[Final Obj Name]],1)="/",LEFT(Table1[[#This Row],[Final Obj Name]],FIND("/",Table1[[#This Row],[Final Obj Name]],2)),"/0SAP/")</f>
        <v>/0SAP/</v>
      </c>
    </row>
    <row r="554">
      <c r="A554" t="str">
        <v>ENHO</v>
      </c>
      <c r="B554" t="str">
        <v>ZEI_PTP_RCV_ASN_APP_SCWM_IBDLV</v>
      </c>
      <c r="C554" t="str">
        <v>ENHO</v>
      </c>
      <c r="D554" t="str">
        <v>ZEI_PTP_RCV_ASN_APP_SCWM_IBDLV</v>
      </c>
      <c r="G554" t="str">
        <v>ALL</v>
      </c>
      <c r="L554" t="str">
        <v>CST_BSOLAIMA</v>
      </c>
      <c r="M554">
        <v>45234</v>
      </c>
      <c r="N554">
        <v>0.74554398148148</v>
      </c>
      <c r="S554" t="str">
        <v>X</v>
      </c>
      <c r="W554" t="str">
        <v>PP1K900541</v>
      </c>
      <c r="Y554">
        <f>IF(Table1[[#This Row],[OPERATION]]="NOTE","NOTE",Table1[[#This Row],[SUB_TYPE]])</f>
        <v>0</v>
      </c>
      <c r="Z554">
        <f>IF(Table1[[#This Row],[OPERATION]]="NOTE",NUMBERVALUE(LEFT(Table1[[#This Row],[MOD_NAME]],LEN(Table1[[#This Row],[MOD_NAME]])-4)),Table1[[#This Row],[SUB_NAME]])</f>
        <v>0</v>
      </c>
      <c r="AA554" t="str">
        <f>CONCAT(Table1[[#This Row],[Final Obj Type]],"|",Table1[[#This Row],[Final Obj Name]])</f>
        <v>0|0</v>
      </c>
      <c r="AB554" t="e">
        <f>VLOOKUP(Table1[[#This Row],[Final Obj Type]],Classification!B:E,3,FALSE)</f>
        <v>#N/A</v>
      </c>
      <c r="AC554" t="e">
        <f>VLOOKUP(Table1[[#This Row],[Final Obj Type]],Classification!B:E,4,FALSE)</f>
        <v>#N/A</v>
      </c>
      <c r="AD554" t="str">
        <f>IF(Table1[[#This Row],[Position 1]]=0,"/0SAP/",MID(Table1[[#This Row],[Final Obj Name]],Table1[[#This Row],[Position 1]],Table1[[#This Row],[Position 2]]-Table1[[#This Row],[Position 1]]+1))</f>
        <v>/0SAP/</v>
      </c>
      <c r="AE554" t="str">
        <f>VLOOKUP(Table1[[#This Row],[/* Object]],Namespace!A:J,10,FALSE)</f>
        <v>SAP AG</v>
      </c>
      <c r="AF554" t="str">
        <f>IF(VLOOKUP(Table1[[#This Row],[/* Object]],Namespace!A:J,4,FALSE)=0,"",VLOOKUP(Table1[[#This Row],[/* Object]],Namespace!A:J,4,FALSE))</f>
        <v>X</v>
      </c>
      <c r="AG554" t="str">
        <f>IF(VLOOKUP(Table1[[#This Row],[/* Object]],Namespace!A:J,5,FALSE)=0,"",VLOOKUP(Table1[[#This Row],[/* Object]],Namespace!A:J,5,FALSE))</f>
        <v>X</v>
      </c>
      <c r="AH554" t="str">
        <f>IF(VLOOKUP(Table1[[#This Row],[/* Object]],Namespace!A:J,6,FALSE)=0,"",VLOOKUP(Table1[[#This Row],[/* Object]],Namespace!A:J,6,FALSE))</f>
        <v/>
      </c>
      <c r="AI554">
        <f>IFERROR(FIND("/",Table1[[#This Row],[Final Obj Name]],1),0)</f>
        <v>0</v>
      </c>
      <c r="AJ554">
        <f>IF(Table1[[#This Row],[Position 1]]=0,0,FIND("/",Table1[[#This Row],[Final Obj Name]],Table1[[#This Row],[Position 1]]+1))</f>
        <v>0</v>
      </c>
      <c r="AK554" t="str">
        <f>IF(LEFT(Table1[[#This Row],[Final Obj Name]],1)="/",LEFT(Table1[[#This Row],[Final Obj Name]],FIND("/",Table1[[#This Row],[Final Obj Name]],2)),"/0SAP/")</f>
        <v>/0SAP/</v>
      </c>
    </row>
    <row r="555">
      <c r="A555" t="str">
        <v>ENHO</v>
      </c>
      <c r="B555" t="str">
        <v>ZEI_PTP_REVENUE_RECOGNITION</v>
      </c>
      <c r="C555" t="str">
        <v>ENHO</v>
      </c>
      <c r="D555" t="str">
        <v>ZEI_PTP_REVENUE_RECOGNITION</v>
      </c>
      <c r="G555" t="str">
        <v>ALL</v>
      </c>
      <c r="L555" t="str">
        <v>CST_BSOLAIMA</v>
      </c>
      <c r="M555">
        <v>45234</v>
      </c>
      <c r="N555">
        <v>0.74611111111111</v>
      </c>
      <c r="S555" t="str">
        <v>X</v>
      </c>
      <c r="W555" t="str">
        <v>PP1K900541</v>
      </c>
      <c r="Y555">
        <f>IF(Table1[[#This Row],[OPERATION]]="NOTE","NOTE",Table1[[#This Row],[SUB_TYPE]])</f>
        <v>0</v>
      </c>
      <c r="Z555">
        <f>IF(Table1[[#This Row],[OPERATION]]="NOTE",NUMBERVALUE(LEFT(Table1[[#This Row],[MOD_NAME]],LEN(Table1[[#This Row],[MOD_NAME]])-4)),Table1[[#This Row],[SUB_NAME]])</f>
        <v>0</v>
      </c>
      <c r="AA555" t="str">
        <f>CONCAT(Table1[[#This Row],[Final Obj Type]],"|",Table1[[#This Row],[Final Obj Name]])</f>
        <v>0|0</v>
      </c>
      <c r="AB555" t="e">
        <f>VLOOKUP(Table1[[#This Row],[Final Obj Type]],Classification!B:E,3,FALSE)</f>
        <v>#N/A</v>
      </c>
      <c r="AC555" t="e">
        <f>VLOOKUP(Table1[[#This Row],[Final Obj Type]],Classification!B:E,4,FALSE)</f>
        <v>#N/A</v>
      </c>
      <c r="AD555" t="str">
        <f>IF(Table1[[#This Row],[Position 1]]=0,"/0SAP/",MID(Table1[[#This Row],[Final Obj Name]],Table1[[#This Row],[Position 1]],Table1[[#This Row],[Position 2]]-Table1[[#This Row],[Position 1]]+1))</f>
        <v>/0SAP/</v>
      </c>
      <c r="AE555" t="str">
        <f>VLOOKUP(Table1[[#This Row],[/* Object]],Namespace!A:J,10,FALSE)</f>
        <v>SAP AG</v>
      </c>
      <c r="AF555" t="str">
        <f>IF(VLOOKUP(Table1[[#This Row],[/* Object]],Namespace!A:J,4,FALSE)=0,"",VLOOKUP(Table1[[#This Row],[/* Object]],Namespace!A:J,4,FALSE))</f>
        <v>X</v>
      </c>
      <c r="AG555" t="str">
        <f>IF(VLOOKUP(Table1[[#This Row],[/* Object]],Namespace!A:J,5,FALSE)=0,"",VLOOKUP(Table1[[#This Row],[/* Object]],Namespace!A:J,5,FALSE))</f>
        <v>X</v>
      </c>
      <c r="AH555" t="str">
        <f>IF(VLOOKUP(Table1[[#This Row],[/* Object]],Namespace!A:J,6,FALSE)=0,"",VLOOKUP(Table1[[#This Row],[/* Object]],Namespace!A:J,6,FALSE))</f>
        <v/>
      </c>
      <c r="AI555">
        <f>IFERROR(FIND("/",Table1[[#This Row],[Final Obj Name]],1),0)</f>
        <v>0</v>
      </c>
      <c r="AJ555">
        <f>IF(Table1[[#This Row],[Position 1]]=0,0,FIND("/",Table1[[#This Row],[Final Obj Name]],Table1[[#This Row],[Position 1]]+1))</f>
        <v>0</v>
      </c>
      <c r="AK555" t="str">
        <f>IF(LEFT(Table1[[#This Row],[Final Obj Name]],1)="/",LEFT(Table1[[#This Row],[Final Obj Name]],FIND("/",Table1[[#This Row],[Final Obj Name]],2)),"/0SAP/")</f>
        <v>/0SAP/</v>
      </c>
    </row>
    <row r="556">
      <c r="A556" t="str">
        <v>ENHO</v>
      </c>
      <c r="B556" t="str">
        <v>ZEI_RAR_MODIF_RAIMON_CONDITION</v>
      </c>
      <c r="C556" t="str">
        <v>ENHO</v>
      </c>
      <c r="D556" t="str">
        <v>ZEI_RAR_MODIF_RAIMON_CONDITION</v>
      </c>
      <c r="G556" t="str">
        <v>ALL</v>
      </c>
      <c r="L556" t="str">
        <v>CST_BSOLAIMA</v>
      </c>
      <c r="M556">
        <v>45234</v>
      </c>
      <c r="N556">
        <v>0.74662037037037</v>
      </c>
      <c r="S556" t="str">
        <v>X</v>
      </c>
      <c r="W556" t="str">
        <v>PP1K900541</v>
      </c>
      <c r="Y556">
        <f>IF(Table1[[#This Row],[OPERATION]]="NOTE","NOTE",Table1[[#This Row],[SUB_TYPE]])</f>
        <v>0</v>
      </c>
      <c r="Z556">
        <f>IF(Table1[[#This Row],[OPERATION]]="NOTE",NUMBERVALUE(LEFT(Table1[[#This Row],[MOD_NAME]],LEN(Table1[[#This Row],[MOD_NAME]])-4)),Table1[[#This Row],[SUB_NAME]])</f>
        <v>0</v>
      </c>
      <c r="AA556" t="str">
        <f>CONCAT(Table1[[#This Row],[Final Obj Type]],"|",Table1[[#This Row],[Final Obj Name]])</f>
        <v>0|0</v>
      </c>
      <c r="AB556" t="e">
        <f>VLOOKUP(Table1[[#This Row],[Final Obj Type]],Classification!B:E,3,FALSE)</f>
        <v>#N/A</v>
      </c>
      <c r="AC556" t="e">
        <f>VLOOKUP(Table1[[#This Row],[Final Obj Type]],Classification!B:E,4,FALSE)</f>
        <v>#N/A</v>
      </c>
      <c r="AD556" t="str">
        <f>IF(Table1[[#This Row],[Position 1]]=0,"/0SAP/",MID(Table1[[#This Row],[Final Obj Name]],Table1[[#This Row],[Position 1]],Table1[[#This Row],[Position 2]]-Table1[[#This Row],[Position 1]]+1))</f>
        <v>/0SAP/</v>
      </c>
      <c r="AE556" t="str">
        <f>VLOOKUP(Table1[[#This Row],[/* Object]],Namespace!A:J,10,FALSE)</f>
        <v>SAP AG</v>
      </c>
      <c r="AF556" t="str">
        <f>IF(VLOOKUP(Table1[[#This Row],[/* Object]],Namespace!A:J,4,FALSE)=0,"",VLOOKUP(Table1[[#This Row],[/* Object]],Namespace!A:J,4,FALSE))</f>
        <v>X</v>
      </c>
      <c r="AG556" t="str">
        <f>IF(VLOOKUP(Table1[[#This Row],[/* Object]],Namespace!A:J,5,FALSE)=0,"",VLOOKUP(Table1[[#This Row],[/* Object]],Namespace!A:J,5,FALSE))</f>
        <v>X</v>
      </c>
      <c r="AH556" t="str">
        <f>IF(VLOOKUP(Table1[[#This Row],[/* Object]],Namespace!A:J,6,FALSE)=0,"",VLOOKUP(Table1[[#This Row],[/* Object]],Namespace!A:J,6,FALSE))</f>
        <v/>
      </c>
      <c r="AI556">
        <f>IFERROR(FIND("/",Table1[[#This Row],[Final Obj Name]],1),0)</f>
        <v>0</v>
      </c>
      <c r="AJ556">
        <f>IF(Table1[[#This Row],[Position 1]]=0,0,FIND("/",Table1[[#This Row],[Final Obj Name]],Table1[[#This Row],[Position 1]]+1))</f>
        <v>0</v>
      </c>
      <c r="AK556" t="str">
        <f>IF(LEFT(Table1[[#This Row],[Final Obj Name]],1)="/",LEFT(Table1[[#This Row],[Final Obj Name]],FIND("/",Table1[[#This Row],[Final Obj Name]],2)),"/0SAP/")</f>
        <v>/0SAP/</v>
      </c>
    </row>
    <row r="557">
      <c r="A557" t="str">
        <v>ENHO</v>
      </c>
      <c r="B557" t="str">
        <v>ZEI_REFRESH_DOCUMENT</v>
      </c>
      <c r="C557" t="str">
        <v>ENHO</v>
      </c>
      <c r="D557" t="str">
        <v>ZEI_REFRESH_DOCUMENT</v>
      </c>
      <c r="G557" t="str">
        <v>ALL</v>
      </c>
      <c r="L557" t="str">
        <v>CST_BSOLAIMA</v>
      </c>
      <c r="M557">
        <v>45235</v>
      </c>
      <c r="N557">
        <v>0.16883101851852</v>
      </c>
      <c r="S557" t="str">
        <v>X</v>
      </c>
      <c r="W557" t="str">
        <v>PP1K900541</v>
      </c>
      <c r="Y557">
        <f>IF(Table1[[#This Row],[OPERATION]]="NOTE","NOTE",Table1[[#This Row],[SUB_TYPE]])</f>
        <v>0</v>
      </c>
      <c r="Z557">
        <f>IF(Table1[[#This Row],[OPERATION]]="NOTE",NUMBERVALUE(LEFT(Table1[[#This Row],[MOD_NAME]],LEN(Table1[[#This Row],[MOD_NAME]])-4)),Table1[[#This Row],[SUB_NAME]])</f>
        <v>0</v>
      </c>
      <c r="AA557" t="str">
        <f>CONCAT(Table1[[#This Row],[Final Obj Type]],"|",Table1[[#This Row],[Final Obj Name]])</f>
        <v>0|0</v>
      </c>
      <c r="AB557" t="e">
        <f>VLOOKUP(Table1[[#This Row],[Final Obj Type]],Classification!B:E,3,FALSE)</f>
        <v>#N/A</v>
      </c>
      <c r="AC557" t="e">
        <f>VLOOKUP(Table1[[#This Row],[Final Obj Type]],Classification!B:E,4,FALSE)</f>
        <v>#N/A</v>
      </c>
      <c r="AD557" t="str">
        <f>IF(Table1[[#This Row],[Position 1]]=0,"/0SAP/",MID(Table1[[#This Row],[Final Obj Name]],Table1[[#This Row],[Position 1]],Table1[[#This Row],[Position 2]]-Table1[[#This Row],[Position 1]]+1))</f>
        <v>/0SAP/</v>
      </c>
      <c r="AE557" t="str">
        <f>VLOOKUP(Table1[[#This Row],[/* Object]],Namespace!A:J,10,FALSE)</f>
        <v>SAP AG</v>
      </c>
      <c r="AF557" t="str">
        <f>IF(VLOOKUP(Table1[[#This Row],[/* Object]],Namespace!A:J,4,FALSE)=0,"",VLOOKUP(Table1[[#This Row],[/* Object]],Namespace!A:J,4,FALSE))</f>
        <v>X</v>
      </c>
      <c r="AG557" t="str">
        <f>IF(VLOOKUP(Table1[[#This Row],[/* Object]],Namespace!A:J,5,FALSE)=0,"",VLOOKUP(Table1[[#This Row],[/* Object]],Namespace!A:J,5,FALSE))</f>
        <v>X</v>
      </c>
      <c r="AH557" t="str">
        <f>IF(VLOOKUP(Table1[[#This Row],[/* Object]],Namespace!A:J,6,FALSE)=0,"",VLOOKUP(Table1[[#This Row],[/* Object]],Namespace!A:J,6,FALSE))</f>
        <v/>
      </c>
      <c r="AI557">
        <f>IFERROR(FIND("/",Table1[[#This Row],[Final Obj Name]],1),0)</f>
        <v>0</v>
      </c>
      <c r="AJ557">
        <f>IF(Table1[[#This Row],[Position 1]]=0,0,FIND("/",Table1[[#This Row],[Final Obj Name]],Table1[[#This Row],[Position 1]]+1))</f>
        <v>0</v>
      </c>
      <c r="AK557" t="str">
        <f>IF(LEFT(Table1[[#This Row],[Final Obj Name]],1)="/",LEFT(Table1[[#This Row],[Final Obj Name]],FIND("/",Table1[[#This Row],[Final Obj Name]],2)),"/0SAP/")</f>
        <v>/0SAP/</v>
      </c>
    </row>
    <row r="558">
      <c r="A558" t="str">
        <v>ENHO</v>
      </c>
      <c r="B558" t="str">
        <v>ZEI_RTR_ALT_ACC</v>
      </c>
      <c r="C558" t="str">
        <v>ENHO</v>
      </c>
      <c r="D558" t="str">
        <v>ZEI_RTR_ALT_ACC</v>
      </c>
      <c r="G558" t="str">
        <v>ALL</v>
      </c>
      <c r="L558" t="str">
        <v>SUDG</v>
      </c>
      <c r="M558">
        <v>45922</v>
      </c>
      <c r="N558">
        <v>0.56730324074074</v>
      </c>
      <c r="S558" t="str">
        <v>X</v>
      </c>
      <c r="W558" t="str">
        <v>S01K925599</v>
      </c>
      <c r="Y558">
        <f>IF(Table1[[#This Row],[OPERATION]]="NOTE","NOTE",Table1[[#This Row],[SUB_TYPE]])</f>
        <v>0</v>
      </c>
      <c r="Z558">
        <f>IF(Table1[[#This Row],[OPERATION]]="NOTE",NUMBERVALUE(LEFT(Table1[[#This Row],[MOD_NAME]],LEN(Table1[[#This Row],[MOD_NAME]])-4)),Table1[[#This Row],[SUB_NAME]])</f>
        <v>0</v>
      </c>
      <c r="AA558" t="str">
        <f>CONCAT(Table1[[#This Row],[Final Obj Type]],"|",Table1[[#This Row],[Final Obj Name]])</f>
        <v>0|0</v>
      </c>
      <c r="AB558" t="e">
        <f>VLOOKUP(Table1[[#This Row],[Final Obj Type]],Classification!B:E,3,FALSE)</f>
        <v>#N/A</v>
      </c>
      <c r="AC558" t="e">
        <f>VLOOKUP(Table1[[#This Row],[Final Obj Type]],Classification!B:E,4,FALSE)</f>
        <v>#N/A</v>
      </c>
      <c r="AD558" t="str">
        <f>IF(Table1[[#This Row],[Position 1]]=0,"/0SAP/",MID(Table1[[#This Row],[Final Obj Name]],Table1[[#This Row],[Position 1]],Table1[[#This Row],[Position 2]]-Table1[[#This Row],[Position 1]]+1))</f>
        <v>/0SAP/</v>
      </c>
      <c r="AE558" t="str">
        <f>VLOOKUP(Table1[[#This Row],[/* Object]],Namespace!A:J,10,FALSE)</f>
        <v>SAP AG</v>
      </c>
      <c r="AF558" t="str">
        <f>IF(VLOOKUP(Table1[[#This Row],[/* Object]],Namespace!A:J,4,FALSE)=0,"",VLOOKUP(Table1[[#This Row],[/* Object]],Namespace!A:J,4,FALSE))</f>
        <v>X</v>
      </c>
      <c r="AG558" t="str">
        <f>IF(VLOOKUP(Table1[[#This Row],[/* Object]],Namespace!A:J,5,FALSE)=0,"",VLOOKUP(Table1[[#This Row],[/* Object]],Namespace!A:J,5,FALSE))</f>
        <v>X</v>
      </c>
      <c r="AH558" t="str">
        <f>IF(VLOOKUP(Table1[[#This Row],[/* Object]],Namespace!A:J,6,FALSE)=0,"",VLOOKUP(Table1[[#This Row],[/* Object]],Namespace!A:J,6,FALSE))</f>
        <v/>
      </c>
      <c r="AI558">
        <f>IFERROR(FIND("/",Table1[[#This Row],[Final Obj Name]],1),0)</f>
        <v>0</v>
      </c>
      <c r="AJ558">
        <f>IF(Table1[[#This Row],[Position 1]]=0,0,FIND("/",Table1[[#This Row],[Final Obj Name]],Table1[[#This Row],[Position 1]]+1))</f>
        <v>0</v>
      </c>
      <c r="AK558" t="str">
        <f>IF(LEFT(Table1[[#This Row],[Final Obj Name]],1)="/",LEFT(Table1[[#This Row],[Final Obj Name]],FIND("/",Table1[[#This Row],[Final Obj Name]],2)),"/0SAP/")</f>
        <v>/0SAP/</v>
      </c>
    </row>
    <row r="559">
      <c r="A559" t="str">
        <v>ENHO</v>
      </c>
      <c r="B559" t="str">
        <v>ZEI_RTR_CFDI_MODIFY_IDOC_RESP</v>
      </c>
      <c r="C559" t="str">
        <v>ENHO</v>
      </c>
      <c r="D559" t="str">
        <v>ZEI_RTR_CFDI_MODIFY_IDOC_RESP</v>
      </c>
      <c r="G559" t="str">
        <v>ALL</v>
      </c>
      <c r="L559" t="str">
        <v>CST_BSOLAIMA</v>
      </c>
      <c r="M559">
        <v>45234</v>
      </c>
      <c r="N559">
        <v>0.74841435185185</v>
      </c>
      <c r="S559" t="str">
        <v>X</v>
      </c>
      <c r="W559" t="str">
        <v>PP1K900541</v>
      </c>
      <c r="Y559">
        <f>IF(Table1[[#This Row],[OPERATION]]="NOTE","NOTE",Table1[[#This Row],[SUB_TYPE]])</f>
        <v>0</v>
      </c>
      <c r="Z559">
        <f>IF(Table1[[#This Row],[OPERATION]]="NOTE",NUMBERVALUE(LEFT(Table1[[#This Row],[MOD_NAME]],LEN(Table1[[#This Row],[MOD_NAME]])-4)),Table1[[#This Row],[SUB_NAME]])</f>
        <v>0</v>
      </c>
      <c r="AA559" t="str">
        <f>CONCAT(Table1[[#This Row],[Final Obj Type]],"|",Table1[[#This Row],[Final Obj Name]])</f>
        <v>0|0</v>
      </c>
      <c r="AB559" t="e">
        <f>VLOOKUP(Table1[[#This Row],[Final Obj Type]],Classification!B:E,3,FALSE)</f>
        <v>#N/A</v>
      </c>
      <c r="AC559" t="e">
        <f>VLOOKUP(Table1[[#This Row],[Final Obj Type]],Classification!B:E,4,FALSE)</f>
        <v>#N/A</v>
      </c>
      <c r="AD559" t="str">
        <f>IF(Table1[[#This Row],[Position 1]]=0,"/0SAP/",MID(Table1[[#This Row],[Final Obj Name]],Table1[[#This Row],[Position 1]],Table1[[#This Row],[Position 2]]-Table1[[#This Row],[Position 1]]+1))</f>
        <v>/0SAP/</v>
      </c>
      <c r="AE559" t="str">
        <f>VLOOKUP(Table1[[#This Row],[/* Object]],Namespace!A:J,10,FALSE)</f>
        <v>SAP AG</v>
      </c>
      <c r="AF559" t="str">
        <f>IF(VLOOKUP(Table1[[#This Row],[/* Object]],Namespace!A:J,4,FALSE)=0,"",VLOOKUP(Table1[[#This Row],[/* Object]],Namespace!A:J,4,FALSE))</f>
        <v>X</v>
      </c>
      <c r="AG559" t="str">
        <f>IF(VLOOKUP(Table1[[#This Row],[/* Object]],Namespace!A:J,5,FALSE)=0,"",VLOOKUP(Table1[[#This Row],[/* Object]],Namespace!A:J,5,FALSE))</f>
        <v>X</v>
      </c>
      <c r="AH559" t="str">
        <f>IF(VLOOKUP(Table1[[#This Row],[/* Object]],Namespace!A:J,6,FALSE)=0,"",VLOOKUP(Table1[[#This Row],[/* Object]],Namespace!A:J,6,FALSE))</f>
        <v/>
      </c>
      <c r="AI559">
        <f>IFERROR(FIND("/",Table1[[#This Row],[Final Obj Name]],1),0)</f>
        <v>0</v>
      </c>
      <c r="AJ559">
        <f>IF(Table1[[#This Row],[Position 1]]=0,0,FIND("/",Table1[[#This Row],[Final Obj Name]],Table1[[#This Row],[Position 1]]+1))</f>
        <v>0</v>
      </c>
      <c r="AK559" t="str">
        <f>IF(LEFT(Table1[[#This Row],[Final Obj Name]],1)="/",LEFT(Table1[[#This Row],[Final Obj Name]],FIND("/",Table1[[#This Row],[Final Obj Name]],2)),"/0SAP/")</f>
        <v>/0SAP/</v>
      </c>
    </row>
    <row r="560">
      <c r="A560" t="str">
        <v>ENHO</v>
      </c>
      <c r="B560" t="str">
        <v>ZEI_RTR_CL_FARRIC_SD_DELIVERY</v>
      </c>
      <c r="C560" t="str">
        <v>ENHO</v>
      </c>
      <c r="D560" t="str">
        <v>ZEI_RTR_CL_FARRIC_SD_DELIVERY</v>
      </c>
      <c r="G560" t="str">
        <v>ALL</v>
      </c>
      <c r="L560" t="str">
        <v>CST_BSOLAIMA</v>
      </c>
      <c r="M560">
        <v>45235</v>
      </c>
      <c r="N560">
        <v>0.15362268518519</v>
      </c>
      <c r="S560" t="str">
        <v>X</v>
      </c>
      <c r="W560" t="str">
        <v>PP1K900541</v>
      </c>
      <c r="Y560">
        <f>IF(Table1[[#This Row],[OPERATION]]="NOTE","NOTE",Table1[[#This Row],[SUB_TYPE]])</f>
        <v>0</v>
      </c>
      <c r="Z560">
        <f>IF(Table1[[#This Row],[OPERATION]]="NOTE",NUMBERVALUE(LEFT(Table1[[#This Row],[MOD_NAME]],LEN(Table1[[#This Row],[MOD_NAME]])-4)),Table1[[#This Row],[SUB_NAME]])</f>
        <v>0</v>
      </c>
      <c r="AA560" t="str">
        <f>CONCAT(Table1[[#This Row],[Final Obj Type]],"|",Table1[[#This Row],[Final Obj Name]])</f>
        <v>0|0</v>
      </c>
      <c r="AB560" t="e">
        <f>VLOOKUP(Table1[[#This Row],[Final Obj Type]],Classification!B:E,3,FALSE)</f>
        <v>#N/A</v>
      </c>
      <c r="AC560" t="e">
        <f>VLOOKUP(Table1[[#This Row],[Final Obj Type]],Classification!B:E,4,FALSE)</f>
        <v>#N/A</v>
      </c>
      <c r="AD560" t="str">
        <f>IF(Table1[[#This Row],[Position 1]]=0,"/0SAP/",MID(Table1[[#This Row],[Final Obj Name]],Table1[[#This Row],[Position 1]],Table1[[#This Row],[Position 2]]-Table1[[#This Row],[Position 1]]+1))</f>
        <v>/0SAP/</v>
      </c>
      <c r="AE560" t="str">
        <f>VLOOKUP(Table1[[#This Row],[/* Object]],Namespace!A:J,10,FALSE)</f>
        <v>SAP AG</v>
      </c>
      <c r="AF560" t="str">
        <f>IF(VLOOKUP(Table1[[#This Row],[/* Object]],Namespace!A:J,4,FALSE)=0,"",VLOOKUP(Table1[[#This Row],[/* Object]],Namespace!A:J,4,FALSE))</f>
        <v>X</v>
      </c>
      <c r="AG560" t="str">
        <f>IF(VLOOKUP(Table1[[#This Row],[/* Object]],Namespace!A:J,5,FALSE)=0,"",VLOOKUP(Table1[[#This Row],[/* Object]],Namespace!A:J,5,FALSE))</f>
        <v>X</v>
      </c>
      <c r="AH560" t="str">
        <f>IF(VLOOKUP(Table1[[#This Row],[/* Object]],Namespace!A:J,6,FALSE)=0,"",VLOOKUP(Table1[[#This Row],[/* Object]],Namespace!A:J,6,FALSE))</f>
        <v/>
      </c>
      <c r="AI560">
        <f>IFERROR(FIND("/",Table1[[#This Row],[Final Obj Name]],1),0)</f>
        <v>0</v>
      </c>
      <c r="AJ560">
        <f>IF(Table1[[#This Row],[Position 1]]=0,0,FIND("/",Table1[[#This Row],[Final Obj Name]],Table1[[#This Row],[Position 1]]+1))</f>
        <v>0</v>
      </c>
      <c r="AK560" t="str">
        <f>IF(LEFT(Table1[[#This Row],[Final Obj Name]],1)="/",LEFT(Table1[[#This Row],[Final Obj Name]],FIND("/",Table1[[#This Row],[Final Obj Name]],2)),"/0SAP/")</f>
        <v>/0SAP/</v>
      </c>
    </row>
    <row r="561">
      <c r="A561" t="str">
        <v>ENHO</v>
      </c>
      <c r="B561" t="str">
        <v>ZEI_RTR_INVOICE_FCO</v>
      </c>
      <c r="C561" t="str">
        <v>ENHO</v>
      </c>
      <c r="D561" t="str">
        <v>ZEI_RTR_INVOICE_FCO</v>
      </c>
      <c r="G561" t="str">
        <v>ALL</v>
      </c>
      <c r="L561" t="str">
        <v>CST_BSOLAIMA</v>
      </c>
      <c r="M561">
        <v>45234</v>
      </c>
      <c r="N561">
        <v>0.77866898148148</v>
      </c>
      <c r="S561" t="str">
        <v>X</v>
      </c>
      <c r="W561" t="str">
        <v>PP1K900541</v>
      </c>
      <c r="Y561">
        <f>IF(Table1[[#This Row],[OPERATION]]="NOTE","NOTE",Table1[[#This Row],[SUB_TYPE]])</f>
        <v>0</v>
      </c>
      <c r="Z561">
        <f>IF(Table1[[#This Row],[OPERATION]]="NOTE",NUMBERVALUE(LEFT(Table1[[#This Row],[MOD_NAME]],LEN(Table1[[#This Row],[MOD_NAME]])-4)),Table1[[#This Row],[SUB_NAME]])</f>
        <v>0</v>
      </c>
      <c r="AA561" t="str">
        <f>CONCAT(Table1[[#This Row],[Final Obj Type]],"|",Table1[[#This Row],[Final Obj Name]])</f>
        <v>0|0</v>
      </c>
      <c r="AB561" t="e">
        <f>VLOOKUP(Table1[[#This Row],[Final Obj Type]],Classification!B:E,3,FALSE)</f>
        <v>#N/A</v>
      </c>
      <c r="AC561" t="e">
        <f>VLOOKUP(Table1[[#This Row],[Final Obj Type]],Classification!B:E,4,FALSE)</f>
        <v>#N/A</v>
      </c>
      <c r="AD561" t="str">
        <f>IF(Table1[[#This Row],[Position 1]]=0,"/0SAP/",MID(Table1[[#This Row],[Final Obj Name]],Table1[[#This Row],[Position 1]],Table1[[#This Row],[Position 2]]-Table1[[#This Row],[Position 1]]+1))</f>
        <v>/0SAP/</v>
      </c>
      <c r="AE561" t="str">
        <f>VLOOKUP(Table1[[#This Row],[/* Object]],Namespace!A:J,10,FALSE)</f>
        <v>SAP AG</v>
      </c>
      <c r="AF561" t="str">
        <f>IF(VLOOKUP(Table1[[#This Row],[/* Object]],Namespace!A:J,4,FALSE)=0,"",VLOOKUP(Table1[[#This Row],[/* Object]],Namespace!A:J,4,FALSE))</f>
        <v>X</v>
      </c>
      <c r="AG561" t="str">
        <f>IF(VLOOKUP(Table1[[#This Row],[/* Object]],Namespace!A:J,5,FALSE)=0,"",VLOOKUP(Table1[[#This Row],[/* Object]],Namespace!A:J,5,FALSE))</f>
        <v>X</v>
      </c>
      <c r="AH561" t="str">
        <f>IF(VLOOKUP(Table1[[#This Row],[/* Object]],Namespace!A:J,6,FALSE)=0,"",VLOOKUP(Table1[[#This Row],[/* Object]],Namespace!A:J,6,FALSE))</f>
        <v/>
      </c>
      <c r="AI561">
        <f>IFERROR(FIND("/",Table1[[#This Row],[Final Obj Name]],1),0)</f>
        <v>0</v>
      </c>
      <c r="AJ561">
        <f>IF(Table1[[#This Row],[Position 1]]=0,0,FIND("/",Table1[[#This Row],[Final Obj Name]],Table1[[#This Row],[Position 1]]+1))</f>
        <v>0</v>
      </c>
      <c r="AK561" t="str">
        <f>IF(LEFT(Table1[[#This Row],[Final Obj Name]],1)="/",LEFT(Table1[[#This Row],[Final Obj Name]],FIND("/",Table1[[#This Row],[Final Obj Name]],2)),"/0SAP/")</f>
        <v>/0SAP/</v>
      </c>
    </row>
    <row r="562">
      <c r="A562" t="str">
        <v>ENHO</v>
      </c>
      <c r="B562" t="str">
        <v>ZEI_RTR_MAP_GOODS_MVT_ITEMS</v>
      </c>
      <c r="C562" t="str">
        <v>ENHO</v>
      </c>
      <c r="D562" t="str">
        <v>ZEI_RTR_MAP_GOODS_MVT_ITEMS</v>
      </c>
      <c r="G562" t="str">
        <v>ALL</v>
      </c>
      <c r="L562" t="str">
        <v>CST_BSOLAIMA</v>
      </c>
      <c r="M562">
        <v>45234</v>
      </c>
      <c r="N562">
        <v>0.74898148148148</v>
      </c>
      <c r="S562" t="str">
        <v>X</v>
      </c>
      <c r="W562" t="str">
        <v>PP1K900541</v>
      </c>
      <c r="Y562">
        <f>IF(Table1[[#This Row],[OPERATION]]="NOTE","NOTE",Table1[[#This Row],[SUB_TYPE]])</f>
        <v>0</v>
      </c>
      <c r="Z562">
        <f>IF(Table1[[#This Row],[OPERATION]]="NOTE",NUMBERVALUE(LEFT(Table1[[#This Row],[MOD_NAME]],LEN(Table1[[#This Row],[MOD_NAME]])-4)),Table1[[#This Row],[SUB_NAME]])</f>
        <v>0</v>
      </c>
      <c r="AA562" t="str">
        <f>CONCAT(Table1[[#This Row],[Final Obj Type]],"|",Table1[[#This Row],[Final Obj Name]])</f>
        <v>0|0</v>
      </c>
      <c r="AB562" t="e">
        <f>VLOOKUP(Table1[[#This Row],[Final Obj Type]],Classification!B:E,3,FALSE)</f>
        <v>#N/A</v>
      </c>
      <c r="AC562" t="e">
        <f>VLOOKUP(Table1[[#This Row],[Final Obj Type]],Classification!B:E,4,FALSE)</f>
        <v>#N/A</v>
      </c>
      <c r="AD562" t="str">
        <f>IF(Table1[[#This Row],[Position 1]]=0,"/0SAP/",MID(Table1[[#This Row],[Final Obj Name]],Table1[[#This Row],[Position 1]],Table1[[#This Row],[Position 2]]-Table1[[#This Row],[Position 1]]+1))</f>
        <v>/0SAP/</v>
      </c>
      <c r="AE562" t="str">
        <f>VLOOKUP(Table1[[#This Row],[/* Object]],Namespace!A:J,10,FALSE)</f>
        <v>SAP AG</v>
      </c>
      <c r="AF562" t="str">
        <f>IF(VLOOKUP(Table1[[#This Row],[/* Object]],Namespace!A:J,4,FALSE)=0,"",VLOOKUP(Table1[[#This Row],[/* Object]],Namespace!A:J,4,FALSE))</f>
        <v>X</v>
      </c>
      <c r="AG562" t="str">
        <f>IF(VLOOKUP(Table1[[#This Row],[/* Object]],Namespace!A:J,5,FALSE)=0,"",VLOOKUP(Table1[[#This Row],[/* Object]],Namespace!A:J,5,FALSE))</f>
        <v>X</v>
      </c>
      <c r="AH562" t="str">
        <f>IF(VLOOKUP(Table1[[#This Row],[/* Object]],Namespace!A:J,6,FALSE)=0,"",VLOOKUP(Table1[[#This Row],[/* Object]],Namespace!A:J,6,FALSE))</f>
        <v/>
      </c>
      <c r="AI562">
        <f>IFERROR(FIND("/",Table1[[#This Row],[Final Obj Name]],1),0)</f>
        <v>0</v>
      </c>
      <c r="AJ562">
        <f>IF(Table1[[#This Row],[Position 1]]=0,0,FIND("/",Table1[[#This Row],[Final Obj Name]],Table1[[#This Row],[Position 1]]+1))</f>
        <v>0</v>
      </c>
      <c r="AK562" t="str">
        <f>IF(LEFT(Table1[[#This Row],[Final Obj Name]],1)="/",LEFT(Table1[[#This Row],[Final Obj Name]],FIND("/",Table1[[#This Row],[Final Obj Name]],2)),"/0SAP/")</f>
        <v>/0SAP/</v>
      </c>
    </row>
    <row r="563">
      <c r="A563" t="str">
        <v>ENHO</v>
      </c>
      <c r="B563" t="str">
        <v>ZEI_SAPM45A_SAVE_DOCUMENT_PRE</v>
      </c>
      <c r="C563" t="str">
        <v>ENHO</v>
      </c>
      <c r="D563" t="str">
        <v>ZEI_SAPM45A_SAVE_DOCUMENT_PRE</v>
      </c>
      <c r="G563" t="str">
        <v>ALL</v>
      </c>
      <c r="L563" t="str">
        <v>CST_BSOLAIMA</v>
      </c>
      <c r="M563">
        <v>45234</v>
      </c>
      <c r="N563">
        <v>0.7237962962963</v>
      </c>
      <c r="S563" t="str">
        <v>X</v>
      </c>
      <c r="W563" t="str">
        <v>PP1K900541</v>
      </c>
      <c r="Y563">
        <f>IF(Table1[[#This Row],[OPERATION]]="NOTE","NOTE",Table1[[#This Row],[SUB_TYPE]])</f>
        <v>0</v>
      </c>
      <c r="Z563">
        <f>IF(Table1[[#This Row],[OPERATION]]="NOTE",NUMBERVALUE(LEFT(Table1[[#This Row],[MOD_NAME]],LEN(Table1[[#This Row],[MOD_NAME]])-4)),Table1[[#This Row],[SUB_NAME]])</f>
        <v>0</v>
      </c>
      <c r="AA563" t="str">
        <f>CONCAT(Table1[[#This Row],[Final Obj Type]],"|",Table1[[#This Row],[Final Obj Name]])</f>
        <v>0|0</v>
      </c>
      <c r="AB563" t="e">
        <f>VLOOKUP(Table1[[#This Row],[Final Obj Type]],Classification!B:E,3,FALSE)</f>
        <v>#N/A</v>
      </c>
      <c r="AC563" t="e">
        <f>VLOOKUP(Table1[[#This Row],[Final Obj Type]],Classification!B:E,4,FALSE)</f>
        <v>#N/A</v>
      </c>
      <c r="AD563" t="str">
        <f>IF(Table1[[#This Row],[Position 1]]=0,"/0SAP/",MID(Table1[[#This Row],[Final Obj Name]],Table1[[#This Row],[Position 1]],Table1[[#This Row],[Position 2]]-Table1[[#This Row],[Position 1]]+1))</f>
        <v>/0SAP/</v>
      </c>
      <c r="AE563" t="str">
        <f>VLOOKUP(Table1[[#This Row],[/* Object]],Namespace!A:J,10,FALSE)</f>
        <v>SAP AG</v>
      </c>
      <c r="AF563" t="str">
        <f>IF(VLOOKUP(Table1[[#This Row],[/* Object]],Namespace!A:J,4,FALSE)=0,"",VLOOKUP(Table1[[#This Row],[/* Object]],Namespace!A:J,4,FALSE))</f>
        <v>X</v>
      </c>
      <c r="AG563" t="str">
        <f>IF(VLOOKUP(Table1[[#This Row],[/* Object]],Namespace!A:J,5,FALSE)=0,"",VLOOKUP(Table1[[#This Row],[/* Object]],Namespace!A:J,5,FALSE))</f>
        <v>X</v>
      </c>
      <c r="AH563" t="str">
        <f>IF(VLOOKUP(Table1[[#This Row],[/* Object]],Namespace!A:J,6,FALSE)=0,"",VLOOKUP(Table1[[#This Row],[/* Object]],Namespace!A:J,6,FALSE))</f>
        <v/>
      </c>
      <c r="AI563">
        <f>IFERROR(FIND("/",Table1[[#This Row],[Final Obj Name]],1),0)</f>
        <v>0</v>
      </c>
      <c r="AJ563">
        <f>IF(Table1[[#This Row],[Position 1]]=0,0,FIND("/",Table1[[#This Row],[Final Obj Name]],Table1[[#This Row],[Position 1]]+1))</f>
        <v>0</v>
      </c>
      <c r="AK563" t="str">
        <f>IF(LEFT(Table1[[#This Row],[Final Obj Name]],1)="/",LEFT(Table1[[#This Row],[Final Obj Name]],FIND("/",Table1[[#This Row],[Final Obj Name]],2)),"/0SAP/")</f>
        <v>/0SAP/</v>
      </c>
    </row>
    <row r="564">
      <c r="A564" t="str">
        <v>ENHO</v>
      </c>
      <c r="B564" t="str">
        <v>ZEI_SD_CHANGE_PARVW</v>
      </c>
      <c r="C564" t="str">
        <v>ENHO</v>
      </c>
      <c r="D564" t="str">
        <v>ZEI_SD_CHANGE_PARVW</v>
      </c>
      <c r="G564" t="str">
        <v>ALL</v>
      </c>
      <c r="L564" t="str">
        <v>CST_BSOLAIMA</v>
      </c>
      <c r="M564">
        <v>45234</v>
      </c>
      <c r="N564">
        <v>0.75092592592593</v>
      </c>
      <c r="S564" t="str">
        <v>X</v>
      </c>
      <c r="W564" t="str">
        <v>PP1K900541</v>
      </c>
      <c r="Y564">
        <f>IF(Table1[[#This Row],[OPERATION]]="NOTE","NOTE",Table1[[#This Row],[SUB_TYPE]])</f>
        <v>0</v>
      </c>
      <c r="Z564">
        <f>IF(Table1[[#This Row],[OPERATION]]="NOTE",NUMBERVALUE(LEFT(Table1[[#This Row],[MOD_NAME]],LEN(Table1[[#This Row],[MOD_NAME]])-4)),Table1[[#This Row],[SUB_NAME]])</f>
        <v>0</v>
      </c>
      <c r="AA564" t="str">
        <f>CONCAT(Table1[[#This Row],[Final Obj Type]],"|",Table1[[#This Row],[Final Obj Name]])</f>
        <v>0|0</v>
      </c>
      <c r="AB564" t="e">
        <f>VLOOKUP(Table1[[#This Row],[Final Obj Type]],Classification!B:E,3,FALSE)</f>
        <v>#N/A</v>
      </c>
      <c r="AC564" t="e">
        <f>VLOOKUP(Table1[[#This Row],[Final Obj Type]],Classification!B:E,4,FALSE)</f>
        <v>#N/A</v>
      </c>
      <c r="AD564" t="str">
        <f>IF(Table1[[#This Row],[Position 1]]=0,"/0SAP/",MID(Table1[[#This Row],[Final Obj Name]],Table1[[#This Row],[Position 1]],Table1[[#This Row],[Position 2]]-Table1[[#This Row],[Position 1]]+1))</f>
        <v>/0SAP/</v>
      </c>
      <c r="AE564" t="str">
        <f>VLOOKUP(Table1[[#This Row],[/* Object]],Namespace!A:J,10,FALSE)</f>
        <v>SAP AG</v>
      </c>
      <c r="AF564" t="str">
        <f>IF(VLOOKUP(Table1[[#This Row],[/* Object]],Namespace!A:J,4,FALSE)=0,"",VLOOKUP(Table1[[#This Row],[/* Object]],Namespace!A:J,4,FALSE))</f>
        <v>X</v>
      </c>
      <c r="AG564" t="str">
        <f>IF(VLOOKUP(Table1[[#This Row],[/* Object]],Namespace!A:J,5,FALSE)=0,"",VLOOKUP(Table1[[#This Row],[/* Object]],Namespace!A:J,5,FALSE))</f>
        <v>X</v>
      </c>
      <c r="AH564" t="str">
        <f>IF(VLOOKUP(Table1[[#This Row],[/* Object]],Namespace!A:J,6,FALSE)=0,"",VLOOKUP(Table1[[#This Row],[/* Object]],Namespace!A:J,6,FALSE))</f>
        <v/>
      </c>
      <c r="AI564">
        <f>IFERROR(FIND("/",Table1[[#This Row],[Final Obj Name]],1),0)</f>
        <v>0</v>
      </c>
      <c r="AJ564">
        <f>IF(Table1[[#This Row],[Position 1]]=0,0,FIND("/",Table1[[#This Row],[Final Obj Name]],Table1[[#This Row],[Position 1]]+1))</f>
        <v>0</v>
      </c>
      <c r="AK564" t="str">
        <f>IF(LEFT(Table1[[#This Row],[Final Obj Name]],1)="/",LEFT(Table1[[#This Row],[Final Obj Name]],FIND("/",Table1[[#This Row],[Final Obj Name]],2)),"/0SAP/")</f>
        <v>/0SAP/</v>
      </c>
    </row>
    <row r="565">
      <c r="A565" t="str">
        <v>ENHO</v>
      </c>
      <c r="B565" t="str">
        <v>ZEI_SET_DELIVERY_STATUS_IC</v>
      </c>
      <c r="C565" t="str">
        <v>ENHO</v>
      </c>
      <c r="D565" t="str">
        <v>ZEI_SET_DELIVERY_STATUS_IC</v>
      </c>
      <c r="G565" t="str">
        <v>ALL</v>
      </c>
      <c r="L565" t="str">
        <v>CST_BSOLAIMA</v>
      </c>
      <c r="M565">
        <v>45234</v>
      </c>
      <c r="N565">
        <v>0.75162037037037</v>
      </c>
      <c r="S565" t="str">
        <v>X</v>
      </c>
      <c r="W565" t="str">
        <v>PP1K900541</v>
      </c>
      <c r="Y565">
        <f>IF(Table1[[#This Row],[OPERATION]]="NOTE","NOTE",Table1[[#This Row],[SUB_TYPE]])</f>
        <v>0</v>
      </c>
      <c r="Z565">
        <f>IF(Table1[[#This Row],[OPERATION]]="NOTE",NUMBERVALUE(LEFT(Table1[[#This Row],[MOD_NAME]],LEN(Table1[[#This Row],[MOD_NAME]])-4)),Table1[[#This Row],[SUB_NAME]])</f>
        <v>0</v>
      </c>
      <c r="AA565" t="str">
        <f>CONCAT(Table1[[#This Row],[Final Obj Type]],"|",Table1[[#This Row],[Final Obj Name]])</f>
        <v>0|0</v>
      </c>
      <c r="AB565" t="e">
        <f>VLOOKUP(Table1[[#This Row],[Final Obj Type]],Classification!B:E,3,FALSE)</f>
        <v>#N/A</v>
      </c>
      <c r="AC565" t="e">
        <f>VLOOKUP(Table1[[#This Row],[Final Obj Type]],Classification!B:E,4,FALSE)</f>
        <v>#N/A</v>
      </c>
      <c r="AD565" t="str">
        <f>IF(Table1[[#This Row],[Position 1]]=0,"/0SAP/",MID(Table1[[#This Row],[Final Obj Name]],Table1[[#This Row],[Position 1]],Table1[[#This Row],[Position 2]]-Table1[[#This Row],[Position 1]]+1))</f>
        <v>/0SAP/</v>
      </c>
      <c r="AE565" t="str">
        <f>VLOOKUP(Table1[[#This Row],[/* Object]],Namespace!A:J,10,FALSE)</f>
        <v>SAP AG</v>
      </c>
      <c r="AF565" t="str">
        <f>IF(VLOOKUP(Table1[[#This Row],[/* Object]],Namespace!A:J,4,FALSE)=0,"",VLOOKUP(Table1[[#This Row],[/* Object]],Namespace!A:J,4,FALSE))</f>
        <v>X</v>
      </c>
      <c r="AG565" t="str">
        <f>IF(VLOOKUP(Table1[[#This Row],[/* Object]],Namespace!A:J,5,FALSE)=0,"",VLOOKUP(Table1[[#This Row],[/* Object]],Namespace!A:J,5,FALSE))</f>
        <v>X</v>
      </c>
      <c r="AH565" t="str">
        <f>IF(VLOOKUP(Table1[[#This Row],[/* Object]],Namespace!A:J,6,FALSE)=0,"",VLOOKUP(Table1[[#This Row],[/* Object]],Namespace!A:J,6,FALSE))</f>
        <v/>
      </c>
      <c r="AI565">
        <f>IFERROR(FIND("/",Table1[[#This Row],[Final Obj Name]],1),0)</f>
        <v>0</v>
      </c>
      <c r="AJ565">
        <f>IF(Table1[[#This Row],[Position 1]]=0,0,FIND("/",Table1[[#This Row],[Final Obj Name]],Table1[[#This Row],[Position 1]]+1))</f>
        <v>0</v>
      </c>
      <c r="AK565" t="str">
        <f>IF(LEFT(Table1[[#This Row],[Final Obj Name]],1)="/",LEFT(Table1[[#This Row],[Final Obj Name]],FIND("/",Table1[[#This Row],[Final Obj Name]],2)),"/0SAP/")</f>
        <v>/0SAP/</v>
      </c>
    </row>
    <row r="566">
      <c r="A566" t="str">
        <v>ENHO</v>
      </c>
      <c r="B566" t="str">
        <v>ZEI_STR_229_UPDATE_INFORECORD</v>
      </c>
      <c r="C566" t="str">
        <v>ENHO</v>
      </c>
      <c r="D566" t="str">
        <v>ZEI_STR_229_UPDATE_INFORECORD</v>
      </c>
      <c r="G566" t="str">
        <v>ALL</v>
      </c>
      <c r="L566" t="str">
        <v>CST_BSOLAIMA</v>
      </c>
      <c r="M566">
        <v>45234</v>
      </c>
      <c r="N566">
        <v>0.75258101851852</v>
      </c>
      <c r="S566" t="str">
        <v>X</v>
      </c>
      <c r="W566" t="str">
        <v>PP1K900541</v>
      </c>
      <c r="Y566">
        <f>IF(Table1[[#This Row],[OPERATION]]="NOTE","NOTE",Table1[[#This Row],[SUB_TYPE]])</f>
        <v>0</v>
      </c>
      <c r="Z566">
        <f>IF(Table1[[#This Row],[OPERATION]]="NOTE",NUMBERVALUE(LEFT(Table1[[#This Row],[MOD_NAME]],LEN(Table1[[#This Row],[MOD_NAME]])-4)),Table1[[#This Row],[SUB_NAME]])</f>
        <v>0</v>
      </c>
      <c r="AA566" t="str">
        <f>CONCAT(Table1[[#This Row],[Final Obj Type]],"|",Table1[[#This Row],[Final Obj Name]])</f>
        <v>0|0</v>
      </c>
      <c r="AB566" t="e">
        <f>VLOOKUP(Table1[[#This Row],[Final Obj Type]],Classification!B:E,3,FALSE)</f>
        <v>#N/A</v>
      </c>
      <c r="AC566" t="e">
        <f>VLOOKUP(Table1[[#This Row],[Final Obj Type]],Classification!B:E,4,FALSE)</f>
        <v>#N/A</v>
      </c>
      <c r="AD566" t="str">
        <f>IF(Table1[[#This Row],[Position 1]]=0,"/0SAP/",MID(Table1[[#This Row],[Final Obj Name]],Table1[[#This Row],[Position 1]],Table1[[#This Row],[Position 2]]-Table1[[#This Row],[Position 1]]+1))</f>
        <v>/0SAP/</v>
      </c>
      <c r="AE566" t="str">
        <f>VLOOKUP(Table1[[#This Row],[/* Object]],Namespace!A:J,10,FALSE)</f>
        <v>SAP AG</v>
      </c>
      <c r="AF566" t="str">
        <f>IF(VLOOKUP(Table1[[#This Row],[/* Object]],Namespace!A:J,4,FALSE)=0,"",VLOOKUP(Table1[[#This Row],[/* Object]],Namespace!A:J,4,FALSE))</f>
        <v>X</v>
      </c>
      <c r="AG566" t="str">
        <f>IF(VLOOKUP(Table1[[#This Row],[/* Object]],Namespace!A:J,5,FALSE)=0,"",VLOOKUP(Table1[[#This Row],[/* Object]],Namespace!A:J,5,FALSE))</f>
        <v>X</v>
      </c>
      <c r="AH566" t="str">
        <f>IF(VLOOKUP(Table1[[#This Row],[/* Object]],Namespace!A:J,6,FALSE)=0,"",VLOOKUP(Table1[[#This Row],[/* Object]],Namespace!A:J,6,FALSE))</f>
        <v/>
      </c>
      <c r="AI566">
        <f>IFERROR(FIND("/",Table1[[#This Row],[Final Obj Name]],1),0)</f>
        <v>0</v>
      </c>
      <c r="AJ566">
        <f>IF(Table1[[#This Row],[Position 1]]=0,0,FIND("/",Table1[[#This Row],[Final Obj Name]],Table1[[#This Row],[Position 1]]+1))</f>
        <v>0</v>
      </c>
      <c r="AK566" t="str">
        <f>IF(LEFT(Table1[[#This Row],[Final Obj Name]],1)="/",LEFT(Table1[[#This Row],[Final Obj Name]],FIND("/",Table1[[#This Row],[Final Obj Name]],2)),"/0SAP/")</f>
        <v>/0SAP/</v>
      </c>
    </row>
    <row r="567">
      <c r="A567" t="str">
        <v>ENHO</v>
      </c>
      <c r="B567" t="str">
        <v>ZEI_STR_BILLING_BLOCK_TECO1</v>
      </c>
      <c r="C567" t="str">
        <v>ENHO</v>
      </c>
      <c r="D567" t="str">
        <v>ZEI_STR_BILLING_BLOCK_TECO1</v>
      </c>
      <c r="G567" t="str">
        <v>ALL</v>
      </c>
      <c r="L567" t="str">
        <v>CST_BSOLAIMA</v>
      </c>
      <c r="M567">
        <v>45235</v>
      </c>
      <c r="N567">
        <v>0.15447916666667</v>
      </c>
      <c r="S567" t="str">
        <v>X</v>
      </c>
      <c r="W567" t="str">
        <v>PP1K900541</v>
      </c>
      <c r="Y567">
        <f>IF(Table1[[#This Row],[OPERATION]]="NOTE","NOTE",Table1[[#This Row],[SUB_TYPE]])</f>
        <v>0</v>
      </c>
      <c r="Z567">
        <f>IF(Table1[[#This Row],[OPERATION]]="NOTE",NUMBERVALUE(LEFT(Table1[[#This Row],[MOD_NAME]],LEN(Table1[[#This Row],[MOD_NAME]])-4)),Table1[[#This Row],[SUB_NAME]])</f>
        <v>0</v>
      </c>
      <c r="AA567" t="str">
        <f>CONCAT(Table1[[#This Row],[Final Obj Type]],"|",Table1[[#This Row],[Final Obj Name]])</f>
        <v>0|0</v>
      </c>
      <c r="AB567" t="e">
        <f>VLOOKUP(Table1[[#This Row],[Final Obj Type]],Classification!B:E,3,FALSE)</f>
        <v>#N/A</v>
      </c>
      <c r="AC567" t="e">
        <f>VLOOKUP(Table1[[#This Row],[Final Obj Type]],Classification!B:E,4,FALSE)</f>
        <v>#N/A</v>
      </c>
      <c r="AD567" t="str">
        <f>IF(Table1[[#This Row],[Position 1]]=0,"/0SAP/",MID(Table1[[#This Row],[Final Obj Name]],Table1[[#This Row],[Position 1]],Table1[[#This Row],[Position 2]]-Table1[[#This Row],[Position 1]]+1))</f>
        <v>/0SAP/</v>
      </c>
      <c r="AE567" t="str">
        <f>VLOOKUP(Table1[[#This Row],[/* Object]],Namespace!A:J,10,FALSE)</f>
        <v>SAP AG</v>
      </c>
      <c r="AF567" t="str">
        <f>IF(VLOOKUP(Table1[[#This Row],[/* Object]],Namespace!A:J,4,FALSE)=0,"",VLOOKUP(Table1[[#This Row],[/* Object]],Namespace!A:J,4,FALSE))</f>
        <v>X</v>
      </c>
      <c r="AG567" t="str">
        <f>IF(VLOOKUP(Table1[[#This Row],[/* Object]],Namespace!A:J,5,FALSE)=0,"",VLOOKUP(Table1[[#This Row],[/* Object]],Namespace!A:J,5,FALSE))</f>
        <v>X</v>
      </c>
      <c r="AH567" t="str">
        <f>IF(VLOOKUP(Table1[[#This Row],[/* Object]],Namespace!A:J,6,FALSE)=0,"",VLOOKUP(Table1[[#This Row],[/* Object]],Namespace!A:J,6,FALSE))</f>
        <v/>
      </c>
      <c r="AI567">
        <f>IFERROR(FIND("/",Table1[[#This Row],[Final Obj Name]],1),0)</f>
        <v>0</v>
      </c>
      <c r="AJ567">
        <f>IF(Table1[[#This Row],[Position 1]]=0,0,FIND("/",Table1[[#This Row],[Final Obj Name]],Table1[[#This Row],[Position 1]]+1))</f>
        <v>0</v>
      </c>
      <c r="AK567" t="str">
        <f>IF(LEFT(Table1[[#This Row],[Final Obj Name]],1)="/",LEFT(Table1[[#This Row],[Final Obj Name]],FIND("/",Table1[[#This Row],[Final Obj Name]],2)),"/0SAP/")</f>
        <v>/0SAP/</v>
      </c>
    </row>
    <row r="568">
      <c r="A568" t="str">
        <v>ENHO</v>
      </c>
      <c r="B568" t="str">
        <v>ZEI_STR_CCB59_REPAIR_SALES_ORD</v>
      </c>
      <c r="C568" t="str">
        <v>ENHO</v>
      </c>
      <c r="D568" t="str">
        <v>ZEI_STR_CCB59_REPAIR_SALES_ORD</v>
      </c>
      <c r="G568" t="str">
        <v>ALL</v>
      </c>
      <c r="L568" t="str">
        <v>CST_BSOLAIMA</v>
      </c>
      <c r="M568">
        <v>45235</v>
      </c>
      <c r="N568">
        <v>0.15512731481481</v>
      </c>
      <c r="S568" t="str">
        <v>X</v>
      </c>
      <c r="W568" t="str">
        <v>PP1K900541</v>
      </c>
      <c r="Y568">
        <f>IF(Table1[[#This Row],[OPERATION]]="NOTE","NOTE",Table1[[#This Row],[SUB_TYPE]])</f>
        <v>0</v>
      </c>
      <c r="Z568">
        <f>IF(Table1[[#This Row],[OPERATION]]="NOTE",NUMBERVALUE(LEFT(Table1[[#This Row],[MOD_NAME]],LEN(Table1[[#This Row],[MOD_NAME]])-4)),Table1[[#This Row],[SUB_NAME]])</f>
        <v>0</v>
      </c>
      <c r="AA568" t="str">
        <f>CONCAT(Table1[[#This Row],[Final Obj Type]],"|",Table1[[#This Row],[Final Obj Name]])</f>
        <v>0|0</v>
      </c>
      <c r="AB568" t="e">
        <f>VLOOKUP(Table1[[#This Row],[Final Obj Type]],Classification!B:E,3,FALSE)</f>
        <v>#N/A</v>
      </c>
      <c r="AC568" t="e">
        <f>VLOOKUP(Table1[[#This Row],[Final Obj Type]],Classification!B:E,4,FALSE)</f>
        <v>#N/A</v>
      </c>
      <c r="AD568" t="str">
        <f>IF(Table1[[#This Row],[Position 1]]=0,"/0SAP/",MID(Table1[[#This Row],[Final Obj Name]],Table1[[#This Row],[Position 1]],Table1[[#This Row],[Position 2]]-Table1[[#This Row],[Position 1]]+1))</f>
        <v>/0SAP/</v>
      </c>
      <c r="AE568" t="str">
        <f>VLOOKUP(Table1[[#This Row],[/* Object]],Namespace!A:J,10,FALSE)</f>
        <v>SAP AG</v>
      </c>
      <c r="AF568" t="str">
        <f>IF(VLOOKUP(Table1[[#This Row],[/* Object]],Namespace!A:J,4,FALSE)=0,"",VLOOKUP(Table1[[#This Row],[/* Object]],Namespace!A:J,4,FALSE))</f>
        <v>X</v>
      </c>
      <c r="AG568" t="str">
        <f>IF(VLOOKUP(Table1[[#This Row],[/* Object]],Namespace!A:J,5,FALSE)=0,"",VLOOKUP(Table1[[#This Row],[/* Object]],Namespace!A:J,5,FALSE))</f>
        <v>X</v>
      </c>
      <c r="AH568" t="str">
        <f>IF(VLOOKUP(Table1[[#This Row],[/* Object]],Namespace!A:J,6,FALSE)=0,"",VLOOKUP(Table1[[#This Row],[/* Object]],Namespace!A:J,6,FALSE))</f>
        <v/>
      </c>
      <c r="AI568">
        <f>IFERROR(FIND("/",Table1[[#This Row],[Final Obj Name]],1),0)</f>
        <v>0</v>
      </c>
      <c r="AJ568">
        <f>IF(Table1[[#This Row],[Position 1]]=0,0,FIND("/",Table1[[#This Row],[Final Obj Name]],Table1[[#This Row],[Position 1]]+1))</f>
        <v>0</v>
      </c>
      <c r="AK568" t="str">
        <f>IF(LEFT(Table1[[#This Row],[Final Obj Name]],1)="/",LEFT(Table1[[#This Row],[Final Obj Name]],FIND("/",Table1[[#This Row],[Final Obj Name]],2)),"/0SAP/")</f>
        <v>/0SAP/</v>
      </c>
    </row>
    <row r="569">
      <c r="A569" t="str">
        <v>ENHO</v>
      </c>
      <c r="B569" t="str">
        <v>ZEI_STR_E107_GLOBAL_ITEM</v>
      </c>
      <c r="C569" t="str">
        <v>ENHO</v>
      </c>
      <c r="D569" t="str">
        <v>ZEI_STR_E107_GLOBAL_ITEM</v>
      </c>
      <c r="G569" t="str">
        <v>ALL</v>
      </c>
      <c r="L569" t="str">
        <v>CST_BSOLAIMA</v>
      </c>
      <c r="M569">
        <v>45234</v>
      </c>
      <c r="N569">
        <v>0.76945601851852</v>
      </c>
      <c r="S569" t="str">
        <v>X</v>
      </c>
      <c r="W569" t="str">
        <v>PP1K900541</v>
      </c>
      <c r="Y569">
        <f>IF(Table1[[#This Row],[OPERATION]]="NOTE","NOTE",Table1[[#This Row],[SUB_TYPE]])</f>
        <v>0</v>
      </c>
      <c r="Z569">
        <f>IF(Table1[[#This Row],[OPERATION]]="NOTE",NUMBERVALUE(LEFT(Table1[[#This Row],[MOD_NAME]],LEN(Table1[[#This Row],[MOD_NAME]])-4)),Table1[[#This Row],[SUB_NAME]])</f>
        <v>0</v>
      </c>
      <c r="AA569" t="str">
        <f>CONCAT(Table1[[#This Row],[Final Obj Type]],"|",Table1[[#This Row],[Final Obj Name]])</f>
        <v>0|0</v>
      </c>
      <c r="AB569" t="e">
        <f>VLOOKUP(Table1[[#This Row],[Final Obj Type]],Classification!B:E,3,FALSE)</f>
        <v>#N/A</v>
      </c>
      <c r="AC569" t="e">
        <f>VLOOKUP(Table1[[#This Row],[Final Obj Type]],Classification!B:E,4,FALSE)</f>
        <v>#N/A</v>
      </c>
      <c r="AD569" t="str">
        <f>IF(Table1[[#This Row],[Position 1]]=0,"/0SAP/",MID(Table1[[#This Row],[Final Obj Name]],Table1[[#This Row],[Position 1]],Table1[[#This Row],[Position 2]]-Table1[[#This Row],[Position 1]]+1))</f>
        <v>/0SAP/</v>
      </c>
      <c r="AE569" t="str">
        <f>VLOOKUP(Table1[[#This Row],[/* Object]],Namespace!A:J,10,FALSE)</f>
        <v>SAP AG</v>
      </c>
      <c r="AF569" t="str">
        <f>IF(VLOOKUP(Table1[[#This Row],[/* Object]],Namespace!A:J,4,FALSE)=0,"",VLOOKUP(Table1[[#This Row],[/* Object]],Namespace!A:J,4,FALSE))</f>
        <v>X</v>
      </c>
      <c r="AG569" t="str">
        <f>IF(VLOOKUP(Table1[[#This Row],[/* Object]],Namespace!A:J,5,FALSE)=0,"",VLOOKUP(Table1[[#This Row],[/* Object]],Namespace!A:J,5,FALSE))</f>
        <v>X</v>
      </c>
      <c r="AH569" t="str">
        <f>IF(VLOOKUP(Table1[[#This Row],[/* Object]],Namespace!A:J,6,FALSE)=0,"",VLOOKUP(Table1[[#This Row],[/* Object]],Namespace!A:J,6,FALSE))</f>
        <v/>
      </c>
      <c r="AI569">
        <f>IFERROR(FIND("/",Table1[[#This Row],[Final Obj Name]],1),0)</f>
        <v>0</v>
      </c>
      <c r="AJ569">
        <f>IF(Table1[[#This Row],[Position 1]]=0,0,FIND("/",Table1[[#This Row],[Final Obj Name]],Table1[[#This Row],[Position 1]]+1))</f>
        <v>0</v>
      </c>
      <c r="AK569" t="str">
        <f>IF(LEFT(Table1[[#This Row],[Final Obj Name]],1)="/",LEFT(Table1[[#This Row],[Final Obj Name]],FIND("/",Table1[[#This Row],[Final Obj Name]],2)),"/0SAP/")</f>
        <v>/0SAP/</v>
      </c>
    </row>
    <row r="570">
      <c r="A570" t="str">
        <v>ENHO</v>
      </c>
      <c r="B570" t="str">
        <v>ZEI_STR_MASS_SCHEDULE_SERV_ORD</v>
      </c>
      <c r="C570" t="str">
        <v>ENHO</v>
      </c>
      <c r="D570" t="str">
        <v>ZEI_STR_MASS_SCHEDULE_SERV_ORD</v>
      </c>
      <c r="G570" t="str">
        <v>ALL</v>
      </c>
      <c r="L570" t="str">
        <v>CST_BSOLAIMA</v>
      </c>
      <c r="M570">
        <v>45234</v>
      </c>
      <c r="N570">
        <v>0.77024305555556</v>
      </c>
      <c r="S570" t="str">
        <v>X</v>
      </c>
      <c r="W570" t="str">
        <v>PP1K900541</v>
      </c>
      <c r="Y570">
        <f>IF(Table1[[#This Row],[OPERATION]]="NOTE","NOTE",Table1[[#This Row],[SUB_TYPE]])</f>
        <v>0</v>
      </c>
      <c r="Z570">
        <f>IF(Table1[[#This Row],[OPERATION]]="NOTE",NUMBERVALUE(LEFT(Table1[[#This Row],[MOD_NAME]],LEN(Table1[[#This Row],[MOD_NAME]])-4)),Table1[[#This Row],[SUB_NAME]])</f>
        <v>0</v>
      </c>
      <c r="AA570" t="str">
        <f>CONCAT(Table1[[#This Row],[Final Obj Type]],"|",Table1[[#This Row],[Final Obj Name]])</f>
        <v>0|0</v>
      </c>
      <c r="AB570" t="e">
        <f>VLOOKUP(Table1[[#This Row],[Final Obj Type]],Classification!B:E,3,FALSE)</f>
        <v>#N/A</v>
      </c>
      <c r="AC570" t="e">
        <f>VLOOKUP(Table1[[#This Row],[Final Obj Type]],Classification!B:E,4,FALSE)</f>
        <v>#N/A</v>
      </c>
      <c r="AD570" t="str">
        <f>IF(Table1[[#This Row],[Position 1]]=0,"/0SAP/",MID(Table1[[#This Row],[Final Obj Name]],Table1[[#This Row],[Position 1]],Table1[[#This Row],[Position 2]]-Table1[[#This Row],[Position 1]]+1))</f>
        <v>/0SAP/</v>
      </c>
      <c r="AE570" t="str">
        <f>VLOOKUP(Table1[[#This Row],[/* Object]],Namespace!A:J,10,FALSE)</f>
        <v>SAP AG</v>
      </c>
      <c r="AF570" t="str">
        <f>IF(VLOOKUP(Table1[[#This Row],[/* Object]],Namespace!A:J,4,FALSE)=0,"",VLOOKUP(Table1[[#This Row],[/* Object]],Namespace!A:J,4,FALSE))</f>
        <v>X</v>
      </c>
      <c r="AG570" t="str">
        <f>IF(VLOOKUP(Table1[[#This Row],[/* Object]],Namespace!A:J,5,FALSE)=0,"",VLOOKUP(Table1[[#This Row],[/* Object]],Namespace!A:J,5,FALSE))</f>
        <v>X</v>
      </c>
      <c r="AH570" t="str">
        <f>IF(VLOOKUP(Table1[[#This Row],[/* Object]],Namespace!A:J,6,FALSE)=0,"",VLOOKUP(Table1[[#This Row],[/* Object]],Namespace!A:J,6,FALSE))</f>
        <v/>
      </c>
      <c r="AI570">
        <f>IFERROR(FIND("/",Table1[[#This Row],[Final Obj Name]],1),0)</f>
        <v>0</v>
      </c>
      <c r="AJ570">
        <f>IF(Table1[[#This Row],[Position 1]]=0,0,FIND("/",Table1[[#This Row],[Final Obj Name]],Table1[[#This Row],[Position 1]]+1))</f>
        <v>0</v>
      </c>
      <c r="AK570" t="str">
        <f>IF(LEFT(Table1[[#This Row],[Final Obj Name]],1)="/",LEFT(Table1[[#This Row],[Final Obj Name]],FIND("/",Table1[[#This Row],[Final Obj Name]],2)),"/0SAP/")</f>
        <v>/0SAP/</v>
      </c>
    </row>
    <row r="571">
      <c r="A571" t="str">
        <v>ENHO</v>
      </c>
      <c r="B571" t="str">
        <v>ZEI_STR_UPD_DATE1</v>
      </c>
      <c r="C571" t="str">
        <v>ENHO</v>
      </c>
      <c r="D571" t="str">
        <v>ZEI_STR_UPD_DATE1</v>
      </c>
      <c r="G571" t="str">
        <v>ALL</v>
      </c>
      <c r="L571" t="str">
        <v>CST_BSOLAIMA</v>
      </c>
      <c r="M571">
        <v>45234</v>
      </c>
      <c r="N571">
        <v>0.77126157407407</v>
      </c>
      <c r="S571" t="str">
        <v>X</v>
      </c>
      <c r="W571" t="str">
        <v>PP1K900541</v>
      </c>
      <c r="Y571">
        <f>IF(Table1[[#This Row],[OPERATION]]="NOTE","NOTE",Table1[[#This Row],[SUB_TYPE]])</f>
        <v>0</v>
      </c>
      <c r="Z571">
        <f>IF(Table1[[#This Row],[OPERATION]]="NOTE",NUMBERVALUE(LEFT(Table1[[#This Row],[MOD_NAME]],LEN(Table1[[#This Row],[MOD_NAME]])-4)),Table1[[#This Row],[SUB_NAME]])</f>
        <v>0</v>
      </c>
      <c r="AA571" t="str">
        <f>CONCAT(Table1[[#This Row],[Final Obj Type]],"|",Table1[[#This Row],[Final Obj Name]])</f>
        <v>0|0</v>
      </c>
      <c r="AB571" t="e">
        <f>VLOOKUP(Table1[[#This Row],[Final Obj Type]],Classification!B:E,3,FALSE)</f>
        <v>#N/A</v>
      </c>
      <c r="AC571" t="e">
        <f>VLOOKUP(Table1[[#This Row],[Final Obj Type]],Classification!B:E,4,FALSE)</f>
        <v>#N/A</v>
      </c>
      <c r="AD571" t="str">
        <f>IF(Table1[[#This Row],[Position 1]]=0,"/0SAP/",MID(Table1[[#This Row],[Final Obj Name]],Table1[[#This Row],[Position 1]],Table1[[#This Row],[Position 2]]-Table1[[#This Row],[Position 1]]+1))</f>
        <v>/0SAP/</v>
      </c>
      <c r="AE571" t="str">
        <f>VLOOKUP(Table1[[#This Row],[/* Object]],Namespace!A:J,10,FALSE)</f>
        <v>SAP AG</v>
      </c>
      <c r="AF571" t="str">
        <f>IF(VLOOKUP(Table1[[#This Row],[/* Object]],Namespace!A:J,4,FALSE)=0,"",VLOOKUP(Table1[[#This Row],[/* Object]],Namespace!A:J,4,FALSE))</f>
        <v>X</v>
      </c>
      <c r="AG571" t="str">
        <f>IF(VLOOKUP(Table1[[#This Row],[/* Object]],Namespace!A:J,5,FALSE)=0,"",VLOOKUP(Table1[[#This Row],[/* Object]],Namespace!A:J,5,FALSE))</f>
        <v>X</v>
      </c>
      <c r="AH571" t="str">
        <f>IF(VLOOKUP(Table1[[#This Row],[/* Object]],Namespace!A:J,6,FALSE)=0,"",VLOOKUP(Table1[[#This Row],[/* Object]],Namespace!A:J,6,FALSE))</f>
        <v/>
      </c>
      <c r="AI571">
        <f>IFERROR(FIND("/",Table1[[#This Row],[Final Obj Name]],1),0)</f>
        <v>0</v>
      </c>
      <c r="AJ571">
        <f>IF(Table1[[#This Row],[Position 1]]=0,0,FIND("/",Table1[[#This Row],[Final Obj Name]],Table1[[#This Row],[Position 1]]+1))</f>
        <v>0</v>
      </c>
      <c r="AK571" t="str">
        <f>IF(LEFT(Table1[[#This Row],[Final Obj Name]],1)="/",LEFT(Table1[[#This Row],[Final Obj Name]],FIND("/",Table1[[#This Row],[Final Obj Name]],2)),"/0SAP/")</f>
        <v>/0SAP/</v>
      </c>
    </row>
    <row r="572">
      <c r="A572" t="str">
        <v>ENHO</v>
      </c>
      <c r="B572" t="str">
        <v>ZEI_ZRGGBS000</v>
      </c>
      <c r="C572" t="str">
        <v>ENHO</v>
      </c>
      <c r="D572" t="str">
        <v>ZEI_ZRGGBS000</v>
      </c>
      <c r="G572" t="str">
        <v>ALL</v>
      </c>
      <c r="L572" t="str">
        <v>CST_BSOLAIMA</v>
      </c>
      <c r="M572">
        <v>45234</v>
      </c>
      <c r="N572">
        <v>0.77174768518519</v>
      </c>
      <c r="S572" t="str">
        <v>X</v>
      </c>
      <c r="W572" t="str">
        <v>PP1K900541</v>
      </c>
      <c r="Y572">
        <f>IF(Table1[[#This Row],[OPERATION]]="NOTE","NOTE",Table1[[#This Row],[SUB_TYPE]])</f>
        <v>0</v>
      </c>
      <c r="Z572">
        <f>IF(Table1[[#This Row],[OPERATION]]="NOTE",NUMBERVALUE(LEFT(Table1[[#This Row],[MOD_NAME]],LEN(Table1[[#This Row],[MOD_NAME]])-4)),Table1[[#This Row],[SUB_NAME]])</f>
        <v>0</v>
      </c>
      <c r="AA572" t="str">
        <f>CONCAT(Table1[[#This Row],[Final Obj Type]],"|",Table1[[#This Row],[Final Obj Name]])</f>
        <v>0|0</v>
      </c>
      <c r="AB572" t="e">
        <f>VLOOKUP(Table1[[#This Row],[Final Obj Type]],Classification!B:E,3,FALSE)</f>
        <v>#N/A</v>
      </c>
      <c r="AC572" t="e">
        <f>VLOOKUP(Table1[[#This Row],[Final Obj Type]],Classification!B:E,4,FALSE)</f>
        <v>#N/A</v>
      </c>
      <c r="AD572" t="str">
        <f>IF(Table1[[#This Row],[Position 1]]=0,"/0SAP/",MID(Table1[[#This Row],[Final Obj Name]],Table1[[#This Row],[Position 1]],Table1[[#This Row],[Position 2]]-Table1[[#This Row],[Position 1]]+1))</f>
        <v>/0SAP/</v>
      </c>
      <c r="AE572" t="str">
        <f>VLOOKUP(Table1[[#This Row],[/* Object]],Namespace!A:J,10,FALSE)</f>
        <v>SAP AG</v>
      </c>
      <c r="AF572" t="str">
        <f>IF(VLOOKUP(Table1[[#This Row],[/* Object]],Namespace!A:J,4,FALSE)=0,"",VLOOKUP(Table1[[#This Row],[/* Object]],Namespace!A:J,4,FALSE))</f>
        <v>X</v>
      </c>
      <c r="AG572" t="str">
        <f>IF(VLOOKUP(Table1[[#This Row],[/* Object]],Namespace!A:J,5,FALSE)=0,"",VLOOKUP(Table1[[#This Row],[/* Object]],Namespace!A:J,5,FALSE))</f>
        <v>X</v>
      </c>
      <c r="AH572" t="str">
        <f>IF(VLOOKUP(Table1[[#This Row],[/* Object]],Namespace!A:J,6,FALSE)=0,"",VLOOKUP(Table1[[#This Row],[/* Object]],Namespace!A:J,6,FALSE))</f>
        <v/>
      </c>
      <c r="AI572">
        <f>IFERROR(FIND("/",Table1[[#This Row],[Final Obj Name]],1),0)</f>
        <v>0</v>
      </c>
      <c r="AJ572">
        <f>IF(Table1[[#This Row],[Position 1]]=0,0,FIND("/",Table1[[#This Row],[Final Obj Name]],Table1[[#This Row],[Position 1]]+1))</f>
        <v>0</v>
      </c>
      <c r="AK572" t="str">
        <f>IF(LEFT(Table1[[#This Row],[Final Obj Name]],1)="/",LEFT(Table1[[#This Row],[Final Obj Name]],FIND("/",Table1[[#This Row],[Final Obj Name]],2)),"/0SAP/")</f>
        <v>/0SAP/</v>
      </c>
    </row>
    <row r="573">
      <c r="A573" t="str">
        <v>ENHO</v>
      </c>
      <c r="B573" t="str">
        <v>ZENH_CCB_707_02</v>
      </c>
      <c r="C573" t="str">
        <v>ENHO</v>
      </c>
      <c r="D573" t="str">
        <v>ZENH_CCB_707_02</v>
      </c>
      <c r="G573" t="str">
        <v>ALL</v>
      </c>
      <c r="L573" t="str">
        <v>CST_BSOLAIMA</v>
      </c>
      <c r="M573">
        <v>45234</v>
      </c>
      <c r="N573">
        <v>0.77331018518519</v>
      </c>
      <c r="S573" t="str">
        <v>X</v>
      </c>
      <c r="W573" t="str">
        <v>PP1K900541</v>
      </c>
      <c r="Y573">
        <f>IF(Table1[[#This Row],[OPERATION]]="NOTE","NOTE",Table1[[#This Row],[SUB_TYPE]])</f>
        <v>0</v>
      </c>
      <c r="Z573">
        <f>IF(Table1[[#This Row],[OPERATION]]="NOTE",NUMBERVALUE(LEFT(Table1[[#This Row],[MOD_NAME]],LEN(Table1[[#This Row],[MOD_NAME]])-4)),Table1[[#This Row],[SUB_NAME]])</f>
        <v>0</v>
      </c>
      <c r="AA573" t="str">
        <f>CONCAT(Table1[[#This Row],[Final Obj Type]],"|",Table1[[#This Row],[Final Obj Name]])</f>
        <v>0|0</v>
      </c>
      <c r="AB573" t="e">
        <f>VLOOKUP(Table1[[#This Row],[Final Obj Type]],Classification!B:E,3,FALSE)</f>
        <v>#N/A</v>
      </c>
      <c r="AC573" t="e">
        <f>VLOOKUP(Table1[[#This Row],[Final Obj Type]],Classification!B:E,4,FALSE)</f>
        <v>#N/A</v>
      </c>
      <c r="AD573" t="str">
        <f>IF(Table1[[#This Row],[Position 1]]=0,"/0SAP/",MID(Table1[[#This Row],[Final Obj Name]],Table1[[#This Row],[Position 1]],Table1[[#This Row],[Position 2]]-Table1[[#This Row],[Position 1]]+1))</f>
        <v>/0SAP/</v>
      </c>
      <c r="AE573" t="str">
        <f>VLOOKUP(Table1[[#This Row],[/* Object]],Namespace!A:J,10,FALSE)</f>
        <v>SAP AG</v>
      </c>
      <c r="AF573" t="str">
        <f>IF(VLOOKUP(Table1[[#This Row],[/* Object]],Namespace!A:J,4,FALSE)=0,"",VLOOKUP(Table1[[#This Row],[/* Object]],Namespace!A:J,4,FALSE))</f>
        <v>X</v>
      </c>
      <c r="AG573" t="str">
        <f>IF(VLOOKUP(Table1[[#This Row],[/* Object]],Namespace!A:J,5,FALSE)=0,"",VLOOKUP(Table1[[#This Row],[/* Object]],Namespace!A:J,5,FALSE))</f>
        <v>X</v>
      </c>
      <c r="AH573" t="str">
        <f>IF(VLOOKUP(Table1[[#This Row],[/* Object]],Namespace!A:J,6,FALSE)=0,"",VLOOKUP(Table1[[#This Row],[/* Object]],Namespace!A:J,6,FALSE))</f>
        <v/>
      </c>
      <c r="AI573">
        <f>IFERROR(FIND("/",Table1[[#This Row],[Final Obj Name]],1),0)</f>
        <v>0</v>
      </c>
      <c r="AJ573">
        <f>IF(Table1[[#This Row],[Position 1]]=0,0,FIND("/",Table1[[#This Row],[Final Obj Name]],Table1[[#This Row],[Position 1]]+1))</f>
        <v>0</v>
      </c>
      <c r="AK573" t="str">
        <f>IF(LEFT(Table1[[#This Row],[Final Obj Name]],1)="/",LEFT(Table1[[#This Row],[Final Obj Name]],FIND("/",Table1[[#This Row],[Final Obj Name]],2)),"/0SAP/")</f>
        <v>/0SAP/</v>
      </c>
    </row>
    <row r="574">
      <c r="A574" t="str">
        <v>ENHO</v>
      </c>
      <c r="B574" t="str">
        <v>ZENH_IC_BILLING</v>
      </c>
      <c r="C574" t="str">
        <v>ENHO</v>
      </c>
      <c r="D574" t="str">
        <v>ZENH_IC_BILLING</v>
      </c>
      <c r="G574" t="str">
        <v>ALL</v>
      </c>
      <c r="L574" t="str">
        <v>CST_BSOLAIMA</v>
      </c>
      <c r="M574">
        <v>45234</v>
      </c>
      <c r="N574">
        <v>0.77391203703704</v>
      </c>
      <c r="S574" t="str">
        <v>X</v>
      </c>
      <c r="W574" t="str">
        <v>PP1K900541</v>
      </c>
      <c r="Y574">
        <f>IF(Table1[[#This Row],[OPERATION]]="NOTE","NOTE",Table1[[#This Row],[SUB_TYPE]])</f>
        <v>0</v>
      </c>
      <c r="Z574">
        <f>IF(Table1[[#This Row],[OPERATION]]="NOTE",NUMBERVALUE(LEFT(Table1[[#This Row],[MOD_NAME]],LEN(Table1[[#This Row],[MOD_NAME]])-4)),Table1[[#This Row],[SUB_NAME]])</f>
        <v>0</v>
      </c>
      <c r="AA574" t="str">
        <f>CONCAT(Table1[[#This Row],[Final Obj Type]],"|",Table1[[#This Row],[Final Obj Name]])</f>
        <v>0|0</v>
      </c>
      <c r="AB574" t="e">
        <f>VLOOKUP(Table1[[#This Row],[Final Obj Type]],Classification!B:E,3,FALSE)</f>
        <v>#N/A</v>
      </c>
      <c r="AC574" t="e">
        <f>VLOOKUP(Table1[[#This Row],[Final Obj Type]],Classification!B:E,4,FALSE)</f>
        <v>#N/A</v>
      </c>
      <c r="AD574" t="str">
        <f>IF(Table1[[#This Row],[Position 1]]=0,"/0SAP/",MID(Table1[[#This Row],[Final Obj Name]],Table1[[#This Row],[Position 1]],Table1[[#This Row],[Position 2]]-Table1[[#This Row],[Position 1]]+1))</f>
        <v>/0SAP/</v>
      </c>
      <c r="AE574" t="str">
        <f>VLOOKUP(Table1[[#This Row],[/* Object]],Namespace!A:J,10,FALSE)</f>
        <v>SAP AG</v>
      </c>
      <c r="AF574" t="str">
        <f>IF(VLOOKUP(Table1[[#This Row],[/* Object]],Namespace!A:J,4,FALSE)=0,"",VLOOKUP(Table1[[#This Row],[/* Object]],Namespace!A:J,4,FALSE))</f>
        <v>X</v>
      </c>
      <c r="AG574" t="str">
        <f>IF(VLOOKUP(Table1[[#This Row],[/* Object]],Namespace!A:J,5,FALSE)=0,"",VLOOKUP(Table1[[#This Row],[/* Object]],Namespace!A:J,5,FALSE))</f>
        <v>X</v>
      </c>
      <c r="AH574" t="str">
        <f>IF(VLOOKUP(Table1[[#This Row],[/* Object]],Namespace!A:J,6,FALSE)=0,"",VLOOKUP(Table1[[#This Row],[/* Object]],Namespace!A:J,6,FALSE))</f>
        <v/>
      </c>
      <c r="AI574">
        <f>IFERROR(FIND("/",Table1[[#This Row],[Final Obj Name]],1),0)</f>
        <v>0</v>
      </c>
      <c r="AJ574">
        <f>IF(Table1[[#This Row],[Position 1]]=0,0,FIND("/",Table1[[#This Row],[Final Obj Name]],Table1[[#This Row],[Position 1]]+1))</f>
        <v>0</v>
      </c>
      <c r="AK574" t="str">
        <f>IF(LEFT(Table1[[#This Row],[Final Obj Name]],1)="/",LEFT(Table1[[#This Row],[Final Obj Name]],FIND("/",Table1[[#This Row],[Final Obj Name]],2)),"/0SAP/")</f>
        <v>/0SAP/</v>
      </c>
    </row>
    <row r="575">
      <c r="A575" t="str">
        <v>ENHO</v>
      </c>
      <c r="B575" t="str">
        <v>ZENH_IC_BILLING_1</v>
      </c>
      <c r="C575" t="str">
        <v>ENHO</v>
      </c>
      <c r="D575" t="str">
        <v>ZENH_IC_BILLING_1</v>
      </c>
      <c r="G575" t="str">
        <v>ALL</v>
      </c>
      <c r="L575" t="str">
        <v>CST_BSOLAIMA</v>
      </c>
      <c r="M575">
        <v>45235</v>
      </c>
      <c r="N575">
        <v>0.11337962962963</v>
      </c>
      <c r="S575" t="str">
        <v>X</v>
      </c>
      <c r="W575" t="str">
        <v>PP1K900541</v>
      </c>
      <c r="Y575">
        <f>IF(Table1[[#This Row],[OPERATION]]="NOTE","NOTE",Table1[[#This Row],[SUB_TYPE]])</f>
        <v>0</v>
      </c>
      <c r="Z575">
        <f>IF(Table1[[#This Row],[OPERATION]]="NOTE",NUMBERVALUE(LEFT(Table1[[#This Row],[MOD_NAME]],LEN(Table1[[#This Row],[MOD_NAME]])-4)),Table1[[#This Row],[SUB_NAME]])</f>
        <v>0</v>
      </c>
      <c r="AA575" t="str">
        <f>CONCAT(Table1[[#This Row],[Final Obj Type]],"|",Table1[[#This Row],[Final Obj Name]])</f>
        <v>0|0</v>
      </c>
      <c r="AB575" t="e">
        <f>VLOOKUP(Table1[[#This Row],[Final Obj Type]],Classification!B:E,3,FALSE)</f>
        <v>#N/A</v>
      </c>
      <c r="AC575" t="e">
        <f>VLOOKUP(Table1[[#This Row],[Final Obj Type]],Classification!B:E,4,FALSE)</f>
        <v>#N/A</v>
      </c>
      <c r="AD575" t="str">
        <f>IF(Table1[[#This Row],[Position 1]]=0,"/0SAP/",MID(Table1[[#This Row],[Final Obj Name]],Table1[[#This Row],[Position 1]],Table1[[#This Row],[Position 2]]-Table1[[#This Row],[Position 1]]+1))</f>
        <v>/0SAP/</v>
      </c>
      <c r="AE575" t="str">
        <f>VLOOKUP(Table1[[#This Row],[/* Object]],Namespace!A:J,10,FALSE)</f>
        <v>SAP AG</v>
      </c>
      <c r="AF575" t="str">
        <f>IF(VLOOKUP(Table1[[#This Row],[/* Object]],Namespace!A:J,4,FALSE)=0,"",VLOOKUP(Table1[[#This Row],[/* Object]],Namespace!A:J,4,FALSE))</f>
        <v>X</v>
      </c>
      <c r="AG575" t="str">
        <f>IF(VLOOKUP(Table1[[#This Row],[/* Object]],Namespace!A:J,5,FALSE)=0,"",VLOOKUP(Table1[[#This Row],[/* Object]],Namespace!A:J,5,FALSE))</f>
        <v>X</v>
      </c>
      <c r="AH575" t="str">
        <f>IF(VLOOKUP(Table1[[#This Row],[/* Object]],Namespace!A:J,6,FALSE)=0,"",VLOOKUP(Table1[[#This Row],[/* Object]],Namespace!A:J,6,FALSE))</f>
        <v/>
      </c>
      <c r="AI575">
        <f>IFERROR(FIND("/",Table1[[#This Row],[Final Obj Name]],1),0)</f>
        <v>0</v>
      </c>
      <c r="AJ575">
        <f>IF(Table1[[#This Row],[Position 1]]=0,0,FIND("/",Table1[[#This Row],[Final Obj Name]],Table1[[#This Row],[Position 1]]+1))</f>
        <v>0</v>
      </c>
      <c r="AK575" t="str">
        <f>IF(LEFT(Table1[[#This Row],[Final Obj Name]],1)="/",LEFT(Table1[[#This Row],[Final Obj Name]],FIND("/",Table1[[#This Row],[Final Obj Name]],2)),"/0SAP/")</f>
        <v>/0SAP/</v>
      </c>
    </row>
    <row r="576">
      <c r="A576" t="str">
        <v>ENHO</v>
      </c>
      <c r="B576" t="str">
        <v>ZENH_MDGC_ENRI_FEEDER_CUSTOM</v>
      </c>
      <c r="C576" t="str">
        <v>ENHO</v>
      </c>
      <c r="D576" t="str">
        <v>ZENH_MDGC_ENRI_FEEDER_CUSTOM</v>
      </c>
      <c r="G576" t="str">
        <v>ALL</v>
      </c>
      <c r="L576" t="str">
        <v>JAR</v>
      </c>
      <c r="M576">
        <v>46121</v>
      </c>
      <c r="N576">
        <v>0.26483796296296</v>
      </c>
      <c r="S576" t="str">
        <v>X</v>
      </c>
      <c r="W576" t="str">
        <v>S01K929240</v>
      </c>
      <c r="Y576">
        <f>IF(Table1[[#This Row],[OPERATION]]="NOTE","NOTE",Table1[[#This Row],[SUB_TYPE]])</f>
        <v>0</v>
      </c>
      <c r="Z576">
        <f>IF(Table1[[#This Row],[OPERATION]]="NOTE",NUMBERVALUE(LEFT(Table1[[#This Row],[MOD_NAME]],LEN(Table1[[#This Row],[MOD_NAME]])-4)),Table1[[#This Row],[SUB_NAME]])</f>
        <v>0</v>
      </c>
      <c r="AA576" t="str">
        <f>CONCAT(Table1[[#This Row],[Final Obj Type]],"|",Table1[[#This Row],[Final Obj Name]])</f>
        <v>0|0</v>
      </c>
      <c r="AB576" t="e">
        <f>VLOOKUP(Table1[[#This Row],[Final Obj Type]],Classification!B:E,3,FALSE)</f>
        <v>#N/A</v>
      </c>
      <c r="AC576" t="e">
        <f>VLOOKUP(Table1[[#This Row],[Final Obj Type]],Classification!B:E,4,FALSE)</f>
        <v>#N/A</v>
      </c>
      <c r="AD576" t="str">
        <f>IF(Table1[[#This Row],[Position 1]]=0,"/0SAP/",MID(Table1[[#This Row],[Final Obj Name]],Table1[[#This Row],[Position 1]],Table1[[#This Row],[Position 2]]-Table1[[#This Row],[Position 1]]+1))</f>
        <v>/0SAP/</v>
      </c>
      <c r="AE576" t="str">
        <f>VLOOKUP(Table1[[#This Row],[/* Object]],Namespace!A:J,10,FALSE)</f>
        <v>SAP AG</v>
      </c>
      <c r="AF576" t="str">
        <f>IF(VLOOKUP(Table1[[#This Row],[/* Object]],Namespace!A:J,4,FALSE)=0,"",VLOOKUP(Table1[[#This Row],[/* Object]],Namespace!A:J,4,FALSE))</f>
        <v>X</v>
      </c>
      <c r="AG576" t="str">
        <f>IF(VLOOKUP(Table1[[#This Row],[/* Object]],Namespace!A:J,5,FALSE)=0,"",VLOOKUP(Table1[[#This Row],[/* Object]],Namespace!A:J,5,FALSE))</f>
        <v>X</v>
      </c>
      <c r="AH576" t="str">
        <f>IF(VLOOKUP(Table1[[#This Row],[/* Object]],Namespace!A:J,6,FALSE)=0,"",VLOOKUP(Table1[[#This Row],[/* Object]],Namespace!A:J,6,FALSE))</f>
        <v/>
      </c>
      <c r="AI576">
        <f>IFERROR(FIND("/",Table1[[#This Row],[Final Obj Name]],1),0)</f>
        <v>0</v>
      </c>
      <c r="AJ576">
        <f>IF(Table1[[#This Row],[Position 1]]=0,0,FIND("/",Table1[[#This Row],[Final Obj Name]],Table1[[#This Row],[Position 1]]+1))</f>
        <v>0</v>
      </c>
      <c r="AK576" t="str">
        <f>IF(LEFT(Table1[[#This Row],[Final Obj Name]],1)="/",LEFT(Table1[[#This Row],[Final Obj Name]],FIND("/",Table1[[#This Row],[Final Obj Name]],2)),"/0SAP/")</f>
        <v>/0SAP/</v>
      </c>
    </row>
    <row r="577">
      <c r="A577" t="str">
        <v>ENHO</v>
      </c>
      <c r="B577" t="str">
        <v>ZFA_TEXT_ASSET</v>
      </c>
      <c r="C577" t="str">
        <v>ENHO</v>
      </c>
      <c r="D577" t="str">
        <v>ZFA_TEXT_ASSET</v>
      </c>
      <c r="G577" t="str">
        <v>ALL</v>
      </c>
      <c r="L577" t="str">
        <v>CST_BSOLAIMA</v>
      </c>
      <c r="M577">
        <v>45235</v>
      </c>
      <c r="N577">
        <v>0.15597222222222</v>
      </c>
      <c r="S577" t="str">
        <v>X</v>
      </c>
      <c r="W577" t="str">
        <v>PP1K900520</v>
      </c>
      <c r="Y577">
        <f>IF(Table1[[#This Row],[OPERATION]]="NOTE","NOTE",Table1[[#This Row],[SUB_TYPE]])</f>
        <v>0</v>
      </c>
      <c r="Z577">
        <f>IF(Table1[[#This Row],[OPERATION]]="NOTE",NUMBERVALUE(LEFT(Table1[[#This Row],[MOD_NAME]],LEN(Table1[[#This Row],[MOD_NAME]])-4)),Table1[[#This Row],[SUB_NAME]])</f>
        <v>0</v>
      </c>
      <c r="AA577" t="str">
        <f>CONCAT(Table1[[#This Row],[Final Obj Type]],"|",Table1[[#This Row],[Final Obj Name]])</f>
        <v>0|0</v>
      </c>
      <c r="AB577" t="e">
        <f>VLOOKUP(Table1[[#This Row],[Final Obj Type]],Classification!B:E,3,FALSE)</f>
        <v>#N/A</v>
      </c>
      <c r="AC577" t="e">
        <f>VLOOKUP(Table1[[#This Row],[Final Obj Type]],Classification!B:E,4,FALSE)</f>
        <v>#N/A</v>
      </c>
      <c r="AD577" t="str">
        <f>IF(Table1[[#This Row],[Position 1]]=0,"/0SAP/",MID(Table1[[#This Row],[Final Obj Name]],Table1[[#This Row],[Position 1]],Table1[[#This Row],[Position 2]]-Table1[[#This Row],[Position 1]]+1))</f>
        <v>/0SAP/</v>
      </c>
      <c r="AE577" t="str">
        <f>VLOOKUP(Table1[[#This Row],[/* Object]],Namespace!A:J,10,FALSE)</f>
        <v>SAP AG</v>
      </c>
      <c r="AF577" t="str">
        <f>IF(VLOOKUP(Table1[[#This Row],[/* Object]],Namespace!A:J,4,FALSE)=0,"",VLOOKUP(Table1[[#This Row],[/* Object]],Namespace!A:J,4,FALSE))</f>
        <v>X</v>
      </c>
      <c r="AG577" t="str">
        <f>IF(VLOOKUP(Table1[[#This Row],[/* Object]],Namespace!A:J,5,FALSE)=0,"",VLOOKUP(Table1[[#This Row],[/* Object]],Namespace!A:J,5,FALSE))</f>
        <v>X</v>
      </c>
      <c r="AH577" t="str">
        <f>IF(VLOOKUP(Table1[[#This Row],[/* Object]],Namespace!A:J,6,FALSE)=0,"",VLOOKUP(Table1[[#This Row],[/* Object]],Namespace!A:J,6,FALSE))</f>
        <v/>
      </c>
      <c r="AI577">
        <f>IFERROR(FIND("/",Table1[[#This Row],[Final Obj Name]],1),0)</f>
        <v>0</v>
      </c>
      <c r="AJ577">
        <f>IF(Table1[[#This Row],[Position 1]]=0,0,FIND("/",Table1[[#This Row],[Final Obj Name]],Table1[[#This Row],[Position 1]]+1))</f>
        <v>0</v>
      </c>
      <c r="AK577" t="str">
        <f>IF(LEFT(Table1[[#This Row],[Final Obj Name]],1)="/",LEFT(Table1[[#This Row],[Final Obj Name]],FIND("/",Table1[[#This Row],[Final Obj Name]],2)),"/0SAP/")</f>
        <v>/0SAP/</v>
      </c>
    </row>
    <row r="578">
      <c r="A578" t="str">
        <v>ENHO</v>
      </c>
      <c r="B578" t="str">
        <v>ZFIAA_ALV_DISPLAY</v>
      </c>
      <c r="C578" t="str">
        <v>ENHO</v>
      </c>
      <c r="D578" t="str">
        <v>ZFIAA_ALV_DISPLAY</v>
      </c>
      <c r="G578" t="str">
        <v>ALL</v>
      </c>
      <c r="L578" t="str">
        <v>HMAISCH</v>
      </c>
      <c r="M578">
        <v>45234</v>
      </c>
      <c r="N578">
        <v>0.41876157407407</v>
      </c>
      <c r="S578" t="str">
        <v>X</v>
      </c>
      <c r="W578" t="str">
        <v>PP1K900534</v>
      </c>
      <c r="Y578">
        <f>IF(Table1[[#This Row],[OPERATION]]="NOTE","NOTE",Table1[[#This Row],[SUB_TYPE]])</f>
        <v>0</v>
      </c>
      <c r="Z578">
        <f>IF(Table1[[#This Row],[OPERATION]]="NOTE",NUMBERVALUE(LEFT(Table1[[#This Row],[MOD_NAME]],LEN(Table1[[#This Row],[MOD_NAME]])-4)),Table1[[#This Row],[SUB_NAME]])</f>
        <v>0</v>
      </c>
      <c r="AA578" t="str">
        <f>CONCAT(Table1[[#This Row],[Final Obj Type]],"|",Table1[[#This Row],[Final Obj Name]])</f>
        <v>0|0</v>
      </c>
      <c r="AB578" t="e">
        <f>VLOOKUP(Table1[[#This Row],[Final Obj Type]],Classification!B:E,3,FALSE)</f>
        <v>#N/A</v>
      </c>
      <c r="AC578" t="e">
        <f>VLOOKUP(Table1[[#This Row],[Final Obj Type]],Classification!B:E,4,FALSE)</f>
        <v>#N/A</v>
      </c>
      <c r="AD578" t="str">
        <f>IF(Table1[[#This Row],[Position 1]]=0,"/0SAP/",MID(Table1[[#This Row],[Final Obj Name]],Table1[[#This Row],[Position 1]],Table1[[#This Row],[Position 2]]-Table1[[#This Row],[Position 1]]+1))</f>
        <v>/0SAP/</v>
      </c>
      <c r="AE578" t="str">
        <f>VLOOKUP(Table1[[#This Row],[/* Object]],Namespace!A:J,10,FALSE)</f>
        <v>SAP AG</v>
      </c>
      <c r="AF578" t="str">
        <f>IF(VLOOKUP(Table1[[#This Row],[/* Object]],Namespace!A:J,4,FALSE)=0,"",VLOOKUP(Table1[[#This Row],[/* Object]],Namespace!A:J,4,FALSE))</f>
        <v>X</v>
      </c>
      <c r="AG578" t="str">
        <f>IF(VLOOKUP(Table1[[#This Row],[/* Object]],Namespace!A:J,5,FALSE)=0,"",VLOOKUP(Table1[[#This Row],[/* Object]],Namespace!A:J,5,FALSE))</f>
        <v>X</v>
      </c>
      <c r="AH578" t="str">
        <f>IF(VLOOKUP(Table1[[#This Row],[/* Object]],Namespace!A:J,6,FALSE)=0,"",VLOOKUP(Table1[[#This Row],[/* Object]],Namespace!A:J,6,FALSE))</f>
        <v/>
      </c>
      <c r="AI578">
        <f>IFERROR(FIND("/",Table1[[#This Row],[Final Obj Name]],1),0)</f>
        <v>0</v>
      </c>
      <c r="AJ578">
        <f>IF(Table1[[#This Row],[Position 1]]=0,0,FIND("/",Table1[[#This Row],[Final Obj Name]],Table1[[#This Row],[Position 1]]+1))</f>
        <v>0</v>
      </c>
      <c r="AK578" t="str">
        <f>IF(LEFT(Table1[[#This Row],[Final Obj Name]],1)="/",LEFT(Table1[[#This Row],[Final Obj Name]],FIND("/",Table1[[#This Row],[Final Obj Name]],2)),"/0SAP/")</f>
        <v>/0SAP/</v>
      </c>
    </row>
    <row r="579">
      <c r="A579" t="str">
        <v>ENHO</v>
      </c>
      <c r="B579" t="str">
        <v>ZFLS_CUSTOM_FIELD_LOG</v>
      </c>
      <c r="C579" t="str">
        <v>ENHO</v>
      </c>
      <c r="D579" t="str">
        <v>ZFLS_CUSTOM_FIELD_LOG</v>
      </c>
      <c r="G579" t="str">
        <v>ALL</v>
      </c>
      <c r="L579" t="str">
        <v>CST_BSOLAIMA</v>
      </c>
      <c r="M579">
        <v>45235</v>
      </c>
      <c r="N579">
        <v>0.11092592592593</v>
      </c>
      <c r="S579" t="str">
        <v>X</v>
      </c>
      <c r="W579" t="str">
        <v>PP1K900520</v>
      </c>
      <c r="Y579">
        <f>IF(Table1[[#This Row],[OPERATION]]="NOTE","NOTE",Table1[[#This Row],[SUB_TYPE]])</f>
        <v>0</v>
      </c>
      <c r="Z579">
        <f>IF(Table1[[#This Row],[OPERATION]]="NOTE",NUMBERVALUE(LEFT(Table1[[#This Row],[MOD_NAME]],LEN(Table1[[#This Row],[MOD_NAME]])-4)),Table1[[#This Row],[SUB_NAME]])</f>
        <v>0</v>
      </c>
      <c r="AA579" t="str">
        <f>CONCAT(Table1[[#This Row],[Final Obj Type]],"|",Table1[[#This Row],[Final Obj Name]])</f>
        <v>0|0</v>
      </c>
      <c r="AB579" t="e">
        <f>VLOOKUP(Table1[[#This Row],[Final Obj Type]],Classification!B:E,3,FALSE)</f>
        <v>#N/A</v>
      </c>
      <c r="AC579" t="e">
        <f>VLOOKUP(Table1[[#This Row],[Final Obj Type]],Classification!B:E,4,FALSE)</f>
        <v>#N/A</v>
      </c>
      <c r="AD579" t="str">
        <f>IF(Table1[[#This Row],[Position 1]]=0,"/0SAP/",MID(Table1[[#This Row],[Final Obj Name]],Table1[[#This Row],[Position 1]],Table1[[#This Row],[Position 2]]-Table1[[#This Row],[Position 1]]+1))</f>
        <v>/0SAP/</v>
      </c>
      <c r="AE579" t="str">
        <f>VLOOKUP(Table1[[#This Row],[/* Object]],Namespace!A:J,10,FALSE)</f>
        <v>SAP AG</v>
      </c>
      <c r="AF579" t="str">
        <f>IF(VLOOKUP(Table1[[#This Row],[/* Object]],Namespace!A:J,4,FALSE)=0,"",VLOOKUP(Table1[[#This Row],[/* Object]],Namespace!A:J,4,FALSE))</f>
        <v>X</v>
      </c>
      <c r="AG579" t="str">
        <f>IF(VLOOKUP(Table1[[#This Row],[/* Object]],Namespace!A:J,5,FALSE)=0,"",VLOOKUP(Table1[[#This Row],[/* Object]],Namespace!A:J,5,FALSE))</f>
        <v>X</v>
      </c>
      <c r="AH579" t="str">
        <f>IF(VLOOKUP(Table1[[#This Row],[/* Object]],Namespace!A:J,6,FALSE)=0,"",VLOOKUP(Table1[[#This Row],[/* Object]],Namespace!A:J,6,FALSE))</f>
        <v/>
      </c>
      <c r="AI579">
        <f>IFERROR(FIND("/",Table1[[#This Row],[Final Obj Name]],1),0)</f>
        <v>0</v>
      </c>
      <c r="AJ579">
        <f>IF(Table1[[#This Row],[Position 1]]=0,0,FIND("/",Table1[[#This Row],[Final Obj Name]],Table1[[#This Row],[Position 1]]+1))</f>
        <v>0</v>
      </c>
      <c r="AK579" t="str">
        <f>IF(LEFT(Table1[[#This Row],[Final Obj Name]],1)="/",LEFT(Table1[[#This Row],[Final Obj Name]],FIND("/",Table1[[#This Row],[Final Obj Name]],2)),"/0SAP/")</f>
        <v>/0SAP/</v>
      </c>
    </row>
    <row r="580">
      <c r="A580" t="str">
        <v>ENHO</v>
      </c>
      <c r="B580" t="str">
        <v>ZFLS_HELPINFO_EXPORT</v>
      </c>
      <c r="C580" t="str">
        <v>ENHO</v>
      </c>
      <c r="D580" t="str">
        <v>ZFLS_HELPINFO_EXPORT</v>
      </c>
      <c r="G580" t="str">
        <v>ALL</v>
      </c>
      <c r="L580" t="str">
        <v>CST_BSOLAIMA</v>
      </c>
      <c r="M580">
        <v>45235</v>
      </c>
      <c r="N580">
        <v>0.15652777777778</v>
      </c>
      <c r="S580" t="str">
        <v>X</v>
      </c>
      <c r="W580" t="str">
        <v>PP1K900520</v>
      </c>
      <c r="Y580">
        <f>IF(Table1[[#This Row],[OPERATION]]="NOTE","NOTE",Table1[[#This Row],[SUB_TYPE]])</f>
        <v>0</v>
      </c>
      <c r="Z580">
        <f>IF(Table1[[#This Row],[OPERATION]]="NOTE",NUMBERVALUE(LEFT(Table1[[#This Row],[MOD_NAME]],LEN(Table1[[#This Row],[MOD_NAME]])-4)),Table1[[#This Row],[SUB_NAME]])</f>
        <v>0</v>
      </c>
      <c r="AA580" t="str">
        <f>CONCAT(Table1[[#This Row],[Final Obj Type]],"|",Table1[[#This Row],[Final Obj Name]])</f>
        <v>0|0</v>
      </c>
      <c r="AB580" t="e">
        <f>VLOOKUP(Table1[[#This Row],[Final Obj Type]],Classification!B:E,3,FALSE)</f>
        <v>#N/A</v>
      </c>
      <c r="AC580" t="e">
        <f>VLOOKUP(Table1[[#This Row],[Final Obj Type]],Classification!B:E,4,FALSE)</f>
        <v>#N/A</v>
      </c>
      <c r="AD580" t="str">
        <f>IF(Table1[[#This Row],[Position 1]]=0,"/0SAP/",MID(Table1[[#This Row],[Final Obj Name]],Table1[[#This Row],[Position 1]],Table1[[#This Row],[Position 2]]-Table1[[#This Row],[Position 1]]+1))</f>
        <v>/0SAP/</v>
      </c>
      <c r="AE580" t="str">
        <f>VLOOKUP(Table1[[#This Row],[/* Object]],Namespace!A:J,10,FALSE)</f>
        <v>SAP AG</v>
      </c>
      <c r="AF580" t="str">
        <f>IF(VLOOKUP(Table1[[#This Row],[/* Object]],Namespace!A:J,4,FALSE)=0,"",VLOOKUP(Table1[[#This Row],[/* Object]],Namespace!A:J,4,FALSE))</f>
        <v>X</v>
      </c>
      <c r="AG580" t="str">
        <f>IF(VLOOKUP(Table1[[#This Row],[/* Object]],Namespace!A:J,5,FALSE)=0,"",VLOOKUP(Table1[[#This Row],[/* Object]],Namespace!A:J,5,FALSE))</f>
        <v>X</v>
      </c>
      <c r="AH580" t="str">
        <f>IF(VLOOKUP(Table1[[#This Row],[/* Object]],Namespace!A:J,6,FALSE)=0,"",VLOOKUP(Table1[[#This Row],[/* Object]],Namespace!A:J,6,FALSE))</f>
        <v/>
      </c>
      <c r="AI580">
        <f>IFERROR(FIND("/",Table1[[#This Row],[Final Obj Name]],1),0)</f>
        <v>0</v>
      </c>
      <c r="AJ580">
        <f>IF(Table1[[#This Row],[Position 1]]=0,0,FIND("/",Table1[[#This Row],[Final Obj Name]],Table1[[#This Row],[Position 1]]+1))</f>
        <v>0</v>
      </c>
      <c r="AK580" t="str">
        <f>IF(LEFT(Table1[[#This Row],[Final Obj Name]],1)="/",LEFT(Table1[[#This Row],[Final Obj Name]],FIND("/",Table1[[#This Row],[Final Obj Name]],2)),"/0SAP/")</f>
        <v>/0SAP/</v>
      </c>
    </row>
    <row r="581">
      <c r="A581" t="str">
        <v>ENHO</v>
      </c>
      <c r="B581" t="str">
        <v>ZFLS_IDT_ENHANCEMENTS</v>
      </c>
      <c r="C581" t="str">
        <v>ENHO</v>
      </c>
      <c r="D581" t="str">
        <v>ZFLS_IDT_ENHANCEMENTS</v>
      </c>
      <c r="G581" t="str">
        <v>ALL</v>
      </c>
      <c r="L581" t="str">
        <v>JVITER</v>
      </c>
      <c r="M581">
        <v>45234</v>
      </c>
      <c r="N581">
        <v>0.71008101851852</v>
      </c>
      <c r="S581" t="str">
        <v>X</v>
      </c>
      <c r="W581" t="str">
        <v>PP1K900520</v>
      </c>
      <c r="Y581">
        <f>IF(Table1[[#This Row],[OPERATION]]="NOTE","NOTE",Table1[[#This Row],[SUB_TYPE]])</f>
        <v>0</v>
      </c>
      <c r="Z581">
        <f>IF(Table1[[#This Row],[OPERATION]]="NOTE",NUMBERVALUE(LEFT(Table1[[#This Row],[MOD_NAME]],LEN(Table1[[#This Row],[MOD_NAME]])-4)),Table1[[#This Row],[SUB_NAME]])</f>
        <v>0</v>
      </c>
      <c r="AA581" t="str">
        <f>CONCAT(Table1[[#This Row],[Final Obj Type]],"|",Table1[[#This Row],[Final Obj Name]])</f>
        <v>0|0</v>
      </c>
      <c r="AB581" t="e">
        <f>VLOOKUP(Table1[[#This Row],[Final Obj Type]],Classification!B:E,3,FALSE)</f>
        <v>#N/A</v>
      </c>
      <c r="AC581" t="e">
        <f>VLOOKUP(Table1[[#This Row],[Final Obj Type]],Classification!B:E,4,FALSE)</f>
        <v>#N/A</v>
      </c>
      <c r="AD581" t="str">
        <f>IF(Table1[[#This Row],[Position 1]]=0,"/0SAP/",MID(Table1[[#This Row],[Final Obj Name]],Table1[[#This Row],[Position 1]],Table1[[#This Row],[Position 2]]-Table1[[#This Row],[Position 1]]+1))</f>
        <v>/0SAP/</v>
      </c>
      <c r="AE581" t="str">
        <f>VLOOKUP(Table1[[#This Row],[/* Object]],Namespace!A:J,10,FALSE)</f>
        <v>SAP AG</v>
      </c>
      <c r="AF581" t="str">
        <f>IF(VLOOKUP(Table1[[#This Row],[/* Object]],Namespace!A:J,4,FALSE)=0,"",VLOOKUP(Table1[[#This Row],[/* Object]],Namespace!A:J,4,FALSE))</f>
        <v>X</v>
      </c>
      <c r="AG581" t="str">
        <f>IF(VLOOKUP(Table1[[#This Row],[/* Object]],Namespace!A:J,5,FALSE)=0,"",VLOOKUP(Table1[[#This Row],[/* Object]],Namespace!A:J,5,FALSE))</f>
        <v>X</v>
      </c>
      <c r="AH581" t="str">
        <f>IF(VLOOKUP(Table1[[#This Row],[/* Object]],Namespace!A:J,6,FALSE)=0,"",VLOOKUP(Table1[[#This Row],[/* Object]],Namespace!A:J,6,FALSE))</f>
        <v/>
      </c>
      <c r="AI581">
        <f>IFERROR(FIND("/",Table1[[#This Row],[Final Obj Name]],1),0)</f>
        <v>0</v>
      </c>
      <c r="AJ581">
        <f>IF(Table1[[#This Row],[Position 1]]=0,0,FIND("/",Table1[[#This Row],[Final Obj Name]],Table1[[#This Row],[Position 1]]+1))</f>
        <v>0</v>
      </c>
      <c r="AK581" t="str">
        <f>IF(LEFT(Table1[[#This Row],[Final Obj Name]],1)="/",LEFT(Table1[[#This Row],[Final Obj Name]],FIND("/",Table1[[#This Row],[Final Obj Name]],2)),"/0SAP/")</f>
        <v>/0SAP/</v>
      </c>
    </row>
    <row r="582">
      <c r="A582" t="str">
        <v>ENHO</v>
      </c>
      <c r="B582" t="str">
        <v>ZFLS_IDT_ENHANCEMENTS_FI</v>
      </c>
      <c r="C582" t="str">
        <v>ENHO</v>
      </c>
      <c r="D582" t="str">
        <v>ZFLS_IDT_ENHANCEMENTS_FI</v>
      </c>
      <c r="G582" t="str">
        <v>ALL</v>
      </c>
      <c r="L582" t="str">
        <v>JVITER</v>
      </c>
      <c r="M582">
        <v>45234</v>
      </c>
      <c r="N582">
        <v>0.71253472222222</v>
      </c>
      <c r="S582" t="str">
        <v>X</v>
      </c>
      <c r="W582" t="str">
        <v>PP1K900520</v>
      </c>
      <c r="Y582">
        <f>IF(Table1[[#This Row],[OPERATION]]="NOTE","NOTE",Table1[[#This Row],[SUB_TYPE]])</f>
        <v>0</v>
      </c>
      <c r="Z582">
        <f>IF(Table1[[#This Row],[OPERATION]]="NOTE",NUMBERVALUE(LEFT(Table1[[#This Row],[MOD_NAME]],LEN(Table1[[#This Row],[MOD_NAME]])-4)),Table1[[#This Row],[SUB_NAME]])</f>
        <v>0</v>
      </c>
      <c r="AA582" t="str">
        <f>CONCAT(Table1[[#This Row],[Final Obj Type]],"|",Table1[[#This Row],[Final Obj Name]])</f>
        <v>0|0</v>
      </c>
      <c r="AB582" t="e">
        <f>VLOOKUP(Table1[[#This Row],[Final Obj Type]],Classification!B:E,3,FALSE)</f>
        <v>#N/A</v>
      </c>
      <c r="AC582" t="e">
        <f>VLOOKUP(Table1[[#This Row],[Final Obj Type]],Classification!B:E,4,FALSE)</f>
        <v>#N/A</v>
      </c>
      <c r="AD582" t="str">
        <f>IF(Table1[[#This Row],[Position 1]]=0,"/0SAP/",MID(Table1[[#This Row],[Final Obj Name]],Table1[[#This Row],[Position 1]],Table1[[#This Row],[Position 2]]-Table1[[#This Row],[Position 1]]+1))</f>
        <v>/0SAP/</v>
      </c>
      <c r="AE582" t="str">
        <f>VLOOKUP(Table1[[#This Row],[/* Object]],Namespace!A:J,10,FALSE)</f>
        <v>SAP AG</v>
      </c>
      <c r="AF582" t="str">
        <f>IF(VLOOKUP(Table1[[#This Row],[/* Object]],Namespace!A:J,4,FALSE)=0,"",VLOOKUP(Table1[[#This Row],[/* Object]],Namespace!A:J,4,FALSE))</f>
        <v>X</v>
      </c>
      <c r="AG582" t="str">
        <f>IF(VLOOKUP(Table1[[#This Row],[/* Object]],Namespace!A:J,5,FALSE)=0,"",VLOOKUP(Table1[[#This Row],[/* Object]],Namespace!A:J,5,FALSE))</f>
        <v>X</v>
      </c>
      <c r="AH582" t="str">
        <f>IF(VLOOKUP(Table1[[#This Row],[/* Object]],Namespace!A:J,6,FALSE)=0,"",VLOOKUP(Table1[[#This Row],[/* Object]],Namespace!A:J,6,FALSE))</f>
        <v/>
      </c>
      <c r="AI582">
        <f>IFERROR(FIND("/",Table1[[#This Row],[Final Obj Name]],1),0)</f>
        <v>0</v>
      </c>
      <c r="AJ582">
        <f>IF(Table1[[#This Row],[Position 1]]=0,0,FIND("/",Table1[[#This Row],[Final Obj Name]],Table1[[#This Row],[Position 1]]+1))</f>
        <v>0</v>
      </c>
      <c r="AK582" t="str">
        <f>IF(LEFT(Table1[[#This Row],[Final Obj Name]],1)="/",LEFT(Table1[[#This Row],[Final Obj Name]],FIND("/",Table1[[#This Row],[Final Obj Name]],2)),"/0SAP/")</f>
        <v>/0SAP/</v>
      </c>
    </row>
    <row r="583">
      <c r="A583" t="str">
        <v>ENHO</v>
      </c>
      <c r="B583" t="str">
        <v>ZFLS_IDT_ENHANCEMENTS_LM</v>
      </c>
      <c r="C583" t="str">
        <v>ENHO</v>
      </c>
      <c r="D583" t="str">
        <v>ZFLS_IDT_ENHANCEMENTS_LM</v>
      </c>
      <c r="G583" t="str">
        <v>ALL</v>
      </c>
      <c r="L583" t="str">
        <v>JVITER</v>
      </c>
      <c r="M583">
        <v>45234</v>
      </c>
      <c r="N583">
        <v>0.71354166666667</v>
      </c>
      <c r="S583" t="str">
        <v>X</v>
      </c>
      <c r="W583" t="str">
        <v>PP1K900520</v>
      </c>
      <c r="Y583">
        <f>IF(Table1[[#This Row],[OPERATION]]="NOTE","NOTE",Table1[[#This Row],[SUB_TYPE]])</f>
        <v>0</v>
      </c>
      <c r="Z583">
        <f>IF(Table1[[#This Row],[OPERATION]]="NOTE",NUMBERVALUE(LEFT(Table1[[#This Row],[MOD_NAME]],LEN(Table1[[#This Row],[MOD_NAME]])-4)),Table1[[#This Row],[SUB_NAME]])</f>
        <v>0</v>
      </c>
      <c r="AA583" t="str">
        <f>CONCAT(Table1[[#This Row],[Final Obj Type]],"|",Table1[[#This Row],[Final Obj Name]])</f>
        <v>0|0</v>
      </c>
      <c r="AB583" t="e">
        <f>VLOOKUP(Table1[[#This Row],[Final Obj Type]],Classification!B:E,3,FALSE)</f>
        <v>#N/A</v>
      </c>
      <c r="AC583" t="e">
        <f>VLOOKUP(Table1[[#This Row],[Final Obj Type]],Classification!B:E,4,FALSE)</f>
        <v>#N/A</v>
      </c>
      <c r="AD583" t="str">
        <f>IF(Table1[[#This Row],[Position 1]]=0,"/0SAP/",MID(Table1[[#This Row],[Final Obj Name]],Table1[[#This Row],[Position 1]],Table1[[#This Row],[Position 2]]-Table1[[#This Row],[Position 1]]+1))</f>
        <v>/0SAP/</v>
      </c>
      <c r="AE583" t="str">
        <f>VLOOKUP(Table1[[#This Row],[/* Object]],Namespace!A:J,10,FALSE)</f>
        <v>SAP AG</v>
      </c>
      <c r="AF583" t="str">
        <f>IF(VLOOKUP(Table1[[#This Row],[/* Object]],Namespace!A:J,4,FALSE)=0,"",VLOOKUP(Table1[[#This Row],[/* Object]],Namespace!A:J,4,FALSE))</f>
        <v>X</v>
      </c>
      <c r="AG583" t="str">
        <f>IF(VLOOKUP(Table1[[#This Row],[/* Object]],Namespace!A:J,5,FALSE)=0,"",VLOOKUP(Table1[[#This Row],[/* Object]],Namespace!A:J,5,FALSE))</f>
        <v>X</v>
      </c>
      <c r="AH583" t="str">
        <f>IF(VLOOKUP(Table1[[#This Row],[/* Object]],Namespace!A:J,6,FALSE)=0,"",VLOOKUP(Table1[[#This Row],[/* Object]],Namespace!A:J,6,FALSE))</f>
        <v/>
      </c>
      <c r="AI583">
        <f>IFERROR(FIND("/",Table1[[#This Row],[Final Obj Name]],1),0)</f>
        <v>0</v>
      </c>
      <c r="AJ583">
        <f>IF(Table1[[#This Row],[Position 1]]=0,0,FIND("/",Table1[[#This Row],[Final Obj Name]],Table1[[#This Row],[Position 1]]+1))</f>
        <v>0</v>
      </c>
      <c r="AK583" t="str">
        <f>IF(LEFT(Table1[[#This Row],[Final Obj Name]],1)="/",LEFT(Table1[[#This Row],[Final Obj Name]],FIND("/",Table1[[#This Row],[Final Obj Name]],2)),"/0SAP/")</f>
        <v>/0SAP/</v>
      </c>
    </row>
    <row r="584">
      <c r="A584" t="str">
        <v>ENHO</v>
      </c>
      <c r="B584" t="str">
        <v>ZFLS_IDT_ENHANCEMENTS_MR</v>
      </c>
      <c r="C584" t="str">
        <v>ENHO</v>
      </c>
      <c r="D584" t="str">
        <v>ZFLS_IDT_ENHANCEMENTS_MR</v>
      </c>
      <c r="G584" t="str">
        <v>ALL</v>
      </c>
      <c r="L584" t="str">
        <v>JVITER</v>
      </c>
      <c r="M584">
        <v>45234</v>
      </c>
      <c r="N584">
        <v>0.71394675925926</v>
      </c>
      <c r="S584" t="str">
        <v>X</v>
      </c>
      <c r="W584" t="str">
        <v>PP1K900520</v>
      </c>
      <c r="Y584">
        <f>IF(Table1[[#This Row],[OPERATION]]="NOTE","NOTE",Table1[[#This Row],[SUB_TYPE]])</f>
        <v>0</v>
      </c>
      <c r="Z584">
        <f>IF(Table1[[#This Row],[OPERATION]]="NOTE",NUMBERVALUE(LEFT(Table1[[#This Row],[MOD_NAME]],LEN(Table1[[#This Row],[MOD_NAME]])-4)),Table1[[#This Row],[SUB_NAME]])</f>
        <v>0</v>
      </c>
      <c r="AA584" t="str">
        <f>CONCAT(Table1[[#This Row],[Final Obj Type]],"|",Table1[[#This Row],[Final Obj Name]])</f>
        <v>0|0</v>
      </c>
      <c r="AB584" t="e">
        <f>VLOOKUP(Table1[[#This Row],[Final Obj Type]],Classification!B:E,3,FALSE)</f>
        <v>#N/A</v>
      </c>
      <c r="AC584" t="e">
        <f>VLOOKUP(Table1[[#This Row],[Final Obj Type]],Classification!B:E,4,FALSE)</f>
        <v>#N/A</v>
      </c>
      <c r="AD584" t="str">
        <f>IF(Table1[[#This Row],[Position 1]]=0,"/0SAP/",MID(Table1[[#This Row],[Final Obj Name]],Table1[[#This Row],[Position 1]],Table1[[#This Row],[Position 2]]-Table1[[#This Row],[Position 1]]+1))</f>
        <v>/0SAP/</v>
      </c>
      <c r="AE584" t="str">
        <f>VLOOKUP(Table1[[#This Row],[/* Object]],Namespace!A:J,10,FALSE)</f>
        <v>SAP AG</v>
      </c>
      <c r="AF584" t="str">
        <f>IF(VLOOKUP(Table1[[#This Row],[/* Object]],Namespace!A:J,4,FALSE)=0,"",VLOOKUP(Table1[[#This Row],[/* Object]],Namespace!A:J,4,FALSE))</f>
        <v>X</v>
      </c>
      <c r="AG584" t="str">
        <f>IF(VLOOKUP(Table1[[#This Row],[/* Object]],Namespace!A:J,5,FALSE)=0,"",VLOOKUP(Table1[[#This Row],[/* Object]],Namespace!A:J,5,FALSE))</f>
        <v>X</v>
      </c>
      <c r="AH584" t="str">
        <f>IF(VLOOKUP(Table1[[#This Row],[/* Object]],Namespace!A:J,6,FALSE)=0,"",VLOOKUP(Table1[[#This Row],[/* Object]],Namespace!A:J,6,FALSE))</f>
        <v/>
      </c>
      <c r="AI584">
        <f>IFERROR(FIND("/",Table1[[#This Row],[Final Obj Name]],1),0)</f>
        <v>0</v>
      </c>
      <c r="AJ584">
        <f>IF(Table1[[#This Row],[Position 1]]=0,0,FIND("/",Table1[[#This Row],[Final Obj Name]],Table1[[#This Row],[Position 1]]+1))</f>
        <v>0</v>
      </c>
      <c r="AK584" t="str">
        <f>IF(LEFT(Table1[[#This Row],[Final Obj Name]],1)="/",LEFT(Table1[[#This Row],[Final Obj Name]],FIND("/",Table1[[#This Row],[Final Obj Name]],2)),"/0SAP/")</f>
        <v>/0SAP/</v>
      </c>
    </row>
    <row r="585">
      <c r="A585" t="str">
        <v>ENHO</v>
      </c>
      <c r="B585" t="str">
        <v>ZFLS_OPT_AP_WITHHOLDINGS</v>
      </c>
      <c r="C585" t="str">
        <v>ENHO</v>
      </c>
      <c r="D585" t="str">
        <v>ZFLS_OPT_AP_WITHHOLDINGS</v>
      </c>
      <c r="G585" t="str">
        <v>ALL</v>
      </c>
      <c r="L585" t="str">
        <v>CST_MEZOVARI</v>
      </c>
      <c r="M585">
        <v>45234</v>
      </c>
      <c r="N585">
        <v>0.72667824074074</v>
      </c>
      <c r="S585" t="str">
        <v>X</v>
      </c>
      <c r="W585" t="str">
        <v>PP1K900520</v>
      </c>
      <c r="Y585">
        <f>IF(Table1[[#This Row],[OPERATION]]="NOTE","NOTE",Table1[[#This Row],[SUB_TYPE]])</f>
        <v>0</v>
      </c>
      <c r="Z585">
        <f>IF(Table1[[#This Row],[OPERATION]]="NOTE",NUMBERVALUE(LEFT(Table1[[#This Row],[MOD_NAME]],LEN(Table1[[#This Row],[MOD_NAME]])-4)),Table1[[#This Row],[SUB_NAME]])</f>
        <v>0</v>
      </c>
      <c r="AA585" t="str">
        <f>CONCAT(Table1[[#This Row],[Final Obj Type]],"|",Table1[[#This Row],[Final Obj Name]])</f>
        <v>0|0</v>
      </c>
      <c r="AB585" t="e">
        <f>VLOOKUP(Table1[[#This Row],[Final Obj Type]],Classification!B:E,3,FALSE)</f>
        <v>#N/A</v>
      </c>
      <c r="AC585" t="e">
        <f>VLOOKUP(Table1[[#This Row],[Final Obj Type]],Classification!B:E,4,FALSE)</f>
        <v>#N/A</v>
      </c>
      <c r="AD585" t="str">
        <f>IF(Table1[[#This Row],[Position 1]]=0,"/0SAP/",MID(Table1[[#This Row],[Final Obj Name]],Table1[[#This Row],[Position 1]],Table1[[#This Row],[Position 2]]-Table1[[#This Row],[Position 1]]+1))</f>
        <v>/0SAP/</v>
      </c>
      <c r="AE585" t="str">
        <f>VLOOKUP(Table1[[#This Row],[/* Object]],Namespace!A:J,10,FALSE)</f>
        <v>SAP AG</v>
      </c>
      <c r="AF585" t="str">
        <f>IF(VLOOKUP(Table1[[#This Row],[/* Object]],Namespace!A:J,4,FALSE)=0,"",VLOOKUP(Table1[[#This Row],[/* Object]],Namespace!A:J,4,FALSE))</f>
        <v>X</v>
      </c>
      <c r="AG585" t="str">
        <f>IF(VLOOKUP(Table1[[#This Row],[/* Object]],Namespace!A:J,5,FALSE)=0,"",VLOOKUP(Table1[[#This Row],[/* Object]],Namespace!A:J,5,FALSE))</f>
        <v>X</v>
      </c>
      <c r="AH585" t="str">
        <f>IF(VLOOKUP(Table1[[#This Row],[/* Object]],Namespace!A:J,6,FALSE)=0,"",VLOOKUP(Table1[[#This Row],[/* Object]],Namespace!A:J,6,FALSE))</f>
        <v/>
      </c>
      <c r="AI585">
        <f>IFERROR(FIND("/",Table1[[#This Row],[Final Obj Name]],1),0)</f>
        <v>0</v>
      </c>
      <c r="AJ585">
        <f>IF(Table1[[#This Row],[Position 1]]=0,0,FIND("/",Table1[[#This Row],[Final Obj Name]],Table1[[#This Row],[Position 1]]+1))</f>
        <v>0</v>
      </c>
      <c r="AK585" t="str">
        <f>IF(LEFT(Table1[[#This Row],[Final Obj Name]],1)="/",LEFT(Table1[[#This Row],[Final Obj Name]],FIND("/",Table1[[#This Row],[Final Obj Name]],2)),"/0SAP/")</f>
        <v>/0SAP/</v>
      </c>
    </row>
    <row r="586">
      <c r="A586" t="str">
        <v>ENHO</v>
      </c>
      <c r="B586" t="str">
        <v>ZFLS_SABIRX</v>
      </c>
      <c r="C586" t="str">
        <v>ENHO</v>
      </c>
      <c r="D586" t="str">
        <v>ZFLS_SABIRX</v>
      </c>
      <c r="G586" t="str">
        <v>ALL</v>
      </c>
      <c r="L586" t="str">
        <v>JVITER</v>
      </c>
      <c r="M586">
        <v>45234</v>
      </c>
      <c r="N586">
        <v>0.7146412037037</v>
      </c>
      <c r="S586" t="str">
        <v>X</v>
      </c>
      <c r="W586" t="str">
        <v>PP1K900520</v>
      </c>
      <c r="Y586">
        <f>IF(Table1[[#This Row],[OPERATION]]="NOTE","NOTE",Table1[[#This Row],[SUB_TYPE]])</f>
        <v>0</v>
      </c>
      <c r="Z586">
        <f>IF(Table1[[#This Row],[OPERATION]]="NOTE",NUMBERVALUE(LEFT(Table1[[#This Row],[MOD_NAME]],LEN(Table1[[#This Row],[MOD_NAME]])-4)),Table1[[#This Row],[SUB_NAME]])</f>
        <v>0</v>
      </c>
      <c r="AA586" t="str">
        <f>CONCAT(Table1[[#This Row],[Final Obj Type]],"|",Table1[[#This Row],[Final Obj Name]])</f>
        <v>0|0</v>
      </c>
      <c r="AB586" t="e">
        <f>VLOOKUP(Table1[[#This Row],[Final Obj Type]],Classification!B:E,3,FALSE)</f>
        <v>#N/A</v>
      </c>
      <c r="AC586" t="e">
        <f>VLOOKUP(Table1[[#This Row],[Final Obj Type]],Classification!B:E,4,FALSE)</f>
        <v>#N/A</v>
      </c>
      <c r="AD586" t="str">
        <f>IF(Table1[[#This Row],[Position 1]]=0,"/0SAP/",MID(Table1[[#This Row],[Final Obj Name]],Table1[[#This Row],[Position 1]],Table1[[#This Row],[Position 2]]-Table1[[#This Row],[Position 1]]+1))</f>
        <v>/0SAP/</v>
      </c>
      <c r="AE586" t="str">
        <f>VLOOKUP(Table1[[#This Row],[/* Object]],Namespace!A:J,10,FALSE)</f>
        <v>SAP AG</v>
      </c>
      <c r="AF586" t="str">
        <f>IF(VLOOKUP(Table1[[#This Row],[/* Object]],Namespace!A:J,4,FALSE)=0,"",VLOOKUP(Table1[[#This Row],[/* Object]],Namespace!A:J,4,FALSE))</f>
        <v>X</v>
      </c>
      <c r="AG586" t="str">
        <f>IF(VLOOKUP(Table1[[#This Row],[/* Object]],Namespace!A:J,5,FALSE)=0,"",VLOOKUP(Table1[[#This Row],[/* Object]],Namespace!A:J,5,FALSE))</f>
        <v>X</v>
      </c>
      <c r="AH586" t="str">
        <f>IF(VLOOKUP(Table1[[#This Row],[/* Object]],Namespace!A:J,6,FALSE)=0,"",VLOOKUP(Table1[[#This Row],[/* Object]],Namespace!A:J,6,FALSE))</f>
        <v/>
      </c>
      <c r="AI586">
        <f>IFERROR(FIND("/",Table1[[#This Row],[Final Obj Name]],1),0)</f>
        <v>0</v>
      </c>
      <c r="AJ586">
        <f>IF(Table1[[#This Row],[Position 1]]=0,0,FIND("/",Table1[[#This Row],[Final Obj Name]],Table1[[#This Row],[Position 1]]+1))</f>
        <v>0</v>
      </c>
      <c r="AK586" t="str">
        <f>IF(LEFT(Table1[[#This Row],[Final Obj Name]],1)="/",LEFT(Table1[[#This Row],[Final Obj Name]],FIND("/",Table1[[#This Row],[Final Obj Name]],2)),"/0SAP/")</f>
        <v>/0SAP/</v>
      </c>
    </row>
    <row r="587">
      <c r="A587" t="str">
        <v>ENHO</v>
      </c>
      <c r="B587" t="str">
        <v>ZFLS_SABIRX_OPT_EXITS</v>
      </c>
      <c r="C587" t="str">
        <v>ENHO</v>
      </c>
      <c r="D587" t="str">
        <v>ZFLS_SABIRX_OPT_EXITS</v>
      </c>
      <c r="G587" t="str">
        <v>ALL</v>
      </c>
      <c r="L587" t="str">
        <v>JVITER</v>
      </c>
      <c r="M587">
        <v>45234</v>
      </c>
      <c r="N587">
        <v>0.71681712962963</v>
      </c>
      <c r="S587" t="str">
        <v>X</v>
      </c>
      <c r="W587" t="str">
        <v>PP1K900520</v>
      </c>
      <c r="Y587">
        <f>IF(Table1[[#This Row],[OPERATION]]="NOTE","NOTE",Table1[[#This Row],[SUB_TYPE]])</f>
        <v>0</v>
      </c>
      <c r="Z587">
        <f>IF(Table1[[#This Row],[OPERATION]]="NOTE",NUMBERVALUE(LEFT(Table1[[#This Row],[MOD_NAME]],LEN(Table1[[#This Row],[MOD_NAME]])-4)),Table1[[#This Row],[SUB_NAME]])</f>
        <v>0</v>
      </c>
      <c r="AA587" t="str">
        <f>CONCAT(Table1[[#This Row],[Final Obj Type]],"|",Table1[[#This Row],[Final Obj Name]])</f>
        <v>0|0</v>
      </c>
      <c r="AB587" t="e">
        <f>VLOOKUP(Table1[[#This Row],[Final Obj Type]],Classification!B:E,3,FALSE)</f>
        <v>#N/A</v>
      </c>
      <c r="AC587" t="e">
        <f>VLOOKUP(Table1[[#This Row],[Final Obj Type]],Classification!B:E,4,FALSE)</f>
        <v>#N/A</v>
      </c>
      <c r="AD587" t="str">
        <f>IF(Table1[[#This Row],[Position 1]]=0,"/0SAP/",MID(Table1[[#This Row],[Final Obj Name]],Table1[[#This Row],[Position 1]],Table1[[#This Row],[Position 2]]-Table1[[#This Row],[Position 1]]+1))</f>
        <v>/0SAP/</v>
      </c>
      <c r="AE587" t="str">
        <f>VLOOKUP(Table1[[#This Row],[/* Object]],Namespace!A:J,10,FALSE)</f>
        <v>SAP AG</v>
      </c>
      <c r="AF587" t="str">
        <f>IF(VLOOKUP(Table1[[#This Row],[/* Object]],Namespace!A:J,4,FALSE)=0,"",VLOOKUP(Table1[[#This Row],[/* Object]],Namespace!A:J,4,FALSE))</f>
        <v>X</v>
      </c>
      <c r="AG587" t="str">
        <f>IF(VLOOKUP(Table1[[#This Row],[/* Object]],Namespace!A:J,5,FALSE)=0,"",VLOOKUP(Table1[[#This Row],[/* Object]],Namespace!A:J,5,FALSE))</f>
        <v>X</v>
      </c>
      <c r="AH587" t="str">
        <f>IF(VLOOKUP(Table1[[#This Row],[/* Object]],Namespace!A:J,6,FALSE)=0,"",VLOOKUP(Table1[[#This Row],[/* Object]],Namespace!A:J,6,FALSE))</f>
        <v/>
      </c>
      <c r="AI587">
        <f>IFERROR(FIND("/",Table1[[#This Row],[Final Obj Name]],1),0)</f>
        <v>0</v>
      </c>
      <c r="AJ587">
        <f>IF(Table1[[#This Row],[Position 1]]=0,0,FIND("/",Table1[[#This Row],[Final Obj Name]],Table1[[#This Row],[Position 1]]+1))</f>
        <v>0</v>
      </c>
      <c r="AK587" t="str">
        <f>IF(LEFT(Table1[[#This Row],[Final Obj Name]],1)="/",LEFT(Table1[[#This Row],[Final Obj Name]],FIND("/",Table1[[#This Row],[Final Obj Name]],2)),"/0SAP/")</f>
        <v>/0SAP/</v>
      </c>
    </row>
    <row r="588">
      <c r="A588" t="str">
        <v>ENHO</v>
      </c>
      <c r="B588" t="str">
        <v>ZFLS_SABIRX_OPT_NONPO_INV_ITEM</v>
      </c>
      <c r="C588" t="str">
        <v>ENHO</v>
      </c>
      <c r="D588" t="str">
        <v>ZFLS_SABIRX_OPT_NONPO_INV_ITEM</v>
      </c>
      <c r="G588" t="str">
        <v>ALL</v>
      </c>
      <c r="L588" t="str">
        <v>JVITER</v>
      </c>
      <c r="M588">
        <v>45234</v>
      </c>
      <c r="N588">
        <v>0.72052083333333</v>
      </c>
      <c r="S588" t="str">
        <v>X</v>
      </c>
      <c r="W588" t="str">
        <v>PP1K900520</v>
      </c>
      <c r="Y588">
        <f>IF(Table1[[#This Row],[OPERATION]]="NOTE","NOTE",Table1[[#This Row],[SUB_TYPE]])</f>
        <v>0</v>
      </c>
      <c r="Z588">
        <f>IF(Table1[[#This Row],[OPERATION]]="NOTE",NUMBERVALUE(LEFT(Table1[[#This Row],[MOD_NAME]],LEN(Table1[[#This Row],[MOD_NAME]])-4)),Table1[[#This Row],[SUB_NAME]])</f>
        <v>0</v>
      </c>
      <c r="AA588" t="str">
        <f>CONCAT(Table1[[#This Row],[Final Obj Type]],"|",Table1[[#This Row],[Final Obj Name]])</f>
        <v>0|0</v>
      </c>
      <c r="AB588" t="e">
        <f>VLOOKUP(Table1[[#This Row],[Final Obj Type]],Classification!B:E,3,FALSE)</f>
        <v>#N/A</v>
      </c>
      <c r="AC588" t="e">
        <f>VLOOKUP(Table1[[#This Row],[Final Obj Type]],Classification!B:E,4,FALSE)</f>
        <v>#N/A</v>
      </c>
      <c r="AD588" t="str">
        <f>IF(Table1[[#This Row],[Position 1]]=0,"/0SAP/",MID(Table1[[#This Row],[Final Obj Name]],Table1[[#This Row],[Position 1]],Table1[[#This Row],[Position 2]]-Table1[[#This Row],[Position 1]]+1))</f>
        <v>/0SAP/</v>
      </c>
      <c r="AE588" t="str">
        <f>VLOOKUP(Table1[[#This Row],[/* Object]],Namespace!A:J,10,FALSE)</f>
        <v>SAP AG</v>
      </c>
      <c r="AF588" t="str">
        <f>IF(VLOOKUP(Table1[[#This Row],[/* Object]],Namespace!A:J,4,FALSE)=0,"",VLOOKUP(Table1[[#This Row],[/* Object]],Namespace!A:J,4,FALSE))</f>
        <v>X</v>
      </c>
      <c r="AG588" t="str">
        <f>IF(VLOOKUP(Table1[[#This Row],[/* Object]],Namespace!A:J,5,FALSE)=0,"",VLOOKUP(Table1[[#This Row],[/* Object]],Namespace!A:J,5,FALSE))</f>
        <v>X</v>
      </c>
      <c r="AH588" t="str">
        <f>IF(VLOOKUP(Table1[[#This Row],[/* Object]],Namespace!A:J,6,FALSE)=0,"",VLOOKUP(Table1[[#This Row],[/* Object]],Namespace!A:J,6,FALSE))</f>
        <v/>
      </c>
      <c r="AI588">
        <f>IFERROR(FIND("/",Table1[[#This Row],[Final Obj Name]],1),0)</f>
        <v>0</v>
      </c>
      <c r="AJ588">
        <f>IF(Table1[[#This Row],[Position 1]]=0,0,FIND("/",Table1[[#This Row],[Final Obj Name]],Table1[[#This Row],[Position 1]]+1))</f>
        <v>0</v>
      </c>
      <c r="AK588" t="str">
        <f>IF(LEFT(Table1[[#This Row],[Final Obj Name]],1)="/",LEFT(Table1[[#This Row],[Final Obj Name]],FIND("/",Table1[[#This Row],[Final Obj Name]],2)),"/0SAP/")</f>
        <v>/0SAP/</v>
      </c>
    </row>
    <row r="589">
      <c r="A589" t="str">
        <v>ENHO</v>
      </c>
      <c r="B589" t="str">
        <v>ZFLS_SABIRX_OPT_NPO_APPR_TAX</v>
      </c>
      <c r="C589" t="str">
        <v>ENHO</v>
      </c>
      <c r="D589" t="str">
        <v>ZFLS_SABIRX_OPT_NPO_APPR_TAX</v>
      </c>
      <c r="G589" t="str">
        <v>ALL</v>
      </c>
      <c r="L589" t="str">
        <v>JVITER</v>
      </c>
      <c r="M589">
        <v>45234</v>
      </c>
      <c r="N589">
        <v>0.72163194444444</v>
      </c>
      <c r="S589" t="str">
        <v>X</v>
      </c>
      <c r="W589" t="str">
        <v>PP1K900520</v>
      </c>
      <c r="Y589">
        <f>IF(Table1[[#This Row],[OPERATION]]="NOTE","NOTE",Table1[[#This Row],[SUB_TYPE]])</f>
        <v>0</v>
      </c>
      <c r="Z589">
        <f>IF(Table1[[#This Row],[OPERATION]]="NOTE",NUMBERVALUE(LEFT(Table1[[#This Row],[MOD_NAME]],LEN(Table1[[#This Row],[MOD_NAME]])-4)),Table1[[#This Row],[SUB_NAME]])</f>
        <v>0</v>
      </c>
      <c r="AA589" t="str">
        <f>CONCAT(Table1[[#This Row],[Final Obj Type]],"|",Table1[[#This Row],[Final Obj Name]])</f>
        <v>0|0</v>
      </c>
      <c r="AB589" t="e">
        <f>VLOOKUP(Table1[[#This Row],[Final Obj Type]],Classification!B:E,3,FALSE)</f>
        <v>#N/A</v>
      </c>
      <c r="AC589" t="e">
        <f>VLOOKUP(Table1[[#This Row],[Final Obj Type]],Classification!B:E,4,FALSE)</f>
        <v>#N/A</v>
      </c>
      <c r="AD589" t="str">
        <f>IF(Table1[[#This Row],[Position 1]]=0,"/0SAP/",MID(Table1[[#This Row],[Final Obj Name]],Table1[[#This Row],[Position 1]],Table1[[#This Row],[Position 2]]-Table1[[#This Row],[Position 1]]+1))</f>
        <v>/0SAP/</v>
      </c>
      <c r="AE589" t="str">
        <f>VLOOKUP(Table1[[#This Row],[/* Object]],Namespace!A:J,10,FALSE)</f>
        <v>SAP AG</v>
      </c>
      <c r="AF589" t="str">
        <f>IF(VLOOKUP(Table1[[#This Row],[/* Object]],Namespace!A:J,4,FALSE)=0,"",VLOOKUP(Table1[[#This Row],[/* Object]],Namespace!A:J,4,FALSE))</f>
        <v>X</v>
      </c>
      <c r="AG589" t="str">
        <f>IF(VLOOKUP(Table1[[#This Row],[/* Object]],Namespace!A:J,5,FALSE)=0,"",VLOOKUP(Table1[[#This Row],[/* Object]],Namespace!A:J,5,FALSE))</f>
        <v>X</v>
      </c>
      <c r="AH589" t="str">
        <f>IF(VLOOKUP(Table1[[#This Row],[/* Object]],Namespace!A:J,6,FALSE)=0,"",VLOOKUP(Table1[[#This Row],[/* Object]],Namespace!A:J,6,FALSE))</f>
        <v/>
      </c>
      <c r="AI589">
        <f>IFERROR(FIND("/",Table1[[#This Row],[Final Obj Name]],1),0)</f>
        <v>0</v>
      </c>
      <c r="AJ589">
        <f>IF(Table1[[#This Row],[Position 1]]=0,0,FIND("/",Table1[[#This Row],[Final Obj Name]],Table1[[#This Row],[Position 1]]+1))</f>
        <v>0</v>
      </c>
      <c r="AK589" t="str">
        <f>IF(LEFT(Table1[[#This Row],[Final Obj Name]],1)="/",LEFT(Table1[[#This Row],[Final Obj Name]],FIND("/",Table1[[#This Row],[Final Obj Name]],2)),"/0SAP/")</f>
        <v>/0SAP/</v>
      </c>
    </row>
    <row r="590">
      <c r="A590" t="str">
        <v>ENHO</v>
      </c>
      <c r="B590" t="str">
        <v>ZFLS_SBX_DWNPAY_PAI_MAIN</v>
      </c>
      <c r="C590" t="str">
        <v>ENHO</v>
      </c>
      <c r="D590" t="str">
        <v>ZFLS_SBX_DWNPAY_PAI_MAIN</v>
      </c>
      <c r="G590" t="str">
        <v>ALL</v>
      </c>
      <c r="L590" t="str">
        <v>JVITER</v>
      </c>
      <c r="M590">
        <v>45234</v>
      </c>
      <c r="N590">
        <v>0.72251157407407</v>
      </c>
      <c r="S590" t="str">
        <v>X</v>
      </c>
      <c r="W590" t="str">
        <v>PP1K900520</v>
      </c>
      <c r="Y590">
        <f>IF(Table1[[#This Row],[OPERATION]]="NOTE","NOTE",Table1[[#This Row],[SUB_TYPE]])</f>
        <v>0</v>
      </c>
      <c r="Z590">
        <f>IF(Table1[[#This Row],[OPERATION]]="NOTE",NUMBERVALUE(LEFT(Table1[[#This Row],[MOD_NAME]],LEN(Table1[[#This Row],[MOD_NAME]])-4)),Table1[[#This Row],[SUB_NAME]])</f>
        <v>0</v>
      </c>
      <c r="AA590" t="str">
        <f>CONCAT(Table1[[#This Row],[Final Obj Type]],"|",Table1[[#This Row],[Final Obj Name]])</f>
        <v>0|0</v>
      </c>
      <c r="AB590" t="e">
        <f>VLOOKUP(Table1[[#This Row],[Final Obj Type]],Classification!B:E,3,FALSE)</f>
        <v>#N/A</v>
      </c>
      <c r="AC590" t="e">
        <f>VLOOKUP(Table1[[#This Row],[Final Obj Type]],Classification!B:E,4,FALSE)</f>
        <v>#N/A</v>
      </c>
      <c r="AD590" t="str">
        <f>IF(Table1[[#This Row],[Position 1]]=0,"/0SAP/",MID(Table1[[#This Row],[Final Obj Name]],Table1[[#This Row],[Position 1]],Table1[[#This Row],[Position 2]]-Table1[[#This Row],[Position 1]]+1))</f>
        <v>/0SAP/</v>
      </c>
      <c r="AE590" t="str">
        <f>VLOOKUP(Table1[[#This Row],[/* Object]],Namespace!A:J,10,FALSE)</f>
        <v>SAP AG</v>
      </c>
      <c r="AF590" t="str">
        <f>IF(VLOOKUP(Table1[[#This Row],[/* Object]],Namespace!A:J,4,FALSE)=0,"",VLOOKUP(Table1[[#This Row],[/* Object]],Namespace!A:J,4,FALSE))</f>
        <v>X</v>
      </c>
      <c r="AG590" t="str">
        <f>IF(VLOOKUP(Table1[[#This Row],[/* Object]],Namespace!A:J,5,FALSE)=0,"",VLOOKUP(Table1[[#This Row],[/* Object]],Namespace!A:J,5,FALSE))</f>
        <v>X</v>
      </c>
      <c r="AH590" t="str">
        <f>IF(VLOOKUP(Table1[[#This Row],[/* Object]],Namespace!A:J,6,FALSE)=0,"",VLOOKUP(Table1[[#This Row],[/* Object]],Namespace!A:J,6,FALSE))</f>
        <v/>
      </c>
      <c r="AI590">
        <f>IFERROR(FIND("/",Table1[[#This Row],[Final Obj Name]],1),0)</f>
        <v>0</v>
      </c>
      <c r="AJ590">
        <f>IF(Table1[[#This Row],[Position 1]]=0,0,FIND("/",Table1[[#This Row],[Final Obj Name]],Table1[[#This Row],[Position 1]]+1))</f>
        <v>0</v>
      </c>
      <c r="AK590" t="str">
        <f>IF(LEFT(Table1[[#This Row],[Final Obj Name]],1)="/",LEFT(Table1[[#This Row],[Final Obj Name]],FIND("/",Table1[[#This Row],[Final Obj Name]],2)),"/0SAP/")</f>
        <v>/0SAP/</v>
      </c>
    </row>
    <row r="591">
      <c r="A591" t="str">
        <v>ENHO</v>
      </c>
      <c r="B591" t="str">
        <v>ZFLS_VIM_WHT_CALC_FLOW</v>
      </c>
      <c r="C591" t="str">
        <v>ENHO</v>
      </c>
      <c r="D591" t="str">
        <v>ZFLS_VIM_WHT_CALC_FLOW</v>
      </c>
      <c r="G591" t="str">
        <v>ALL</v>
      </c>
      <c r="L591" t="str">
        <v>JVITER</v>
      </c>
      <c r="M591">
        <v>45234</v>
      </c>
      <c r="N591">
        <v>0.73349537037037</v>
      </c>
      <c r="S591" t="str">
        <v>X</v>
      </c>
      <c r="W591" t="str">
        <v>PP1K900520</v>
      </c>
      <c r="Y591">
        <f>IF(Table1[[#This Row],[OPERATION]]="NOTE","NOTE",Table1[[#This Row],[SUB_TYPE]])</f>
        <v>0</v>
      </c>
      <c r="Z591">
        <f>IF(Table1[[#This Row],[OPERATION]]="NOTE",NUMBERVALUE(LEFT(Table1[[#This Row],[MOD_NAME]],LEN(Table1[[#This Row],[MOD_NAME]])-4)),Table1[[#This Row],[SUB_NAME]])</f>
        <v>0</v>
      </c>
      <c r="AA591" t="str">
        <f>CONCAT(Table1[[#This Row],[Final Obj Type]],"|",Table1[[#This Row],[Final Obj Name]])</f>
        <v>0|0</v>
      </c>
      <c r="AB591" t="e">
        <f>VLOOKUP(Table1[[#This Row],[Final Obj Type]],Classification!B:E,3,FALSE)</f>
        <v>#N/A</v>
      </c>
      <c r="AC591" t="e">
        <f>VLOOKUP(Table1[[#This Row],[Final Obj Type]],Classification!B:E,4,FALSE)</f>
        <v>#N/A</v>
      </c>
      <c r="AD591" t="str">
        <f>IF(Table1[[#This Row],[Position 1]]=0,"/0SAP/",MID(Table1[[#This Row],[Final Obj Name]],Table1[[#This Row],[Position 1]],Table1[[#This Row],[Position 2]]-Table1[[#This Row],[Position 1]]+1))</f>
        <v>/0SAP/</v>
      </c>
      <c r="AE591" t="str">
        <f>VLOOKUP(Table1[[#This Row],[/* Object]],Namespace!A:J,10,FALSE)</f>
        <v>SAP AG</v>
      </c>
      <c r="AF591" t="str">
        <f>IF(VLOOKUP(Table1[[#This Row],[/* Object]],Namespace!A:J,4,FALSE)=0,"",VLOOKUP(Table1[[#This Row],[/* Object]],Namespace!A:J,4,FALSE))</f>
        <v>X</v>
      </c>
      <c r="AG591" t="str">
        <f>IF(VLOOKUP(Table1[[#This Row],[/* Object]],Namespace!A:J,5,FALSE)=0,"",VLOOKUP(Table1[[#This Row],[/* Object]],Namespace!A:J,5,FALSE))</f>
        <v>X</v>
      </c>
      <c r="AH591" t="str">
        <f>IF(VLOOKUP(Table1[[#This Row],[/* Object]],Namespace!A:J,6,FALSE)=0,"",VLOOKUP(Table1[[#This Row],[/* Object]],Namespace!A:J,6,FALSE))</f>
        <v/>
      </c>
      <c r="AI591">
        <f>IFERROR(FIND("/",Table1[[#This Row],[Final Obj Name]],1),0)</f>
        <v>0</v>
      </c>
      <c r="AJ591">
        <f>IF(Table1[[#This Row],[Position 1]]=0,0,FIND("/",Table1[[#This Row],[Final Obj Name]],Table1[[#This Row],[Position 1]]+1))</f>
        <v>0</v>
      </c>
      <c r="AK591" t="str">
        <f>IF(LEFT(Table1[[#This Row],[Final Obj Name]],1)="/",LEFT(Table1[[#This Row],[Final Obj Name]],FIND("/",Table1[[#This Row],[Final Obj Name]],2)),"/0SAP/")</f>
        <v>/0SAP/</v>
      </c>
    </row>
    <row r="592">
      <c r="A592" t="str">
        <v>ENHO</v>
      </c>
      <c r="B592" t="str">
        <v>ZH_AUDIT_INVCHK</v>
      </c>
      <c r="C592" t="str">
        <v>ENHO</v>
      </c>
      <c r="D592" t="str">
        <v>ZH_AUDIT_INVCHK</v>
      </c>
      <c r="G592" t="str">
        <v>ALL</v>
      </c>
      <c r="L592" t="str">
        <v>CST_BSOLAIMA</v>
      </c>
      <c r="M592">
        <v>45235</v>
      </c>
      <c r="N592">
        <v>0.11136574074074</v>
      </c>
      <c r="S592" t="str">
        <v>X</v>
      </c>
      <c r="W592" t="str">
        <v>PP1K900520</v>
      </c>
      <c r="Y592">
        <f>IF(Table1[[#This Row],[OPERATION]]="NOTE","NOTE",Table1[[#This Row],[SUB_TYPE]])</f>
        <v>0</v>
      </c>
      <c r="Z592">
        <f>IF(Table1[[#This Row],[OPERATION]]="NOTE",NUMBERVALUE(LEFT(Table1[[#This Row],[MOD_NAME]],LEN(Table1[[#This Row],[MOD_NAME]])-4)),Table1[[#This Row],[SUB_NAME]])</f>
        <v>0</v>
      </c>
      <c r="AA592" t="str">
        <f>CONCAT(Table1[[#This Row],[Final Obj Type]],"|",Table1[[#This Row],[Final Obj Name]])</f>
        <v>0|0</v>
      </c>
      <c r="AB592" t="e">
        <f>VLOOKUP(Table1[[#This Row],[Final Obj Type]],Classification!B:E,3,FALSE)</f>
        <v>#N/A</v>
      </c>
      <c r="AC592" t="e">
        <f>VLOOKUP(Table1[[#This Row],[Final Obj Type]],Classification!B:E,4,FALSE)</f>
        <v>#N/A</v>
      </c>
      <c r="AD592" t="str">
        <f>IF(Table1[[#This Row],[Position 1]]=0,"/0SAP/",MID(Table1[[#This Row],[Final Obj Name]],Table1[[#This Row],[Position 1]],Table1[[#This Row],[Position 2]]-Table1[[#This Row],[Position 1]]+1))</f>
        <v>/0SAP/</v>
      </c>
      <c r="AE592" t="str">
        <f>VLOOKUP(Table1[[#This Row],[/* Object]],Namespace!A:J,10,FALSE)</f>
        <v>SAP AG</v>
      </c>
      <c r="AF592" t="str">
        <f>IF(VLOOKUP(Table1[[#This Row],[/* Object]],Namespace!A:J,4,FALSE)=0,"",VLOOKUP(Table1[[#This Row],[/* Object]],Namespace!A:J,4,FALSE))</f>
        <v>X</v>
      </c>
      <c r="AG592" t="str">
        <f>IF(VLOOKUP(Table1[[#This Row],[/* Object]],Namespace!A:J,5,FALSE)=0,"",VLOOKUP(Table1[[#This Row],[/* Object]],Namespace!A:J,5,FALSE))</f>
        <v>X</v>
      </c>
      <c r="AH592" t="str">
        <f>IF(VLOOKUP(Table1[[#This Row],[/* Object]],Namespace!A:J,6,FALSE)=0,"",VLOOKUP(Table1[[#This Row],[/* Object]],Namespace!A:J,6,FALSE))</f>
        <v/>
      </c>
      <c r="AI592">
        <f>IFERROR(FIND("/",Table1[[#This Row],[Final Obj Name]],1),0)</f>
        <v>0</v>
      </c>
      <c r="AJ592">
        <f>IF(Table1[[#This Row],[Position 1]]=0,0,FIND("/",Table1[[#This Row],[Final Obj Name]],Table1[[#This Row],[Position 1]]+1))</f>
        <v>0</v>
      </c>
      <c r="AK592" t="str">
        <f>IF(LEFT(Table1[[#This Row],[Final Obj Name]],1)="/",LEFT(Table1[[#This Row],[Final Obj Name]],FIND("/",Table1[[#This Row],[Final Obj Name]],2)),"/0SAP/")</f>
        <v>/0SAP/</v>
      </c>
    </row>
    <row r="593">
      <c r="A593" t="str">
        <v>ENHO</v>
      </c>
      <c r="B593" t="str">
        <v>ZIDT_VIM_APPR_NONPO_POSTING</v>
      </c>
      <c r="C593" t="str">
        <v>ENHO</v>
      </c>
      <c r="D593" t="str">
        <v>ZIDT_VIM_APPR_NONPO_POSTING</v>
      </c>
      <c r="G593" t="str">
        <v>ALL</v>
      </c>
      <c r="L593" t="str">
        <v>JVITER</v>
      </c>
      <c r="M593">
        <v>45234</v>
      </c>
      <c r="N593">
        <v>0.72469907407407</v>
      </c>
      <c r="S593" t="str">
        <v>X</v>
      </c>
      <c r="W593" t="str">
        <v>PP1K900520</v>
      </c>
      <c r="Y593">
        <f>IF(Table1[[#This Row],[OPERATION]]="NOTE","NOTE",Table1[[#This Row],[SUB_TYPE]])</f>
        <v>0</v>
      </c>
      <c r="Z593">
        <f>IF(Table1[[#This Row],[OPERATION]]="NOTE",NUMBERVALUE(LEFT(Table1[[#This Row],[MOD_NAME]],LEN(Table1[[#This Row],[MOD_NAME]])-4)),Table1[[#This Row],[SUB_NAME]])</f>
        <v>0</v>
      </c>
      <c r="AA593" t="str">
        <f>CONCAT(Table1[[#This Row],[Final Obj Type]],"|",Table1[[#This Row],[Final Obj Name]])</f>
        <v>0|0</v>
      </c>
      <c r="AB593" t="e">
        <f>VLOOKUP(Table1[[#This Row],[Final Obj Type]],Classification!B:E,3,FALSE)</f>
        <v>#N/A</v>
      </c>
      <c r="AC593" t="e">
        <f>VLOOKUP(Table1[[#This Row],[Final Obj Type]],Classification!B:E,4,FALSE)</f>
        <v>#N/A</v>
      </c>
      <c r="AD593" t="str">
        <f>IF(Table1[[#This Row],[Position 1]]=0,"/0SAP/",MID(Table1[[#This Row],[Final Obj Name]],Table1[[#This Row],[Position 1]],Table1[[#This Row],[Position 2]]-Table1[[#This Row],[Position 1]]+1))</f>
        <v>/0SAP/</v>
      </c>
      <c r="AE593" t="str">
        <f>VLOOKUP(Table1[[#This Row],[/* Object]],Namespace!A:J,10,FALSE)</f>
        <v>SAP AG</v>
      </c>
      <c r="AF593" t="str">
        <f>IF(VLOOKUP(Table1[[#This Row],[/* Object]],Namespace!A:J,4,FALSE)=0,"",VLOOKUP(Table1[[#This Row],[/* Object]],Namespace!A:J,4,FALSE))</f>
        <v>X</v>
      </c>
      <c r="AG593" t="str">
        <f>IF(VLOOKUP(Table1[[#This Row],[/* Object]],Namespace!A:J,5,FALSE)=0,"",VLOOKUP(Table1[[#This Row],[/* Object]],Namespace!A:J,5,FALSE))</f>
        <v>X</v>
      </c>
      <c r="AH593" t="str">
        <f>IF(VLOOKUP(Table1[[#This Row],[/* Object]],Namespace!A:J,6,FALSE)=0,"",VLOOKUP(Table1[[#This Row],[/* Object]],Namespace!A:J,6,FALSE))</f>
        <v/>
      </c>
      <c r="AI593">
        <f>IFERROR(FIND("/",Table1[[#This Row],[Final Obj Name]],1),0)</f>
        <v>0</v>
      </c>
      <c r="AJ593">
        <f>IF(Table1[[#This Row],[Position 1]]=0,0,FIND("/",Table1[[#This Row],[Final Obj Name]],Table1[[#This Row],[Position 1]]+1))</f>
        <v>0</v>
      </c>
      <c r="AK593" t="str">
        <f>IF(LEFT(Table1[[#This Row],[Final Obj Name]],1)="/",LEFT(Table1[[#This Row],[Final Obj Name]],FIND("/",Table1[[#This Row],[Final Obj Name]],2)),"/0SAP/")</f>
        <v>/0SAP/</v>
      </c>
    </row>
    <row r="594">
      <c r="A594" t="str">
        <v>ENHO</v>
      </c>
      <c r="B594" t="str">
        <v>ZIDT_VIM_LINE_TAX_CODE_DISP</v>
      </c>
      <c r="C594" t="str">
        <v>ENHO</v>
      </c>
      <c r="D594" t="str">
        <v>ZIDT_VIM_LINE_TAX_CODE_DISP</v>
      </c>
      <c r="G594" t="str">
        <v>ALL</v>
      </c>
      <c r="L594" t="str">
        <v>JVITER</v>
      </c>
      <c r="M594">
        <v>45234</v>
      </c>
      <c r="N594">
        <v>0.72621527777778</v>
      </c>
      <c r="S594" t="str">
        <v>X</v>
      </c>
      <c r="W594" t="str">
        <v>PP1K900520</v>
      </c>
      <c r="Y594">
        <f>IF(Table1[[#This Row],[OPERATION]]="NOTE","NOTE",Table1[[#This Row],[SUB_TYPE]])</f>
        <v>0</v>
      </c>
      <c r="Z594">
        <f>IF(Table1[[#This Row],[OPERATION]]="NOTE",NUMBERVALUE(LEFT(Table1[[#This Row],[MOD_NAME]],LEN(Table1[[#This Row],[MOD_NAME]])-4)),Table1[[#This Row],[SUB_NAME]])</f>
        <v>0</v>
      </c>
      <c r="AA594" t="str">
        <f>CONCAT(Table1[[#This Row],[Final Obj Type]],"|",Table1[[#This Row],[Final Obj Name]])</f>
        <v>0|0</v>
      </c>
      <c r="AB594" t="e">
        <f>VLOOKUP(Table1[[#This Row],[Final Obj Type]],Classification!B:E,3,FALSE)</f>
        <v>#N/A</v>
      </c>
      <c r="AC594" t="e">
        <f>VLOOKUP(Table1[[#This Row],[Final Obj Type]],Classification!B:E,4,FALSE)</f>
        <v>#N/A</v>
      </c>
      <c r="AD594" t="str">
        <f>IF(Table1[[#This Row],[Position 1]]=0,"/0SAP/",MID(Table1[[#This Row],[Final Obj Name]],Table1[[#This Row],[Position 1]],Table1[[#This Row],[Position 2]]-Table1[[#This Row],[Position 1]]+1))</f>
        <v>/0SAP/</v>
      </c>
      <c r="AE594" t="str">
        <f>VLOOKUP(Table1[[#This Row],[/* Object]],Namespace!A:J,10,FALSE)</f>
        <v>SAP AG</v>
      </c>
      <c r="AF594" t="str">
        <f>IF(VLOOKUP(Table1[[#This Row],[/* Object]],Namespace!A:J,4,FALSE)=0,"",VLOOKUP(Table1[[#This Row],[/* Object]],Namespace!A:J,4,FALSE))</f>
        <v>X</v>
      </c>
      <c r="AG594" t="str">
        <f>IF(VLOOKUP(Table1[[#This Row],[/* Object]],Namespace!A:J,5,FALSE)=0,"",VLOOKUP(Table1[[#This Row],[/* Object]],Namespace!A:J,5,FALSE))</f>
        <v>X</v>
      </c>
      <c r="AH594" t="str">
        <f>IF(VLOOKUP(Table1[[#This Row],[/* Object]],Namespace!A:J,6,FALSE)=0,"",VLOOKUP(Table1[[#This Row],[/* Object]],Namespace!A:J,6,FALSE))</f>
        <v/>
      </c>
      <c r="AI594">
        <f>IFERROR(FIND("/",Table1[[#This Row],[Final Obj Name]],1),0)</f>
        <v>0</v>
      </c>
      <c r="AJ594">
        <f>IF(Table1[[#This Row],[Position 1]]=0,0,FIND("/",Table1[[#This Row],[Final Obj Name]],Table1[[#This Row],[Position 1]]+1))</f>
        <v>0</v>
      </c>
      <c r="AK594" t="str">
        <f>IF(LEFT(Table1[[#This Row],[Final Obj Name]],1)="/",LEFT(Table1[[#This Row],[Final Obj Name]],FIND("/",Table1[[#This Row],[Final Obj Name]],2)),"/0SAP/")</f>
        <v>/0SAP/</v>
      </c>
    </row>
    <row r="595">
      <c r="A595" t="str">
        <v>ENHO</v>
      </c>
      <c r="B595" t="str">
        <v>ZIDT_VIM_TAX_CODE_DISP</v>
      </c>
      <c r="C595" t="str">
        <v>ENHO</v>
      </c>
      <c r="D595" t="str">
        <v>ZIDT_VIM_TAX_CODE_DISP</v>
      </c>
      <c r="G595" t="str">
        <v>ALL</v>
      </c>
      <c r="L595" t="str">
        <v>JVITER</v>
      </c>
      <c r="M595">
        <v>45234</v>
      </c>
      <c r="N595">
        <v>0.72800925925926</v>
      </c>
      <c r="S595" t="str">
        <v>X</v>
      </c>
      <c r="W595" t="str">
        <v>PP1K900520</v>
      </c>
      <c r="Y595">
        <f>IF(Table1[[#This Row],[OPERATION]]="NOTE","NOTE",Table1[[#This Row],[SUB_TYPE]])</f>
        <v>0</v>
      </c>
      <c r="Z595">
        <f>IF(Table1[[#This Row],[OPERATION]]="NOTE",NUMBERVALUE(LEFT(Table1[[#This Row],[MOD_NAME]],LEN(Table1[[#This Row],[MOD_NAME]])-4)),Table1[[#This Row],[SUB_NAME]])</f>
        <v>0</v>
      </c>
      <c r="AA595" t="str">
        <f>CONCAT(Table1[[#This Row],[Final Obj Type]],"|",Table1[[#This Row],[Final Obj Name]])</f>
        <v>0|0</v>
      </c>
      <c r="AB595" t="e">
        <f>VLOOKUP(Table1[[#This Row],[Final Obj Type]],Classification!B:E,3,FALSE)</f>
        <v>#N/A</v>
      </c>
      <c r="AC595" t="e">
        <f>VLOOKUP(Table1[[#This Row],[Final Obj Type]],Classification!B:E,4,FALSE)</f>
        <v>#N/A</v>
      </c>
      <c r="AD595" t="str">
        <f>IF(Table1[[#This Row],[Position 1]]=0,"/0SAP/",MID(Table1[[#This Row],[Final Obj Name]],Table1[[#This Row],[Position 1]],Table1[[#This Row],[Position 2]]-Table1[[#This Row],[Position 1]]+1))</f>
        <v>/0SAP/</v>
      </c>
      <c r="AE595" t="str">
        <f>VLOOKUP(Table1[[#This Row],[/* Object]],Namespace!A:J,10,FALSE)</f>
        <v>SAP AG</v>
      </c>
      <c r="AF595" t="str">
        <f>IF(VLOOKUP(Table1[[#This Row],[/* Object]],Namespace!A:J,4,FALSE)=0,"",VLOOKUP(Table1[[#This Row],[/* Object]],Namespace!A:J,4,FALSE))</f>
        <v>X</v>
      </c>
      <c r="AG595" t="str">
        <f>IF(VLOOKUP(Table1[[#This Row],[/* Object]],Namespace!A:J,5,FALSE)=0,"",VLOOKUP(Table1[[#This Row],[/* Object]],Namespace!A:J,5,FALSE))</f>
        <v>X</v>
      </c>
      <c r="AH595" t="str">
        <f>IF(VLOOKUP(Table1[[#This Row],[/* Object]],Namespace!A:J,6,FALSE)=0,"",VLOOKUP(Table1[[#This Row],[/* Object]],Namespace!A:J,6,FALSE))</f>
        <v/>
      </c>
      <c r="AI595">
        <f>IFERROR(FIND("/",Table1[[#This Row],[Final Obj Name]],1),0)</f>
        <v>0</v>
      </c>
      <c r="AJ595">
        <f>IF(Table1[[#This Row],[Position 1]]=0,0,FIND("/",Table1[[#This Row],[Final Obj Name]],Table1[[#This Row],[Position 1]]+1))</f>
        <v>0</v>
      </c>
      <c r="AK595" t="str">
        <f>IF(LEFT(Table1[[#This Row],[Final Obj Name]],1)="/",LEFT(Table1[[#This Row],[Final Obj Name]],FIND("/",Table1[[#This Row],[Final Obj Name]],2)),"/0SAP/")</f>
        <v>/0SAP/</v>
      </c>
    </row>
    <row r="596">
      <c r="A596" t="str">
        <v>ENHO</v>
      </c>
      <c r="B596" t="str">
        <v>ZIE_QA32_ADD_DOC_FIELDS</v>
      </c>
      <c r="C596" t="str">
        <v>ENHO</v>
      </c>
      <c r="D596" t="str">
        <v>ZIE_QA32_ADD_DOC_FIELDS</v>
      </c>
      <c r="G596" t="str">
        <v>ALL</v>
      </c>
      <c r="L596">
        <v>50117741</v>
      </c>
      <c r="M596">
        <v>45506</v>
      </c>
      <c r="N596">
        <v>0.47708333333333</v>
      </c>
      <c r="S596" t="str">
        <v>X</v>
      </c>
      <c r="W596" t="str">
        <v>S01K922265</v>
      </c>
      <c r="Y596">
        <f>IF(Table1[[#This Row],[OPERATION]]="NOTE","NOTE",Table1[[#This Row],[SUB_TYPE]])</f>
        <v>0</v>
      </c>
      <c r="Z596">
        <f>IF(Table1[[#This Row],[OPERATION]]="NOTE",NUMBERVALUE(LEFT(Table1[[#This Row],[MOD_NAME]],LEN(Table1[[#This Row],[MOD_NAME]])-4)),Table1[[#This Row],[SUB_NAME]])</f>
        <v>0</v>
      </c>
      <c r="AA596" t="str">
        <f>CONCAT(Table1[[#This Row],[Final Obj Type]],"|",Table1[[#This Row],[Final Obj Name]])</f>
        <v>0|0</v>
      </c>
      <c r="AB596" t="e">
        <f>VLOOKUP(Table1[[#This Row],[Final Obj Type]],Classification!B:E,3,FALSE)</f>
        <v>#N/A</v>
      </c>
      <c r="AC596" t="e">
        <f>VLOOKUP(Table1[[#This Row],[Final Obj Type]],Classification!B:E,4,FALSE)</f>
        <v>#N/A</v>
      </c>
      <c r="AD596" t="str">
        <f>IF(Table1[[#This Row],[Position 1]]=0,"/0SAP/",MID(Table1[[#This Row],[Final Obj Name]],Table1[[#This Row],[Position 1]],Table1[[#This Row],[Position 2]]-Table1[[#This Row],[Position 1]]+1))</f>
        <v>/0SAP/</v>
      </c>
      <c r="AE596" t="str">
        <f>VLOOKUP(Table1[[#This Row],[/* Object]],Namespace!A:J,10,FALSE)</f>
        <v>SAP AG</v>
      </c>
      <c r="AF596" t="str">
        <f>IF(VLOOKUP(Table1[[#This Row],[/* Object]],Namespace!A:J,4,FALSE)=0,"",VLOOKUP(Table1[[#This Row],[/* Object]],Namespace!A:J,4,FALSE))</f>
        <v>X</v>
      </c>
      <c r="AG596" t="str">
        <f>IF(VLOOKUP(Table1[[#This Row],[/* Object]],Namespace!A:J,5,FALSE)=0,"",VLOOKUP(Table1[[#This Row],[/* Object]],Namespace!A:J,5,FALSE))</f>
        <v>X</v>
      </c>
      <c r="AH596" t="str">
        <f>IF(VLOOKUP(Table1[[#This Row],[/* Object]],Namespace!A:J,6,FALSE)=0,"",VLOOKUP(Table1[[#This Row],[/* Object]],Namespace!A:J,6,FALSE))</f>
        <v/>
      </c>
      <c r="AI596">
        <f>IFERROR(FIND("/",Table1[[#This Row],[Final Obj Name]],1),0)</f>
        <v>0</v>
      </c>
      <c r="AJ596">
        <f>IF(Table1[[#This Row],[Position 1]]=0,0,FIND("/",Table1[[#This Row],[Final Obj Name]],Table1[[#This Row],[Position 1]]+1))</f>
        <v>0</v>
      </c>
      <c r="AK596" t="str">
        <f>IF(LEFT(Table1[[#This Row],[Final Obj Name]],1)="/",LEFT(Table1[[#This Row],[Final Obj Name]],FIND("/",Table1[[#This Row],[Final Obj Name]],2)),"/0SAP/")</f>
        <v>/0SAP/</v>
      </c>
    </row>
    <row r="597">
      <c r="A597" t="str">
        <v>ENHO</v>
      </c>
      <c r="B597" t="str">
        <v>ZLAISTF3K</v>
      </c>
      <c r="C597" t="str">
        <v>ENHO</v>
      </c>
      <c r="D597" t="str">
        <v>ZLAISTF3K</v>
      </c>
      <c r="G597" t="str">
        <v>ALL</v>
      </c>
      <c r="L597" t="str">
        <v>HMAISCH</v>
      </c>
      <c r="M597">
        <v>45234</v>
      </c>
      <c r="N597">
        <v>0.43548611111111</v>
      </c>
      <c r="S597" t="str">
        <v>X</v>
      </c>
      <c r="W597" t="str">
        <v>PP1K900534</v>
      </c>
      <c r="Y597">
        <f>IF(Table1[[#This Row],[OPERATION]]="NOTE","NOTE",Table1[[#This Row],[SUB_TYPE]])</f>
        <v>0</v>
      </c>
      <c r="Z597">
        <f>IF(Table1[[#This Row],[OPERATION]]="NOTE",NUMBERVALUE(LEFT(Table1[[#This Row],[MOD_NAME]],LEN(Table1[[#This Row],[MOD_NAME]])-4)),Table1[[#This Row],[SUB_NAME]])</f>
        <v>0</v>
      </c>
      <c r="AA597" t="str">
        <f>CONCAT(Table1[[#This Row],[Final Obj Type]],"|",Table1[[#This Row],[Final Obj Name]])</f>
        <v>0|0</v>
      </c>
      <c r="AB597" t="e">
        <f>VLOOKUP(Table1[[#This Row],[Final Obj Type]],Classification!B:E,3,FALSE)</f>
        <v>#N/A</v>
      </c>
      <c r="AC597" t="e">
        <f>VLOOKUP(Table1[[#This Row],[Final Obj Type]],Classification!B:E,4,FALSE)</f>
        <v>#N/A</v>
      </c>
      <c r="AD597" t="str">
        <f>IF(Table1[[#This Row],[Position 1]]=0,"/0SAP/",MID(Table1[[#This Row],[Final Obj Name]],Table1[[#This Row],[Position 1]],Table1[[#This Row],[Position 2]]-Table1[[#This Row],[Position 1]]+1))</f>
        <v>/0SAP/</v>
      </c>
      <c r="AE597" t="str">
        <f>VLOOKUP(Table1[[#This Row],[/* Object]],Namespace!A:J,10,FALSE)</f>
        <v>SAP AG</v>
      </c>
      <c r="AF597" t="str">
        <f>IF(VLOOKUP(Table1[[#This Row],[/* Object]],Namespace!A:J,4,FALSE)=0,"",VLOOKUP(Table1[[#This Row],[/* Object]],Namespace!A:J,4,FALSE))</f>
        <v>X</v>
      </c>
      <c r="AG597" t="str">
        <f>IF(VLOOKUP(Table1[[#This Row],[/* Object]],Namespace!A:J,5,FALSE)=0,"",VLOOKUP(Table1[[#This Row],[/* Object]],Namespace!A:J,5,FALSE))</f>
        <v>X</v>
      </c>
      <c r="AH597" t="str">
        <f>IF(VLOOKUP(Table1[[#This Row],[/* Object]],Namespace!A:J,6,FALSE)=0,"",VLOOKUP(Table1[[#This Row],[/* Object]],Namespace!A:J,6,FALSE))</f>
        <v/>
      </c>
      <c r="AI597">
        <f>IFERROR(FIND("/",Table1[[#This Row],[Final Obj Name]],1),0)</f>
        <v>0</v>
      </c>
      <c r="AJ597">
        <f>IF(Table1[[#This Row],[Position 1]]=0,0,FIND("/",Table1[[#This Row],[Final Obj Name]],Table1[[#This Row],[Position 1]]+1))</f>
        <v>0</v>
      </c>
      <c r="AK597" t="str">
        <f>IF(LEFT(Table1[[#This Row],[Final Obj Name]],1)="/",LEFT(Table1[[#This Row],[Final Obj Name]],FIND("/",Table1[[#This Row],[Final Obj Name]],2)),"/0SAP/")</f>
        <v>/0SAP/</v>
      </c>
    </row>
    <row r="598">
      <c r="A598" t="str">
        <v>ENHO</v>
      </c>
      <c r="B598" t="str">
        <v>ZLCA_STRGE_DETERMINATION</v>
      </c>
      <c r="C598" t="str">
        <v>ENHO</v>
      </c>
      <c r="D598" t="str">
        <v>ZLCA_STRGE_DETERMINATION</v>
      </c>
      <c r="G598" t="str">
        <v>ALL</v>
      </c>
      <c r="L598" t="str">
        <v>CST_BSOLAIMA</v>
      </c>
      <c r="M598">
        <v>45235</v>
      </c>
      <c r="N598">
        <v>0.11256944444444</v>
      </c>
      <c r="S598" t="str">
        <v>X</v>
      </c>
      <c r="W598" t="str">
        <v>PP1K900541</v>
      </c>
      <c r="Y598">
        <f>IF(Table1[[#This Row],[OPERATION]]="NOTE","NOTE",Table1[[#This Row],[SUB_TYPE]])</f>
        <v>0</v>
      </c>
      <c r="Z598">
        <f>IF(Table1[[#This Row],[OPERATION]]="NOTE",NUMBERVALUE(LEFT(Table1[[#This Row],[MOD_NAME]],LEN(Table1[[#This Row],[MOD_NAME]])-4)),Table1[[#This Row],[SUB_NAME]])</f>
        <v>0</v>
      </c>
      <c r="AA598" t="str">
        <f>CONCAT(Table1[[#This Row],[Final Obj Type]],"|",Table1[[#This Row],[Final Obj Name]])</f>
        <v>0|0</v>
      </c>
      <c r="AB598" t="e">
        <f>VLOOKUP(Table1[[#This Row],[Final Obj Type]],Classification!B:E,3,FALSE)</f>
        <v>#N/A</v>
      </c>
      <c r="AC598" t="e">
        <f>VLOOKUP(Table1[[#This Row],[Final Obj Type]],Classification!B:E,4,FALSE)</f>
        <v>#N/A</v>
      </c>
      <c r="AD598" t="str">
        <f>IF(Table1[[#This Row],[Position 1]]=0,"/0SAP/",MID(Table1[[#This Row],[Final Obj Name]],Table1[[#This Row],[Position 1]],Table1[[#This Row],[Position 2]]-Table1[[#This Row],[Position 1]]+1))</f>
        <v>/0SAP/</v>
      </c>
      <c r="AE598" t="str">
        <f>VLOOKUP(Table1[[#This Row],[/* Object]],Namespace!A:J,10,FALSE)</f>
        <v>SAP AG</v>
      </c>
      <c r="AF598" t="str">
        <f>IF(VLOOKUP(Table1[[#This Row],[/* Object]],Namespace!A:J,4,FALSE)=0,"",VLOOKUP(Table1[[#This Row],[/* Object]],Namespace!A:J,4,FALSE))</f>
        <v>X</v>
      </c>
      <c r="AG598" t="str">
        <f>IF(VLOOKUP(Table1[[#This Row],[/* Object]],Namespace!A:J,5,FALSE)=0,"",VLOOKUP(Table1[[#This Row],[/* Object]],Namespace!A:J,5,FALSE))</f>
        <v>X</v>
      </c>
      <c r="AH598" t="str">
        <f>IF(VLOOKUP(Table1[[#This Row],[/* Object]],Namespace!A:J,6,FALSE)=0,"",VLOOKUP(Table1[[#This Row],[/* Object]],Namespace!A:J,6,FALSE))</f>
        <v/>
      </c>
      <c r="AI598">
        <f>IFERROR(FIND("/",Table1[[#This Row],[Final Obj Name]],1),0)</f>
        <v>0</v>
      </c>
      <c r="AJ598">
        <f>IF(Table1[[#This Row],[Position 1]]=0,0,FIND("/",Table1[[#This Row],[Final Obj Name]],Table1[[#This Row],[Position 1]]+1))</f>
        <v>0</v>
      </c>
      <c r="AK598" t="str">
        <f>IF(LEFT(Table1[[#This Row],[Final Obj Name]],1)="/",LEFT(Table1[[#This Row],[Final Obj Name]],FIND("/",Table1[[#This Row],[Final Obj Name]],2)),"/0SAP/")</f>
        <v>/0SAP/</v>
      </c>
    </row>
    <row r="599">
      <c r="A599" t="str">
        <v>ENHO</v>
      </c>
      <c r="B599" t="str">
        <v>ZLEX_AUTO_BATCH</v>
      </c>
      <c r="C599" t="str">
        <v>ENHO</v>
      </c>
      <c r="D599" t="str">
        <v>ZLEX_AUTO_BATCH</v>
      </c>
      <c r="G599" t="str">
        <v>ALL</v>
      </c>
      <c r="L599" t="str">
        <v>CST_BSOLAIMA</v>
      </c>
      <c r="M599">
        <v>45304</v>
      </c>
      <c r="N599">
        <v>0.56393518518519</v>
      </c>
      <c r="S599" t="str">
        <v>X</v>
      </c>
      <c r="W599" t="str">
        <v>PP1K900641</v>
      </c>
      <c r="Y599">
        <f>IF(Table1[[#This Row],[OPERATION]]="NOTE","NOTE",Table1[[#This Row],[SUB_TYPE]])</f>
        <v>0</v>
      </c>
      <c r="Z599">
        <f>IF(Table1[[#This Row],[OPERATION]]="NOTE",NUMBERVALUE(LEFT(Table1[[#This Row],[MOD_NAME]],LEN(Table1[[#This Row],[MOD_NAME]])-4)),Table1[[#This Row],[SUB_NAME]])</f>
        <v>0</v>
      </c>
      <c r="AA599" t="str">
        <f>CONCAT(Table1[[#This Row],[Final Obj Type]],"|",Table1[[#This Row],[Final Obj Name]])</f>
        <v>0|0</v>
      </c>
      <c r="AB599" t="e">
        <f>VLOOKUP(Table1[[#This Row],[Final Obj Type]],Classification!B:E,3,FALSE)</f>
        <v>#N/A</v>
      </c>
      <c r="AC599" t="e">
        <f>VLOOKUP(Table1[[#This Row],[Final Obj Type]],Classification!B:E,4,FALSE)</f>
        <v>#N/A</v>
      </c>
      <c r="AD599" t="str">
        <f>IF(Table1[[#This Row],[Position 1]]=0,"/0SAP/",MID(Table1[[#This Row],[Final Obj Name]],Table1[[#This Row],[Position 1]],Table1[[#This Row],[Position 2]]-Table1[[#This Row],[Position 1]]+1))</f>
        <v>/0SAP/</v>
      </c>
      <c r="AE599" t="str">
        <f>VLOOKUP(Table1[[#This Row],[/* Object]],Namespace!A:J,10,FALSE)</f>
        <v>SAP AG</v>
      </c>
      <c r="AF599" t="str">
        <f>IF(VLOOKUP(Table1[[#This Row],[/* Object]],Namespace!A:J,4,FALSE)=0,"",VLOOKUP(Table1[[#This Row],[/* Object]],Namespace!A:J,4,FALSE))</f>
        <v>X</v>
      </c>
      <c r="AG599" t="str">
        <f>IF(VLOOKUP(Table1[[#This Row],[/* Object]],Namespace!A:J,5,FALSE)=0,"",VLOOKUP(Table1[[#This Row],[/* Object]],Namespace!A:J,5,FALSE))</f>
        <v>X</v>
      </c>
      <c r="AH599" t="str">
        <f>IF(VLOOKUP(Table1[[#This Row],[/* Object]],Namespace!A:J,6,FALSE)=0,"",VLOOKUP(Table1[[#This Row],[/* Object]],Namespace!A:J,6,FALSE))</f>
        <v/>
      </c>
      <c r="AI599">
        <f>IFERROR(FIND("/",Table1[[#This Row],[Final Obj Name]],1),0)</f>
        <v>0</v>
      </c>
      <c r="AJ599">
        <f>IF(Table1[[#This Row],[Position 1]]=0,0,FIND("/",Table1[[#This Row],[Final Obj Name]],Table1[[#This Row],[Position 1]]+1))</f>
        <v>0</v>
      </c>
      <c r="AK599" t="str">
        <f>IF(LEFT(Table1[[#This Row],[Final Obj Name]],1)="/",LEFT(Table1[[#This Row],[Final Obj Name]],FIND("/",Table1[[#This Row],[Final Obj Name]],2)),"/0SAP/")</f>
        <v>/0SAP/</v>
      </c>
    </row>
    <row r="600">
      <c r="A600" t="str">
        <v>ENHO</v>
      </c>
      <c r="B600" t="str">
        <v>ZLEX_CCB042_BATCH_SKIP_01</v>
      </c>
      <c r="C600" t="str">
        <v>ENHO</v>
      </c>
      <c r="D600" t="str">
        <v>ZLEX_CCB042_BATCH_SKIP_01</v>
      </c>
      <c r="G600" t="str">
        <v>ALL</v>
      </c>
      <c r="L600" t="str">
        <v>CST_BSOLAIMA</v>
      </c>
      <c r="M600">
        <v>45235</v>
      </c>
      <c r="N600">
        <v>0.11429398148148</v>
      </c>
      <c r="S600" t="str">
        <v>X</v>
      </c>
      <c r="W600" t="str">
        <v>PP1K900541</v>
      </c>
      <c r="Y600">
        <f>IF(Table1[[#This Row],[OPERATION]]="NOTE","NOTE",Table1[[#This Row],[SUB_TYPE]])</f>
        <v>0</v>
      </c>
      <c r="Z600">
        <f>IF(Table1[[#This Row],[OPERATION]]="NOTE",NUMBERVALUE(LEFT(Table1[[#This Row],[MOD_NAME]],LEN(Table1[[#This Row],[MOD_NAME]])-4)),Table1[[#This Row],[SUB_NAME]])</f>
        <v>0</v>
      </c>
      <c r="AA600" t="str">
        <f>CONCAT(Table1[[#This Row],[Final Obj Type]],"|",Table1[[#This Row],[Final Obj Name]])</f>
        <v>0|0</v>
      </c>
      <c r="AB600" t="e">
        <f>VLOOKUP(Table1[[#This Row],[Final Obj Type]],Classification!B:E,3,FALSE)</f>
        <v>#N/A</v>
      </c>
      <c r="AC600" t="e">
        <f>VLOOKUP(Table1[[#This Row],[Final Obj Type]],Classification!B:E,4,FALSE)</f>
        <v>#N/A</v>
      </c>
      <c r="AD600" t="str">
        <f>IF(Table1[[#This Row],[Position 1]]=0,"/0SAP/",MID(Table1[[#This Row],[Final Obj Name]],Table1[[#This Row],[Position 1]],Table1[[#This Row],[Position 2]]-Table1[[#This Row],[Position 1]]+1))</f>
        <v>/0SAP/</v>
      </c>
      <c r="AE600" t="str">
        <f>VLOOKUP(Table1[[#This Row],[/* Object]],Namespace!A:J,10,FALSE)</f>
        <v>SAP AG</v>
      </c>
      <c r="AF600" t="str">
        <f>IF(VLOOKUP(Table1[[#This Row],[/* Object]],Namespace!A:J,4,FALSE)=0,"",VLOOKUP(Table1[[#This Row],[/* Object]],Namespace!A:J,4,FALSE))</f>
        <v>X</v>
      </c>
      <c r="AG600" t="str">
        <f>IF(VLOOKUP(Table1[[#This Row],[/* Object]],Namespace!A:J,5,FALSE)=0,"",VLOOKUP(Table1[[#This Row],[/* Object]],Namespace!A:J,5,FALSE))</f>
        <v>X</v>
      </c>
      <c r="AH600" t="str">
        <f>IF(VLOOKUP(Table1[[#This Row],[/* Object]],Namespace!A:J,6,FALSE)=0,"",VLOOKUP(Table1[[#This Row],[/* Object]],Namespace!A:J,6,FALSE))</f>
        <v/>
      </c>
      <c r="AI600">
        <f>IFERROR(FIND("/",Table1[[#This Row],[Final Obj Name]],1),0)</f>
        <v>0</v>
      </c>
      <c r="AJ600">
        <f>IF(Table1[[#This Row],[Position 1]]=0,0,FIND("/",Table1[[#This Row],[Final Obj Name]],Table1[[#This Row],[Position 1]]+1))</f>
        <v>0</v>
      </c>
      <c r="AK600" t="str">
        <f>IF(LEFT(Table1[[#This Row],[Final Obj Name]],1)="/",LEFT(Table1[[#This Row],[Final Obj Name]],FIND("/",Table1[[#This Row],[Final Obj Name]],2)),"/0SAP/")</f>
        <v>/0SAP/</v>
      </c>
    </row>
    <row r="601">
      <c r="A601" t="str">
        <v>ENHO</v>
      </c>
      <c r="B601" t="str">
        <v>ZLEX_CCB042_BATCH_SKIP_03</v>
      </c>
      <c r="C601" t="str">
        <v>ENHO</v>
      </c>
      <c r="D601" t="str">
        <v>ZLEX_CCB042_BATCH_SKIP_03</v>
      </c>
      <c r="G601" t="str">
        <v>ALL</v>
      </c>
      <c r="L601" t="str">
        <v>CST_BSOLAIMA</v>
      </c>
      <c r="M601">
        <v>45235</v>
      </c>
      <c r="N601">
        <v>0.11484953703704</v>
      </c>
      <c r="S601" t="str">
        <v>X</v>
      </c>
      <c r="W601" t="str">
        <v>PP1K900541</v>
      </c>
      <c r="Y601">
        <f>IF(Table1[[#This Row],[OPERATION]]="NOTE","NOTE",Table1[[#This Row],[SUB_TYPE]])</f>
        <v>0</v>
      </c>
      <c r="Z601">
        <f>IF(Table1[[#This Row],[OPERATION]]="NOTE",NUMBERVALUE(LEFT(Table1[[#This Row],[MOD_NAME]],LEN(Table1[[#This Row],[MOD_NAME]])-4)),Table1[[#This Row],[SUB_NAME]])</f>
        <v>0</v>
      </c>
      <c r="AA601" t="str">
        <f>CONCAT(Table1[[#This Row],[Final Obj Type]],"|",Table1[[#This Row],[Final Obj Name]])</f>
        <v>0|0</v>
      </c>
      <c r="AB601" t="e">
        <f>VLOOKUP(Table1[[#This Row],[Final Obj Type]],Classification!B:E,3,FALSE)</f>
        <v>#N/A</v>
      </c>
      <c r="AC601" t="e">
        <f>VLOOKUP(Table1[[#This Row],[Final Obj Type]],Classification!B:E,4,FALSE)</f>
        <v>#N/A</v>
      </c>
      <c r="AD601" t="str">
        <f>IF(Table1[[#This Row],[Position 1]]=0,"/0SAP/",MID(Table1[[#This Row],[Final Obj Name]],Table1[[#This Row],[Position 1]],Table1[[#This Row],[Position 2]]-Table1[[#This Row],[Position 1]]+1))</f>
        <v>/0SAP/</v>
      </c>
      <c r="AE601" t="str">
        <f>VLOOKUP(Table1[[#This Row],[/* Object]],Namespace!A:J,10,FALSE)</f>
        <v>SAP AG</v>
      </c>
      <c r="AF601" t="str">
        <f>IF(VLOOKUP(Table1[[#This Row],[/* Object]],Namespace!A:J,4,FALSE)=0,"",VLOOKUP(Table1[[#This Row],[/* Object]],Namespace!A:J,4,FALSE))</f>
        <v>X</v>
      </c>
      <c r="AG601" t="str">
        <f>IF(VLOOKUP(Table1[[#This Row],[/* Object]],Namespace!A:J,5,FALSE)=0,"",VLOOKUP(Table1[[#This Row],[/* Object]],Namespace!A:J,5,FALSE))</f>
        <v>X</v>
      </c>
      <c r="AH601" t="str">
        <f>IF(VLOOKUP(Table1[[#This Row],[/* Object]],Namespace!A:J,6,FALSE)=0,"",VLOOKUP(Table1[[#This Row],[/* Object]],Namespace!A:J,6,FALSE))</f>
        <v/>
      </c>
      <c r="AI601">
        <f>IFERROR(FIND("/",Table1[[#This Row],[Final Obj Name]],1),0)</f>
        <v>0</v>
      </c>
      <c r="AJ601">
        <f>IF(Table1[[#This Row],[Position 1]]=0,0,FIND("/",Table1[[#This Row],[Final Obj Name]],Table1[[#This Row],[Position 1]]+1))</f>
        <v>0</v>
      </c>
      <c r="AK601" t="str">
        <f>IF(LEFT(Table1[[#This Row],[Final Obj Name]],1)="/",LEFT(Table1[[#This Row],[Final Obj Name]],FIND("/",Table1[[#This Row],[Final Obj Name]],2)),"/0SAP/")</f>
        <v>/0SAP/</v>
      </c>
    </row>
    <row r="602">
      <c r="A602" t="str">
        <v>ENHO</v>
      </c>
      <c r="B602" t="str">
        <v>ZLEX_CCB042_BATCH_SKIP_04</v>
      </c>
      <c r="C602" t="str">
        <v>ENHO</v>
      </c>
      <c r="D602" t="str">
        <v>ZLEX_CCB042_BATCH_SKIP_04</v>
      </c>
      <c r="G602" t="str">
        <v>ALL</v>
      </c>
      <c r="L602" t="str">
        <v>CST_BSOLAIMA</v>
      </c>
      <c r="M602">
        <v>45235</v>
      </c>
      <c r="N602">
        <v>0.15731481481481</v>
      </c>
      <c r="S602" t="str">
        <v>X</v>
      </c>
      <c r="W602" t="str">
        <v>PP1K900541</v>
      </c>
      <c r="Y602">
        <f>IF(Table1[[#This Row],[OPERATION]]="NOTE","NOTE",Table1[[#This Row],[SUB_TYPE]])</f>
        <v>0</v>
      </c>
      <c r="Z602">
        <f>IF(Table1[[#This Row],[OPERATION]]="NOTE",NUMBERVALUE(LEFT(Table1[[#This Row],[MOD_NAME]],LEN(Table1[[#This Row],[MOD_NAME]])-4)),Table1[[#This Row],[SUB_NAME]])</f>
        <v>0</v>
      </c>
      <c r="AA602" t="str">
        <f>CONCAT(Table1[[#This Row],[Final Obj Type]],"|",Table1[[#This Row],[Final Obj Name]])</f>
        <v>0|0</v>
      </c>
      <c r="AB602" t="e">
        <f>VLOOKUP(Table1[[#This Row],[Final Obj Type]],Classification!B:E,3,FALSE)</f>
        <v>#N/A</v>
      </c>
      <c r="AC602" t="e">
        <f>VLOOKUP(Table1[[#This Row],[Final Obj Type]],Classification!B:E,4,FALSE)</f>
        <v>#N/A</v>
      </c>
      <c r="AD602" t="str">
        <f>IF(Table1[[#This Row],[Position 1]]=0,"/0SAP/",MID(Table1[[#This Row],[Final Obj Name]],Table1[[#This Row],[Position 1]],Table1[[#This Row],[Position 2]]-Table1[[#This Row],[Position 1]]+1))</f>
        <v>/0SAP/</v>
      </c>
      <c r="AE602" t="str">
        <f>VLOOKUP(Table1[[#This Row],[/* Object]],Namespace!A:J,10,FALSE)</f>
        <v>SAP AG</v>
      </c>
      <c r="AF602" t="str">
        <f>IF(VLOOKUP(Table1[[#This Row],[/* Object]],Namespace!A:J,4,FALSE)=0,"",VLOOKUP(Table1[[#This Row],[/* Object]],Namespace!A:J,4,FALSE))</f>
        <v>X</v>
      </c>
      <c r="AG602" t="str">
        <f>IF(VLOOKUP(Table1[[#This Row],[/* Object]],Namespace!A:J,5,FALSE)=0,"",VLOOKUP(Table1[[#This Row],[/* Object]],Namespace!A:J,5,FALSE))</f>
        <v>X</v>
      </c>
      <c r="AH602" t="str">
        <f>IF(VLOOKUP(Table1[[#This Row],[/* Object]],Namespace!A:J,6,FALSE)=0,"",VLOOKUP(Table1[[#This Row],[/* Object]],Namespace!A:J,6,FALSE))</f>
        <v/>
      </c>
      <c r="AI602">
        <f>IFERROR(FIND("/",Table1[[#This Row],[Final Obj Name]],1),0)</f>
        <v>0</v>
      </c>
      <c r="AJ602">
        <f>IF(Table1[[#This Row],[Position 1]]=0,0,FIND("/",Table1[[#This Row],[Final Obj Name]],Table1[[#This Row],[Position 1]]+1))</f>
        <v>0</v>
      </c>
      <c r="AK602" t="str">
        <f>IF(LEFT(Table1[[#This Row],[Final Obj Name]],1)="/",LEFT(Table1[[#This Row],[Final Obj Name]],FIND("/",Table1[[#This Row],[Final Obj Name]],2)),"/0SAP/")</f>
        <v>/0SAP/</v>
      </c>
    </row>
    <row r="603">
      <c r="A603" t="str">
        <v>ENHO</v>
      </c>
      <c r="B603" t="str">
        <v>ZLEX_DEL_PROC_PARTNER</v>
      </c>
      <c r="C603" t="str">
        <v>ENHO</v>
      </c>
      <c r="D603" t="str">
        <v>ZLEX_DEL_PROC_PARTNER</v>
      </c>
      <c r="G603" t="str">
        <v>ALL</v>
      </c>
      <c r="L603" t="str">
        <v>CST_BSOLAIMA</v>
      </c>
      <c r="M603">
        <v>45234</v>
      </c>
      <c r="N603">
        <v>0.72990740740741</v>
      </c>
      <c r="S603" t="str">
        <v>X</v>
      </c>
      <c r="W603" t="str">
        <v>PP1K900541</v>
      </c>
      <c r="Y603">
        <f>IF(Table1[[#This Row],[OPERATION]]="NOTE","NOTE",Table1[[#This Row],[SUB_TYPE]])</f>
        <v>0</v>
      </c>
      <c r="Z603">
        <f>IF(Table1[[#This Row],[OPERATION]]="NOTE",NUMBERVALUE(LEFT(Table1[[#This Row],[MOD_NAME]],LEN(Table1[[#This Row],[MOD_NAME]])-4)),Table1[[#This Row],[SUB_NAME]])</f>
        <v>0</v>
      </c>
      <c r="AA603" t="str">
        <f>CONCAT(Table1[[#This Row],[Final Obj Type]],"|",Table1[[#This Row],[Final Obj Name]])</f>
        <v>0|0</v>
      </c>
      <c r="AB603" t="e">
        <f>VLOOKUP(Table1[[#This Row],[Final Obj Type]],Classification!B:E,3,FALSE)</f>
        <v>#N/A</v>
      </c>
      <c r="AC603" t="e">
        <f>VLOOKUP(Table1[[#This Row],[Final Obj Type]],Classification!B:E,4,FALSE)</f>
        <v>#N/A</v>
      </c>
      <c r="AD603" t="str">
        <f>IF(Table1[[#This Row],[Position 1]]=0,"/0SAP/",MID(Table1[[#This Row],[Final Obj Name]],Table1[[#This Row],[Position 1]],Table1[[#This Row],[Position 2]]-Table1[[#This Row],[Position 1]]+1))</f>
        <v>/0SAP/</v>
      </c>
      <c r="AE603" t="str">
        <f>VLOOKUP(Table1[[#This Row],[/* Object]],Namespace!A:J,10,FALSE)</f>
        <v>SAP AG</v>
      </c>
      <c r="AF603" t="str">
        <f>IF(VLOOKUP(Table1[[#This Row],[/* Object]],Namespace!A:J,4,FALSE)=0,"",VLOOKUP(Table1[[#This Row],[/* Object]],Namespace!A:J,4,FALSE))</f>
        <v>X</v>
      </c>
      <c r="AG603" t="str">
        <f>IF(VLOOKUP(Table1[[#This Row],[/* Object]],Namespace!A:J,5,FALSE)=0,"",VLOOKUP(Table1[[#This Row],[/* Object]],Namespace!A:J,5,FALSE))</f>
        <v>X</v>
      </c>
      <c r="AH603" t="str">
        <f>IF(VLOOKUP(Table1[[#This Row],[/* Object]],Namespace!A:J,6,FALSE)=0,"",VLOOKUP(Table1[[#This Row],[/* Object]],Namespace!A:J,6,FALSE))</f>
        <v/>
      </c>
      <c r="AI603">
        <f>IFERROR(FIND("/",Table1[[#This Row],[Final Obj Name]],1),0)</f>
        <v>0</v>
      </c>
      <c r="AJ603">
        <f>IF(Table1[[#This Row],[Position 1]]=0,0,FIND("/",Table1[[#This Row],[Final Obj Name]],Table1[[#This Row],[Position 1]]+1))</f>
        <v>0</v>
      </c>
      <c r="AK603" t="str">
        <f>IF(LEFT(Table1[[#This Row],[Final Obj Name]],1)="/",LEFT(Table1[[#This Row],[Final Obj Name]],FIND("/",Table1[[#This Row],[Final Obj Name]],2)),"/0SAP/")</f>
        <v>/0SAP/</v>
      </c>
    </row>
    <row r="604">
      <c r="A604" t="str">
        <v>ENHO</v>
      </c>
      <c r="B604" t="str">
        <v>ZLEX_EWMPI_ADD_FIELD</v>
      </c>
      <c r="C604" t="str">
        <v>ENHO</v>
      </c>
      <c r="D604" t="str">
        <v>ZLEX_EWMPI_ADD_FIELD</v>
      </c>
      <c r="G604" t="str">
        <v>ALL</v>
      </c>
      <c r="L604">
        <v>50116387</v>
      </c>
      <c r="M604">
        <v>45234</v>
      </c>
      <c r="N604">
        <v>0.62334490740741</v>
      </c>
      <c r="S604" t="str">
        <v>X</v>
      </c>
      <c r="W604" t="str">
        <v>PP1K900541</v>
      </c>
      <c r="Y604">
        <f>IF(Table1[[#This Row],[OPERATION]]="NOTE","NOTE",Table1[[#This Row],[SUB_TYPE]])</f>
        <v>0</v>
      </c>
      <c r="Z604">
        <f>IF(Table1[[#This Row],[OPERATION]]="NOTE",NUMBERVALUE(LEFT(Table1[[#This Row],[MOD_NAME]],LEN(Table1[[#This Row],[MOD_NAME]])-4)),Table1[[#This Row],[SUB_NAME]])</f>
        <v>0</v>
      </c>
      <c r="AA604" t="str">
        <f>CONCAT(Table1[[#This Row],[Final Obj Type]],"|",Table1[[#This Row],[Final Obj Name]])</f>
        <v>0|0</v>
      </c>
      <c r="AB604" t="e">
        <f>VLOOKUP(Table1[[#This Row],[Final Obj Type]],Classification!B:E,3,FALSE)</f>
        <v>#N/A</v>
      </c>
      <c r="AC604" t="e">
        <f>VLOOKUP(Table1[[#This Row],[Final Obj Type]],Classification!B:E,4,FALSE)</f>
        <v>#N/A</v>
      </c>
      <c r="AD604" t="str">
        <f>IF(Table1[[#This Row],[Position 1]]=0,"/0SAP/",MID(Table1[[#This Row],[Final Obj Name]],Table1[[#This Row],[Position 1]],Table1[[#This Row],[Position 2]]-Table1[[#This Row],[Position 1]]+1))</f>
        <v>/0SAP/</v>
      </c>
      <c r="AE604" t="str">
        <f>VLOOKUP(Table1[[#This Row],[/* Object]],Namespace!A:J,10,FALSE)</f>
        <v>SAP AG</v>
      </c>
      <c r="AF604" t="str">
        <f>IF(VLOOKUP(Table1[[#This Row],[/* Object]],Namespace!A:J,4,FALSE)=0,"",VLOOKUP(Table1[[#This Row],[/* Object]],Namespace!A:J,4,FALSE))</f>
        <v>X</v>
      </c>
      <c r="AG604" t="str">
        <f>IF(VLOOKUP(Table1[[#This Row],[/* Object]],Namespace!A:J,5,FALSE)=0,"",VLOOKUP(Table1[[#This Row],[/* Object]],Namespace!A:J,5,FALSE))</f>
        <v>X</v>
      </c>
      <c r="AH604" t="str">
        <f>IF(VLOOKUP(Table1[[#This Row],[/* Object]],Namespace!A:J,6,FALSE)=0,"",VLOOKUP(Table1[[#This Row],[/* Object]],Namespace!A:J,6,FALSE))</f>
        <v/>
      </c>
      <c r="AI604">
        <f>IFERROR(FIND("/",Table1[[#This Row],[Final Obj Name]],1),0)</f>
        <v>0</v>
      </c>
      <c r="AJ604">
        <f>IF(Table1[[#This Row],[Position 1]]=0,0,FIND("/",Table1[[#This Row],[Final Obj Name]],Table1[[#This Row],[Position 1]]+1))</f>
        <v>0</v>
      </c>
      <c r="AK604" t="str">
        <f>IF(LEFT(Table1[[#This Row],[Final Obj Name]],1)="/",LEFT(Table1[[#This Row],[Final Obj Name]],FIND("/",Table1[[#This Row],[Final Obj Name]],2)),"/0SAP/")</f>
        <v>/0SAP/</v>
      </c>
    </row>
    <row r="605">
      <c r="A605" t="str">
        <v>ENHO</v>
      </c>
      <c r="B605" t="str">
        <v>ZLEX_EWMPI_ADD_FILTER_LOGIC2</v>
      </c>
      <c r="C605" t="str">
        <v>ENHO</v>
      </c>
      <c r="D605" t="str">
        <v>ZLEX_EWMPI_ADD_FILTER_LOGIC2</v>
      </c>
      <c r="G605" t="str">
        <v>ALL</v>
      </c>
      <c r="L605" t="str">
        <v>CST_BSOLAIMA</v>
      </c>
      <c r="M605">
        <v>45235</v>
      </c>
      <c r="N605">
        <v>0.15834490740741</v>
      </c>
      <c r="S605" t="str">
        <v>X</v>
      </c>
      <c r="W605" t="str">
        <v>PP1K900541</v>
      </c>
      <c r="Y605">
        <f>IF(Table1[[#This Row],[OPERATION]]="NOTE","NOTE",Table1[[#This Row],[SUB_TYPE]])</f>
        <v>0</v>
      </c>
      <c r="Z605">
        <f>IF(Table1[[#This Row],[OPERATION]]="NOTE",NUMBERVALUE(LEFT(Table1[[#This Row],[MOD_NAME]],LEN(Table1[[#This Row],[MOD_NAME]])-4)),Table1[[#This Row],[SUB_NAME]])</f>
        <v>0</v>
      </c>
      <c r="AA605" t="str">
        <f>CONCAT(Table1[[#This Row],[Final Obj Type]],"|",Table1[[#This Row],[Final Obj Name]])</f>
        <v>0|0</v>
      </c>
      <c r="AB605" t="e">
        <f>VLOOKUP(Table1[[#This Row],[Final Obj Type]],Classification!B:E,3,FALSE)</f>
        <v>#N/A</v>
      </c>
      <c r="AC605" t="e">
        <f>VLOOKUP(Table1[[#This Row],[Final Obj Type]],Classification!B:E,4,FALSE)</f>
        <v>#N/A</v>
      </c>
      <c r="AD605" t="str">
        <f>IF(Table1[[#This Row],[Position 1]]=0,"/0SAP/",MID(Table1[[#This Row],[Final Obj Name]],Table1[[#This Row],[Position 1]],Table1[[#This Row],[Position 2]]-Table1[[#This Row],[Position 1]]+1))</f>
        <v>/0SAP/</v>
      </c>
      <c r="AE605" t="str">
        <f>VLOOKUP(Table1[[#This Row],[/* Object]],Namespace!A:J,10,FALSE)</f>
        <v>SAP AG</v>
      </c>
      <c r="AF605" t="str">
        <f>IF(VLOOKUP(Table1[[#This Row],[/* Object]],Namespace!A:J,4,FALSE)=0,"",VLOOKUP(Table1[[#This Row],[/* Object]],Namespace!A:J,4,FALSE))</f>
        <v>X</v>
      </c>
      <c r="AG605" t="str">
        <f>IF(VLOOKUP(Table1[[#This Row],[/* Object]],Namespace!A:J,5,FALSE)=0,"",VLOOKUP(Table1[[#This Row],[/* Object]],Namespace!A:J,5,FALSE))</f>
        <v>X</v>
      </c>
      <c r="AH605" t="str">
        <f>IF(VLOOKUP(Table1[[#This Row],[/* Object]],Namespace!A:J,6,FALSE)=0,"",VLOOKUP(Table1[[#This Row],[/* Object]],Namespace!A:J,6,FALSE))</f>
        <v/>
      </c>
      <c r="AI605">
        <f>IFERROR(FIND("/",Table1[[#This Row],[Final Obj Name]],1),0)</f>
        <v>0</v>
      </c>
      <c r="AJ605">
        <f>IF(Table1[[#This Row],[Position 1]]=0,0,FIND("/",Table1[[#This Row],[Final Obj Name]],Table1[[#This Row],[Position 1]]+1))</f>
        <v>0</v>
      </c>
      <c r="AK605" t="str">
        <f>IF(LEFT(Table1[[#This Row],[Final Obj Name]],1)="/",LEFT(Table1[[#This Row],[Final Obj Name]],FIND("/",Table1[[#This Row],[Final Obj Name]],2)),"/0SAP/")</f>
        <v>/0SAP/</v>
      </c>
    </row>
    <row r="606">
      <c r="A606" t="str">
        <v>ENHO</v>
      </c>
      <c r="B606" t="str">
        <v>ZLEX_KRDX_PTWY_PAI</v>
      </c>
      <c r="C606" t="str">
        <v>ENHO</v>
      </c>
      <c r="D606" t="str">
        <v>ZLEX_KRDX_PTWY_PAI</v>
      </c>
      <c r="G606" t="str">
        <v>ALL</v>
      </c>
      <c r="L606" t="str">
        <v>CST_BSOLAIMA</v>
      </c>
      <c r="M606">
        <v>45235</v>
      </c>
      <c r="N606">
        <v>0.15972222222222</v>
      </c>
      <c r="S606" t="str">
        <v>X</v>
      </c>
      <c r="W606" t="str">
        <v>PP1K900541</v>
      </c>
      <c r="Y606">
        <f>IF(Table1[[#This Row],[OPERATION]]="NOTE","NOTE",Table1[[#This Row],[SUB_TYPE]])</f>
        <v>0</v>
      </c>
      <c r="Z606">
        <f>IF(Table1[[#This Row],[OPERATION]]="NOTE",NUMBERVALUE(LEFT(Table1[[#This Row],[MOD_NAME]],LEN(Table1[[#This Row],[MOD_NAME]])-4)),Table1[[#This Row],[SUB_NAME]])</f>
        <v>0</v>
      </c>
      <c r="AA606" t="str">
        <f>CONCAT(Table1[[#This Row],[Final Obj Type]],"|",Table1[[#This Row],[Final Obj Name]])</f>
        <v>0|0</v>
      </c>
      <c r="AB606" t="e">
        <f>VLOOKUP(Table1[[#This Row],[Final Obj Type]],Classification!B:E,3,FALSE)</f>
        <v>#N/A</v>
      </c>
      <c r="AC606" t="e">
        <f>VLOOKUP(Table1[[#This Row],[Final Obj Type]],Classification!B:E,4,FALSE)</f>
        <v>#N/A</v>
      </c>
      <c r="AD606" t="str">
        <f>IF(Table1[[#This Row],[Position 1]]=0,"/0SAP/",MID(Table1[[#This Row],[Final Obj Name]],Table1[[#This Row],[Position 1]],Table1[[#This Row],[Position 2]]-Table1[[#This Row],[Position 1]]+1))</f>
        <v>/0SAP/</v>
      </c>
      <c r="AE606" t="str">
        <f>VLOOKUP(Table1[[#This Row],[/* Object]],Namespace!A:J,10,FALSE)</f>
        <v>SAP AG</v>
      </c>
      <c r="AF606" t="str">
        <f>IF(VLOOKUP(Table1[[#This Row],[/* Object]],Namespace!A:J,4,FALSE)=0,"",VLOOKUP(Table1[[#This Row],[/* Object]],Namespace!A:J,4,FALSE))</f>
        <v>X</v>
      </c>
      <c r="AG606" t="str">
        <f>IF(VLOOKUP(Table1[[#This Row],[/* Object]],Namespace!A:J,5,FALSE)=0,"",VLOOKUP(Table1[[#This Row],[/* Object]],Namespace!A:J,5,FALSE))</f>
        <v>X</v>
      </c>
      <c r="AH606" t="str">
        <f>IF(VLOOKUP(Table1[[#This Row],[/* Object]],Namespace!A:J,6,FALSE)=0,"",VLOOKUP(Table1[[#This Row],[/* Object]],Namespace!A:J,6,FALSE))</f>
        <v/>
      </c>
      <c r="AI606">
        <f>IFERROR(FIND("/",Table1[[#This Row],[Final Obj Name]],1),0)</f>
        <v>0</v>
      </c>
      <c r="AJ606">
        <f>IF(Table1[[#This Row],[Position 1]]=0,0,FIND("/",Table1[[#This Row],[Final Obj Name]],Table1[[#This Row],[Position 1]]+1))</f>
        <v>0</v>
      </c>
      <c r="AK606" t="str">
        <f>IF(LEFT(Table1[[#This Row],[Final Obj Name]],1)="/",LEFT(Table1[[#This Row],[Final Obj Name]],FIND("/",Table1[[#This Row],[Final Obj Name]],2)),"/0SAP/")</f>
        <v>/0SAP/</v>
      </c>
    </row>
    <row r="607">
      <c r="A607" t="str">
        <v>ENHO</v>
      </c>
      <c r="B607" t="str">
        <v>ZLEX_KRDX_PTWY_PAI1</v>
      </c>
      <c r="C607" t="str">
        <v>ENHO</v>
      </c>
      <c r="D607" t="str">
        <v>ZLEX_KRDX_PTWY_PAI1</v>
      </c>
      <c r="G607" t="str">
        <v>ALL</v>
      </c>
      <c r="L607" t="str">
        <v>CST_BSOLAIMA</v>
      </c>
      <c r="M607">
        <v>45235</v>
      </c>
      <c r="N607">
        <v>0.11541666666667</v>
      </c>
      <c r="S607" t="str">
        <v>X</v>
      </c>
      <c r="W607" t="str">
        <v>PP1K900541</v>
      </c>
      <c r="Y607">
        <f>IF(Table1[[#This Row],[OPERATION]]="NOTE","NOTE",Table1[[#This Row],[SUB_TYPE]])</f>
        <v>0</v>
      </c>
      <c r="Z607">
        <f>IF(Table1[[#This Row],[OPERATION]]="NOTE",NUMBERVALUE(LEFT(Table1[[#This Row],[MOD_NAME]],LEN(Table1[[#This Row],[MOD_NAME]])-4)),Table1[[#This Row],[SUB_NAME]])</f>
        <v>0</v>
      </c>
      <c r="AA607" t="str">
        <f>CONCAT(Table1[[#This Row],[Final Obj Type]],"|",Table1[[#This Row],[Final Obj Name]])</f>
        <v>0|0</v>
      </c>
      <c r="AB607" t="e">
        <f>VLOOKUP(Table1[[#This Row],[Final Obj Type]],Classification!B:E,3,FALSE)</f>
        <v>#N/A</v>
      </c>
      <c r="AC607" t="e">
        <f>VLOOKUP(Table1[[#This Row],[Final Obj Type]],Classification!B:E,4,FALSE)</f>
        <v>#N/A</v>
      </c>
      <c r="AD607" t="str">
        <f>IF(Table1[[#This Row],[Position 1]]=0,"/0SAP/",MID(Table1[[#This Row],[Final Obj Name]],Table1[[#This Row],[Position 1]],Table1[[#This Row],[Position 2]]-Table1[[#This Row],[Position 1]]+1))</f>
        <v>/0SAP/</v>
      </c>
      <c r="AE607" t="str">
        <f>VLOOKUP(Table1[[#This Row],[/* Object]],Namespace!A:J,10,FALSE)</f>
        <v>SAP AG</v>
      </c>
      <c r="AF607" t="str">
        <f>IF(VLOOKUP(Table1[[#This Row],[/* Object]],Namespace!A:J,4,FALSE)=0,"",VLOOKUP(Table1[[#This Row],[/* Object]],Namespace!A:J,4,FALSE))</f>
        <v>X</v>
      </c>
      <c r="AG607" t="str">
        <f>IF(VLOOKUP(Table1[[#This Row],[/* Object]],Namespace!A:J,5,FALSE)=0,"",VLOOKUP(Table1[[#This Row],[/* Object]],Namespace!A:J,5,FALSE))</f>
        <v>X</v>
      </c>
      <c r="AH607" t="str">
        <f>IF(VLOOKUP(Table1[[#This Row],[/* Object]],Namespace!A:J,6,FALSE)=0,"",VLOOKUP(Table1[[#This Row],[/* Object]],Namespace!A:J,6,FALSE))</f>
        <v/>
      </c>
      <c r="AI607">
        <f>IFERROR(FIND("/",Table1[[#This Row],[Final Obj Name]],1),0)</f>
        <v>0</v>
      </c>
      <c r="AJ607">
        <f>IF(Table1[[#This Row],[Position 1]]=0,0,FIND("/",Table1[[#This Row],[Final Obj Name]],Table1[[#This Row],[Position 1]]+1))</f>
        <v>0</v>
      </c>
      <c r="AK607" t="str">
        <f>IF(LEFT(Table1[[#This Row],[Final Obj Name]],1)="/",LEFT(Table1[[#This Row],[Final Obj Name]],FIND("/",Table1[[#This Row],[Final Obj Name]],2)),"/0SAP/")</f>
        <v>/0SAP/</v>
      </c>
    </row>
    <row r="608">
      <c r="A608" t="str">
        <v>ENHO</v>
      </c>
      <c r="B608" t="str">
        <v>ZLEX_MB_CREATE_GOODS_MOVEMENT</v>
      </c>
      <c r="C608" t="str">
        <v>ENHO</v>
      </c>
      <c r="D608" t="str">
        <v>ZLEX_MB_CREATE_GOODS_MOVEMENT</v>
      </c>
      <c r="G608" t="str">
        <v>ALL</v>
      </c>
      <c r="L608" t="str">
        <v>CST_BSOLAIMA</v>
      </c>
      <c r="M608">
        <v>45235</v>
      </c>
      <c r="N608">
        <v>0.1603125</v>
      </c>
      <c r="S608" t="str">
        <v>X</v>
      </c>
      <c r="W608" t="str">
        <v>PP1K900520</v>
      </c>
      <c r="Y608">
        <f>IF(Table1[[#This Row],[OPERATION]]="NOTE","NOTE",Table1[[#This Row],[SUB_TYPE]])</f>
        <v>0</v>
      </c>
      <c r="Z608">
        <f>IF(Table1[[#This Row],[OPERATION]]="NOTE",NUMBERVALUE(LEFT(Table1[[#This Row],[MOD_NAME]],LEN(Table1[[#This Row],[MOD_NAME]])-4)),Table1[[#This Row],[SUB_NAME]])</f>
        <v>0</v>
      </c>
      <c r="AA608" t="str">
        <f>CONCAT(Table1[[#This Row],[Final Obj Type]],"|",Table1[[#This Row],[Final Obj Name]])</f>
        <v>0|0</v>
      </c>
      <c r="AB608" t="e">
        <f>VLOOKUP(Table1[[#This Row],[Final Obj Type]],Classification!B:E,3,FALSE)</f>
        <v>#N/A</v>
      </c>
      <c r="AC608" t="e">
        <f>VLOOKUP(Table1[[#This Row],[Final Obj Type]],Classification!B:E,4,FALSE)</f>
        <v>#N/A</v>
      </c>
      <c r="AD608" t="str">
        <f>IF(Table1[[#This Row],[Position 1]]=0,"/0SAP/",MID(Table1[[#This Row],[Final Obj Name]],Table1[[#This Row],[Position 1]],Table1[[#This Row],[Position 2]]-Table1[[#This Row],[Position 1]]+1))</f>
        <v>/0SAP/</v>
      </c>
      <c r="AE608" t="str">
        <f>VLOOKUP(Table1[[#This Row],[/* Object]],Namespace!A:J,10,FALSE)</f>
        <v>SAP AG</v>
      </c>
      <c r="AF608" t="str">
        <f>IF(VLOOKUP(Table1[[#This Row],[/* Object]],Namespace!A:J,4,FALSE)=0,"",VLOOKUP(Table1[[#This Row],[/* Object]],Namespace!A:J,4,FALSE))</f>
        <v>X</v>
      </c>
      <c r="AG608" t="str">
        <f>IF(VLOOKUP(Table1[[#This Row],[/* Object]],Namespace!A:J,5,FALSE)=0,"",VLOOKUP(Table1[[#This Row],[/* Object]],Namespace!A:J,5,FALSE))</f>
        <v>X</v>
      </c>
      <c r="AH608" t="str">
        <f>IF(VLOOKUP(Table1[[#This Row],[/* Object]],Namespace!A:J,6,FALSE)=0,"",VLOOKUP(Table1[[#This Row],[/* Object]],Namespace!A:J,6,FALSE))</f>
        <v/>
      </c>
      <c r="AI608">
        <f>IFERROR(FIND("/",Table1[[#This Row],[Final Obj Name]],1),0)</f>
        <v>0</v>
      </c>
      <c r="AJ608">
        <f>IF(Table1[[#This Row],[Position 1]]=0,0,FIND("/",Table1[[#This Row],[Final Obj Name]],Table1[[#This Row],[Position 1]]+1))</f>
        <v>0</v>
      </c>
      <c r="AK608" t="str">
        <f>IF(LEFT(Table1[[#This Row],[Final Obj Name]],1)="/",LEFT(Table1[[#This Row],[Final Obj Name]],FIND("/",Table1[[#This Row],[Final Obj Name]],2)),"/0SAP/")</f>
        <v>/0SAP/</v>
      </c>
    </row>
    <row r="609">
      <c r="A609" t="str">
        <v>ENHO</v>
      </c>
      <c r="B609" t="str">
        <v>ZLEX_MICN_ADD_FIELD_LOGIC</v>
      </c>
      <c r="C609" t="str">
        <v>ENHO</v>
      </c>
      <c r="D609" t="str">
        <v>ZLEX_MICN_ADD_FIELD_LOGIC</v>
      </c>
      <c r="G609" t="str">
        <v>ALL</v>
      </c>
      <c r="L609" t="str">
        <v>CST_BSOLAIMA</v>
      </c>
      <c r="M609">
        <v>45235</v>
      </c>
      <c r="N609">
        <v>0.11736111111111</v>
      </c>
      <c r="S609" t="str">
        <v>X</v>
      </c>
      <c r="W609" t="str">
        <v>PP1K900541</v>
      </c>
      <c r="Y609">
        <f>IF(Table1[[#This Row],[OPERATION]]="NOTE","NOTE",Table1[[#This Row],[SUB_TYPE]])</f>
        <v>0</v>
      </c>
      <c r="Z609">
        <f>IF(Table1[[#This Row],[OPERATION]]="NOTE",NUMBERVALUE(LEFT(Table1[[#This Row],[MOD_NAME]],LEN(Table1[[#This Row],[MOD_NAME]])-4)),Table1[[#This Row],[SUB_NAME]])</f>
        <v>0</v>
      </c>
      <c r="AA609" t="str">
        <f>CONCAT(Table1[[#This Row],[Final Obj Type]],"|",Table1[[#This Row],[Final Obj Name]])</f>
        <v>0|0</v>
      </c>
      <c r="AB609" t="e">
        <f>VLOOKUP(Table1[[#This Row],[Final Obj Type]],Classification!B:E,3,FALSE)</f>
        <v>#N/A</v>
      </c>
      <c r="AC609" t="e">
        <f>VLOOKUP(Table1[[#This Row],[Final Obj Type]],Classification!B:E,4,FALSE)</f>
        <v>#N/A</v>
      </c>
      <c r="AD609" t="str">
        <f>IF(Table1[[#This Row],[Position 1]]=0,"/0SAP/",MID(Table1[[#This Row],[Final Obj Name]],Table1[[#This Row],[Position 1]],Table1[[#This Row],[Position 2]]-Table1[[#This Row],[Position 1]]+1))</f>
        <v>/0SAP/</v>
      </c>
      <c r="AE609" t="str">
        <f>VLOOKUP(Table1[[#This Row],[/* Object]],Namespace!A:J,10,FALSE)</f>
        <v>SAP AG</v>
      </c>
      <c r="AF609" t="str">
        <f>IF(VLOOKUP(Table1[[#This Row],[/* Object]],Namespace!A:J,4,FALSE)=0,"",VLOOKUP(Table1[[#This Row],[/* Object]],Namespace!A:J,4,FALSE))</f>
        <v>X</v>
      </c>
      <c r="AG609" t="str">
        <f>IF(VLOOKUP(Table1[[#This Row],[/* Object]],Namespace!A:J,5,FALSE)=0,"",VLOOKUP(Table1[[#This Row],[/* Object]],Namespace!A:J,5,FALSE))</f>
        <v>X</v>
      </c>
      <c r="AH609" t="str">
        <f>IF(VLOOKUP(Table1[[#This Row],[/* Object]],Namespace!A:J,6,FALSE)=0,"",VLOOKUP(Table1[[#This Row],[/* Object]],Namespace!A:J,6,FALSE))</f>
        <v/>
      </c>
      <c r="AI609">
        <f>IFERROR(FIND("/",Table1[[#This Row],[Final Obj Name]],1),0)</f>
        <v>0</v>
      </c>
      <c r="AJ609">
        <f>IF(Table1[[#This Row],[Position 1]]=0,0,FIND("/",Table1[[#This Row],[Final Obj Name]],Table1[[#This Row],[Position 1]]+1))</f>
        <v>0</v>
      </c>
      <c r="AK609" t="str">
        <f>IF(LEFT(Table1[[#This Row],[Final Obj Name]],1)="/",LEFT(Table1[[#This Row],[Final Obj Name]],FIND("/",Table1[[#This Row],[Final Obj Name]],2)),"/0SAP/")</f>
        <v>/0SAP/</v>
      </c>
    </row>
    <row r="610">
      <c r="A610" t="str">
        <v>ENHO</v>
      </c>
      <c r="B610" t="str">
        <v>ZLMEREPI02</v>
      </c>
      <c r="C610" t="str">
        <v>ENHO</v>
      </c>
      <c r="D610" t="str">
        <v>ZLMEREPI02</v>
      </c>
      <c r="G610" t="str">
        <v>ALL</v>
      </c>
      <c r="L610" t="str">
        <v>CST_BSOLAIMA</v>
      </c>
      <c r="M610">
        <v>45235</v>
      </c>
      <c r="N610">
        <v>0.12289351851852</v>
      </c>
      <c r="S610" t="str">
        <v>X</v>
      </c>
      <c r="W610" t="str">
        <v>PP1K900520</v>
      </c>
      <c r="Y610">
        <f>IF(Table1[[#This Row],[OPERATION]]="NOTE","NOTE",Table1[[#This Row],[SUB_TYPE]])</f>
        <v>0</v>
      </c>
      <c r="Z610">
        <f>IF(Table1[[#This Row],[OPERATION]]="NOTE",NUMBERVALUE(LEFT(Table1[[#This Row],[MOD_NAME]],LEN(Table1[[#This Row],[MOD_NAME]])-4)),Table1[[#This Row],[SUB_NAME]])</f>
        <v>0</v>
      </c>
      <c r="AA610" t="str">
        <f>CONCAT(Table1[[#This Row],[Final Obj Type]],"|",Table1[[#This Row],[Final Obj Name]])</f>
        <v>0|0</v>
      </c>
      <c r="AB610" t="e">
        <f>VLOOKUP(Table1[[#This Row],[Final Obj Type]],Classification!B:E,3,FALSE)</f>
        <v>#N/A</v>
      </c>
      <c r="AC610" t="e">
        <f>VLOOKUP(Table1[[#This Row],[Final Obj Type]],Classification!B:E,4,FALSE)</f>
        <v>#N/A</v>
      </c>
      <c r="AD610" t="str">
        <f>IF(Table1[[#This Row],[Position 1]]=0,"/0SAP/",MID(Table1[[#This Row],[Final Obj Name]],Table1[[#This Row],[Position 1]],Table1[[#This Row],[Position 2]]-Table1[[#This Row],[Position 1]]+1))</f>
        <v>/0SAP/</v>
      </c>
      <c r="AE610" t="str">
        <f>VLOOKUP(Table1[[#This Row],[/* Object]],Namespace!A:J,10,FALSE)</f>
        <v>SAP AG</v>
      </c>
      <c r="AF610" t="str">
        <f>IF(VLOOKUP(Table1[[#This Row],[/* Object]],Namespace!A:J,4,FALSE)=0,"",VLOOKUP(Table1[[#This Row],[/* Object]],Namespace!A:J,4,FALSE))</f>
        <v>X</v>
      </c>
      <c r="AG610" t="str">
        <f>IF(VLOOKUP(Table1[[#This Row],[/* Object]],Namespace!A:J,5,FALSE)=0,"",VLOOKUP(Table1[[#This Row],[/* Object]],Namespace!A:J,5,FALSE))</f>
        <v>X</v>
      </c>
      <c r="AH610" t="str">
        <f>IF(VLOOKUP(Table1[[#This Row],[/* Object]],Namespace!A:J,6,FALSE)=0,"",VLOOKUP(Table1[[#This Row],[/* Object]],Namespace!A:J,6,FALSE))</f>
        <v/>
      </c>
      <c r="AI610">
        <f>IFERROR(FIND("/",Table1[[#This Row],[Final Obj Name]],1),0)</f>
        <v>0</v>
      </c>
      <c r="AJ610">
        <f>IF(Table1[[#This Row],[Position 1]]=0,0,FIND("/",Table1[[#This Row],[Final Obj Name]],Table1[[#This Row],[Position 1]]+1))</f>
        <v>0</v>
      </c>
      <c r="AK610" t="str">
        <f>IF(LEFT(Table1[[#This Row],[Final Obj Name]],1)="/",LEFT(Table1[[#This Row],[Final Obj Name]],FIND("/",Table1[[#This Row],[Final Obj Name]],2)),"/0SAP/")</f>
        <v>/0SAP/</v>
      </c>
    </row>
    <row r="611">
      <c r="A611" t="str">
        <v>ENHO</v>
      </c>
      <c r="B611" t="str">
        <v>ZMM_BATCH_VALUATION_TYPE</v>
      </c>
      <c r="C611" t="str">
        <v>ENHO</v>
      </c>
      <c r="D611" t="str">
        <v>ZMM_BATCH_VALUATION_TYPE</v>
      </c>
      <c r="G611" t="str">
        <v>ALL</v>
      </c>
      <c r="L611" t="str">
        <v>CST_BSOLAIMA</v>
      </c>
      <c r="M611">
        <v>45235</v>
      </c>
      <c r="N611">
        <v>0.12347222222222</v>
      </c>
      <c r="S611" t="str">
        <v>X</v>
      </c>
      <c r="W611" t="str">
        <v>PP1K900520</v>
      </c>
      <c r="Y611">
        <f>IF(Table1[[#This Row],[OPERATION]]="NOTE","NOTE",Table1[[#This Row],[SUB_TYPE]])</f>
        <v>0</v>
      </c>
      <c r="Z611">
        <f>IF(Table1[[#This Row],[OPERATION]]="NOTE",NUMBERVALUE(LEFT(Table1[[#This Row],[MOD_NAME]],LEN(Table1[[#This Row],[MOD_NAME]])-4)),Table1[[#This Row],[SUB_NAME]])</f>
        <v>0</v>
      </c>
      <c r="AA611" t="str">
        <f>CONCAT(Table1[[#This Row],[Final Obj Type]],"|",Table1[[#This Row],[Final Obj Name]])</f>
        <v>0|0</v>
      </c>
      <c r="AB611" t="e">
        <f>VLOOKUP(Table1[[#This Row],[Final Obj Type]],Classification!B:E,3,FALSE)</f>
        <v>#N/A</v>
      </c>
      <c r="AC611" t="e">
        <f>VLOOKUP(Table1[[#This Row],[Final Obj Type]],Classification!B:E,4,FALSE)</f>
        <v>#N/A</v>
      </c>
      <c r="AD611" t="str">
        <f>IF(Table1[[#This Row],[Position 1]]=0,"/0SAP/",MID(Table1[[#This Row],[Final Obj Name]],Table1[[#This Row],[Position 1]],Table1[[#This Row],[Position 2]]-Table1[[#This Row],[Position 1]]+1))</f>
        <v>/0SAP/</v>
      </c>
      <c r="AE611" t="str">
        <f>VLOOKUP(Table1[[#This Row],[/* Object]],Namespace!A:J,10,FALSE)</f>
        <v>SAP AG</v>
      </c>
      <c r="AF611" t="str">
        <f>IF(VLOOKUP(Table1[[#This Row],[/* Object]],Namespace!A:J,4,FALSE)=0,"",VLOOKUP(Table1[[#This Row],[/* Object]],Namespace!A:J,4,FALSE))</f>
        <v>X</v>
      </c>
      <c r="AG611" t="str">
        <f>IF(VLOOKUP(Table1[[#This Row],[/* Object]],Namespace!A:J,5,FALSE)=0,"",VLOOKUP(Table1[[#This Row],[/* Object]],Namespace!A:J,5,FALSE))</f>
        <v>X</v>
      </c>
      <c r="AH611" t="str">
        <f>IF(VLOOKUP(Table1[[#This Row],[/* Object]],Namespace!A:J,6,FALSE)=0,"",VLOOKUP(Table1[[#This Row],[/* Object]],Namespace!A:J,6,FALSE))</f>
        <v/>
      </c>
      <c r="AI611">
        <f>IFERROR(FIND("/",Table1[[#This Row],[Final Obj Name]],1),0)</f>
        <v>0</v>
      </c>
      <c r="AJ611">
        <f>IF(Table1[[#This Row],[Position 1]]=0,0,FIND("/",Table1[[#This Row],[Final Obj Name]],Table1[[#This Row],[Position 1]]+1))</f>
        <v>0</v>
      </c>
      <c r="AK611" t="str">
        <f>IF(LEFT(Table1[[#This Row],[Final Obj Name]],1)="/",LEFT(Table1[[#This Row],[Final Obj Name]],FIND("/",Table1[[#This Row],[Final Obj Name]],2)),"/0SAP/")</f>
        <v>/0SAP/</v>
      </c>
    </row>
    <row r="612">
      <c r="A612" t="str">
        <v>ENHO</v>
      </c>
      <c r="B612" t="str">
        <v>ZMM_BATCH_VALUATION_TYPE_POST1</v>
      </c>
      <c r="C612" t="str">
        <v>ENHO</v>
      </c>
      <c r="D612" t="str">
        <v>ZMM_BATCH_VALUATION_TYPE_POST1</v>
      </c>
      <c r="G612" t="str">
        <v>ALL</v>
      </c>
      <c r="L612" t="str">
        <v>CST_BSOLAIMA</v>
      </c>
      <c r="M612">
        <v>45235</v>
      </c>
      <c r="N612">
        <v>0.16209490740741</v>
      </c>
      <c r="S612" t="str">
        <v>X</v>
      </c>
      <c r="W612" t="str">
        <v>PP1K900520</v>
      </c>
      <c r="Y612">
        <f>IF(Table1[[#This Row],[OPERATION]]="NOTE","NOTE",Table1[[#This Row],[SUB_TYPE]])</f>
        <v>0</v>
      </c>
      <c r="Z612">
        <f>IF(Table1[[#This Row],[OPERATION]]="NOTE",NUMBERVALUE(LEFT(Table1[[#This Row],[MOD_NAME]],LEN(Table1[[#This Row],[MOD_NAME]])-4)),Table1[[#This Row],[SUB_NAME]])</f>
        <v>0</v>
      </c>
      <c r="AA612" t="str">
        <f>CONCAT(Table1[[#This Row],[Final Obj Type]],"|",Table1[[#This Row],[Final Obj Name]])</f>
        <v>0|0</v>
      </c>
      <c r="AB612" t="e">
        <f>VLOOKUP(Table1[[#This Row],[Final Obj Type]],Classification!B:E,3,FALSE)</f>
        <v>#N/A</v>
      </c>
      <c r="AC612" t="e">
        <f>VLOOKUP(Table1[[#This Row],[Final Obj Type]],Classification!B:E,4,FALSE)</f>
        <v>#N/A</v>
      </c>
      <c r="AD612" t="str">
        <f>IF(Table1[[#This Row],[Position 1]]=0,"/0SAP/",MID(Table1[[#This Row],[Final Obj Name]],Table1[[#This Row],[Position 1]],Table1[[#This Row],[Position 2]]-Table1[[#This Row],[Position 1]]+1))</f>
        <v>/0SAP/</v>
      </c>
      <c r="AE612" t="str">
        <f>VLOOKUP(Table1[[#This Row],[/* Object]],Namespace!A:J,10,FALSE)</f>
        <v>SAP AG</v>
      </c>
      <c r="AF612" t="str">
        <f>IF(VLOOKUP(Table1[[#This Row],[/* Object]],Namespace!A:J,4,FALSE)=0,"",VLOOKUP(Table1[[#This Row],[/* Object]],Namespace!A:J,4,FALSE))</f>
        <v>X</v>
      </c>
      <c r="AG612" t="str">
        <f>IF(VLOOKUP(Table1[[#This Row],[/* Object]],Namespace!A:J,5,FALSE)=0,"",VLOOKUP(Table1[[#This Row],[/* Object]],Namespace!A:J,5,FALSE))</f>
        <v>X</v>
      </c>
      <c r="AH612" t="str">
        <f>IF(VLOOKUP(Table1[[#This Row],[/* Object]],Namespace!A:J,6,FALSE)=0,"",VLOOKUP(Table1[[#This Row],[/* Object]],Namespace!A:J,6,FALSE))</f>
        <v/>
      </c>
      <c r="AI612">
        <f>IFERROR(FIND("/",Table1[[#This Row],[Final Obj Name]],1),0)</f>
        <v>0</v>
      </c>
      <c r="AJ612">
        <f>IF(Table1[[#This Row],[Position 1]]=0,0,FIND("/",Table1[[#This Row],[Final Obj Name]],Table1[[#This Row],[Position 1]]+1))</f>
        <v>0</v>
      </c>
      <c r="AK612" t="str">
        <f>IF(LEFT(Table1[[#This Row],[Final Obj Name]],1)="/",LEFT(Table1[[#This Row],[Final Obj Name]],FIND("/",Table1[[#This Row],[Final Obj Name]],2)),"/0SAP/")</f>
        <v>/0SAP/</v>
      </c>
    </row>
    <row r="613">
      <c r="A613" t="str">
        <v>ENHO</v>
      </c>
      <c r="B613" t="str">
        <v>ZMM_PO_TOVENDOR</v>
      </c>
      <c r="C613" t="str">
        <v>ENHO</v>
      </c>
      <c r="D613" t="str">
        <v>ZMM_PO_TOVENDOR</v>
      </c>
      <c r="G613" t="str">
        <v>ALL</v>
      </c>
      <c r="L613" t="str">
        <v>CST_BSOLAIMA</v>
      </c>
      <c r="M613">
        <v>45235</v>
      </c>
      <c r="N613">
        <v>0.16267361111111</v>
      </c>
      <c r="S613" t="str">
        <v>X</v>
      </c>
      <c r="W613" t="str">
        <v>PP1K900520</v>
      </c>
      <c r="Y613">
        <f>IF(Table1[[#This Row],[OPERATION]]="NOTE","NOTE",Table1[[#This Row],[SUB_TYPE]])</f>
        <v>0</v>
      </c>
      <c r="Z613">
        <f>IF(Table1[[#This Row],[OPERATION]]="NOTE",NUMBERVALUE(LEFT(Table1[[#This Row],[MOD_NAME]],LEN(Table1[[#This Row],[MOD_NAME]])-4)),Table1[[#This Row],[SUB_NAME]])</f>
        <v>0</v>
      </c>
      <c r="AA613" t="str">
        <f>CONCAT(Table1[[#This Row],[Final Obj Type]],"|",Table1[[#This Row],[Final Obj Name]])</f>
        <v>0|0</v>
      </c>
      <c r="AB613" t="e">
        <f>VLOOKUP(Table1[[#This Row],[Final Obj Type]],Classification!B:E,3,FALSE)</f>
        <v>#N/A</v>
      </c>
      <c r="AC613" t="e">
        <f>VLOOKUP(Table1[[#This Row],[Final Obj Type]],Classification!B:E,4,FALSE)</f>
        <v>#N/A</v>
      </c>
      <c r="AD613" t="str">
        <f>IF(Table1[[#This Row],[Position 1]]=0,"/0SAP/",MID(Table1[[#This Row],[Final Obj Name]],Table1[[#This Row],[Position 1]],Table1[[#This Row],[Position 2]]-Table1[[#This Row],[Position 1]]+1))</f>
        <v>/0SAP/</v>
      </c>
      <c r="AE613" t="str">
        <f>VLOOKUP(Table1[[#This Row],[/* Object]],Namespace!A:J,10,FALSE)</f>
        <v>SAP AG</v>
      </c>
      <c r="AF613" t="str">
        <f>IF(VLOOKUP(Table1[[#This Row],[/* Object]],Namespace!A:J,4,FALSE)=0,"",VLOOKUP(Table1[[#This Row],[/* Object]],Namespace!A:J,4,FALSE))</f>
        <v>X</v>
      </c>
      <c r="AG613" t="str">
        <f>IF(VLOOKUP(Table1[[#This Row],[/* Object]],Namespace!A:J,5,FALSE)=0,"",VLOOKUP(Table1[[#This Row],[/* Object]],Namespace!A:J,5,FALSE))</f>
        <v>X</v>
      </c>
      <c r="AH613" t="str">
        <f>IF(VLOOKUP(Table1[[#This Row],[/* Object]],Namespace!A:J,6,FALSE)=0,"",VLOOKUP(Table1[[#This Row],[/* Object]],Namespace!A:J,6,FALSE))</f>
        <v/>
      </c>
      <c r="AI613">
        <f>IFERROR(FIND("/",Table1[[#This Row],[Final Obj Name]],1),0)</f>
        <v>0</v>
      </c>
      <c r="AJ613">
        <f>IF(Table1[[#This Row],[Position 1]]=0,0,FIND("/",Table1[[#This Row],[Final Obj Name]],Table1[[#This Row],[Position 1]]+1))</f>
        <v>0</v>
      </c>
      <c r="AK613" t="str">
        <f>IF(LEFT(Table1[[#This Row],[Final Obj Name]],1)="/",LEFT(Table1[[#This Row],[Final Obj Name]],FIND("/",Table1[[#This Row],[Final Obj Name]],2)),"/0SAP/")</f>
        <v>/0SAP/</v>
      </c>
    </row>
    <row r="614">
      <c r="A614" t="str">
        <v>ENHO</v>
      </c>
      <c r="B614" t="str">
        <v>ZOTC_IC_BILLDOC_PAYER</v>
      </c>
      <c r="C614" t="str">
        <v>ENHO</v>
      </c>
      <c r="D614" t="str">
        <v>ZOTC_IC_BILLDOC_PAYER</v>
      </c>
      <c r="G614" t="str">
        <v>ALL</v>
      </c>
      <c r="L614">
        <v>50118299</v>
      </c>
      <c r="M614">
        <v>45397</v>
      </c>
      <c r="N614">
        <v>0.4693287037037</v>
      </c>
      <c r="S614" t="str">
        <v>X</v>
      </c>
      <c r="W614" t="str">
        <v>S01K921324</v>
      </c>
      <c r="Y614">
        <f>IF(Table1[[#This Row],[OPERATION]]="NOTE","NOTE",Table1[[#This Row],[SUB_TYPE]])</f>
        <v>0</v>
      </c>
      <c r="Z614">
        <f>IF(Table1[[#This Row],[OPERATION]]="NOTE",NUMBERVALUE(LEFT(Table1[[#This Row],[MOD_NAME]],LEN(Table1[[#This Row],[MOD_NAME]])-4)),Table1[[#This Row],[SUB_NAME]])</f>
        <v>0</v>
      </c>
      <c r="AA614" t="str">
        <f>CONCAT(Table1[[#This Row],[Final Obj Type]],"|",Table1[[#This Row],[Final Obj Name]])</f>
        <v>0|0</v>
      </c>
      <c r="AB614" t="e">
        <f>VLOOKUP(Table1[[#This Row],[Final Obj Type]],Classification!B:E,3,FALSE)</f>
        <v>#N/A</v>
      </c>
      <c r="AC614" t="e">
        <f>VLOOKUP(Table1[[#This Row],[Final Obj Type]],Classification!B:E,4,FALSE)</f>
        <v>#N/A</v>
      </c>
      <c r="AD614" t="str">
        <f>IF(Table1[[#This Row],[Position 1]]=0,"/0SAP/",MID(Table1[[#This Row],[Final Obj Name]],Table1[[#This Row],[Position 1]],Table1[[#This Row],[Position 2]]-Table1[[#This Row],[Position 1]]+1))</f>
        <v>/0SAP/</v>
      </c>
      <c r="AE614" t="str">
        <f>VLOOKUP(Table1[[#This Row],[/* Object]],Namespace!A:J,10,FALSE)</f>
        <v>SAP AG</v>
      </c>
      <c r="AF614" t="str">
        <f>IF(VLOOKUP(Table1[[#This Row],[/* Object]],Namespace!A:J,4,FALSE)=0,"",VLOOKUP(Table1[[#This Row],[/* Object]],Namespace!A:J,4,FALSE))</f>
        <v>X</v>
      </c>
      <c r="AG614" t="str">
        <f>IF(VLOOKUP(Table1[[#This Row],[/* Object]],Namespace!A:J,5,FALSE)=0,"",VLOOKUP(Table1[[#This Row],[/* Object]],Namespace!A:J,5,FALSE))</f>
        <v>X</v>
      </c>
      <c r="AH614" t="str">
        <f>IF(VLOOKUP(Table1[[#This Row],[/* Object]],Namespace!A:J,6,FALSE)=0,"",VLOOKUP(Table1[[#This Row],[/* Object]],Namespace!A:J,6,FALSE))</f>
        <v/>
      </c>
      <c r="AI614">
        <f>IFERROR(FIND("/",Table1[[#This Row],[Final Obj Name]],1),0)</f>
        <v>0</v>
      </c>
      <c r="AJ614">
        <f>IF(Table1[[#This Row],[Position 1]]=0,0,FIND("/",Table1[[#This Row],[Final Obj Name]],Table1[[#This Row],[Position 1]]+1))</f>
        <v>0</v>
      </c>
      <c r="AK614" t="str">
        <f>IF(LEFT(Table1[[#This Row],[Final Obj Name]],1)="/",LEFT(Table1[[#This Row],[Final Obj Name]],FIND("/",Table1[[#This Row],[Final Obj Name]],2)),"/0SAP/")</f>
        <v>/0SAP/</v>
      </c>
    </row>
    <row r="615">
      <c r="A615" t="str">
        <v>ENHO</v>
      </c>
      <c r="B615" t="str">
        <v>ZOTC_UPDATE_NTWRK_PRCTR</v>
      </c>
      <c r="C615" t="str">
        <v>ENHO</v>
      </c>
      <c r="D615" t="str">
        <v>ZOTC_UPDATE_NTWRK_PRCTR</v>
      </c>
      <c r="G615" t="str">
        <v>ALL</v>
      </c>
      <c r="L615" t="str">
        <v>CST_BSOLAIMA</v>
      </c>
      <c r="M615">
        <v>45235</v>
      </c>
      <c r="N615">
        <v>0.125</v>
      </c>
      <c r="S615" t="str">
        <v>X</v>
      </c>
      <c r="W615" t="str">
        <v>PP1K900541</v>
      </c>
      <c r="Y615">
        <f>IF(Table1[[#This Row],[OPERATION]]="NOTE","NOTE",Table1[[#This Row],[SUB_TYPE]])</f>
        <v>0</v>
      </c>
      <c r="Z615">
        <f>IF(Table1[[#This Row],[OPERATION]]="NOTE",NUMBERVALUE(LEFT(Table1[[#This Row],[MOD_NAME]],LEN(Table1[[#This Row],[MOD_NAME]])-4)),Table1[[#This Row],[SUB_NAME]])</f>
        <v>0</v>
      </c>
      <c r="AA615" t="str">
        <f>CONCAT(Table1[[#This Row],[Final Obj Type]],"|",Table1[[#This Row],[Final Obj Name]])</f>
        <v>0|0</v>
      </c>
      <c r="AB615" t="e">
        <f>VLOOKUP(Table1[[#This Row],[Final Obj Type]],Classification!B:E,3,FALSE)</f>
        <v>#N/A</v>
      </c>
      <c r="AC615" t="e">
        <f>VLOOKUP(Table1[[#This Row],[Final Obj Type]],Classification!B:E,4,FALSE)</f>
        <v>#N/A</v>
      </c>
      <c r="AD615" t="str">
        <f>IF(Table1[[#This Row],[Position 1]]=0,"/0SAP/",MID(Table1[[#This Row],[Final Obj Name]],Table1[[#This Row],[Position 1]],Table1[[#This Row],[Position 2]]-Table1[[#This Row],[Position 1]]+1))</f>
        <v>/0SAP/</v>
      </c>
      <c r="AE615" t="str">
        <f>VLOOKUP(Table1[[#This Row],[/* Object]],Namespace!A:J,10,FALSE)</f>
        <v>SAP AG</v>
      </c>
      <c r="AF615" t="str">
        <f>IF(VLOOKUP(Table1[[#This Row],[/* Object]],Namespace!A:J,4,FALSE)=0,"",VLOOKUP(Table1[[#This Row],[/* Object]],Namespace!A:J,4,FALSE))</f>
        <v>X</v>
      </c>
      <c r="AG615" t="str">
        <f>IF(VLOOKUP(Table1[[#This Row],[/* Object]],Namespace!A:J,5,FALSE)=0,"",VLOOKUP(Table1[[#This Row],[/* Object]],Namespace!A:J,5,FALSE))</f>
        <v>X</v>
      </c>
      <c r="AH615" t="str">
        <f>IF(VLOOKUP(Table1[[#This Row],[/* Object]],Namespace!A:J,6,FALSE)=0,"",VLOOKUP(Table1[[#This Row],[/* Object]],Namespace!A:J,6,FALSE))</f>
        <v/>
      </c>
      <c r="AI615">
        <f>IFERROR(FIND("/",Table1[[#This Row],[Final Obj Name]],1),0)</f>
        <v>0</v>
      </c>
      <c r="AJ615">
        <f>IF(Table1[[#This Row],[Position 1]]=0,0,FIND("/",Table1[[#This Row],[Final Obj Name]],Table1[[#This Row],[Position 1]]+1))</f>
        <v>0</v>
      </c>
      <c r="AK615" t="str">
        <f>IF(LEFT(Table1[[#This Row],[Final Obj Name]],1)="/",LEFT(Table1[[#This Row],[Final Obj Name]],FIND("/",Table1[[#This Row],[Final Obj Name]],2)),"/0SAP/")</f>
        <v>/0SAP/</v>
      </c>
    </row>
    <row r="616">
      <c r="A616" t="str">
        <v>ENHO</v>
      </c>
      <c r="B616" t="str">
        <v>ZPM_CCB035_PASS_DOCUMENT_01</v>
      </c>
      <c r="C616" t="str">
        <v>ENHO</v>
      </c>
      <c r="D616" t="str">
        <v>ZPM_CCB035_PASS_DOCUMENT_01</v>
      </c>
      <c r="G616" t="str">
        <v>ALL</v>
      </c>
      <c r="L616" t="str">
        <v>CST_BSOLAIMA</v>
      </c>
      <c r="M616">
        <v>45235</v>
      </c>
      <c r="N616">
        <v>0.12560185185185</v>
      </c>
      <c r="S616" t="str">
        <v>X</v>
      </c>
      <c r="W616" t="str">
        <v>PP1K900541</v>
      </c>
      <c r="Y616">
        <f>IF(Table1[[#This Row],[OPERATION]]="NOTE","NOTE",Table1[[#This Row],[SUB_TYPE]])</f>
        <v>0</v>
      </c>
      <c r="Z616">
        <f>IF(Table1[[#This Row],[OPERATION]]="NOTE",NUMBERVALUE(LEFT(Table1[[#This Row],[MOD_NAME]],LEN(Table1[[#This Row],[MOD_NAME]])-4)),Table1[[#This Row],[SUB_NAME]])</f>
        <v>0</v>
      </c>
      <c r="AA616" t="str">
        <f>CONCAT(Table1[[#This Row],[Final Obj Type]],"|",Table1[[#This Row],[Final Obj Name]])</f>
        <v>0|0</v>
      </c>
      <c r="AB616" t="e">
        <f>VLOOKUP(Table1[[#This Row],[Final Obj Type]],Classification!B:E,3,FALSE)</f>
        <v>#N/A</v>
      </c>
      <c r="AC616" t="e">
        <f>VLOOKUP(Table1[[#This Row],[Final Obj Type]],Classification!B:E,4,FALSE)</f>
        <v>#N/A</v>
      </c>
      <c r="AD616" t="str">
        <f>IF(Table1[[#This Row],[Position 1]]=0,"/0SAP/",MID(Table1[[#This Row],[Final Obj Name]],Table1[[#This Row],[Position 1]],Table1[[#This Row],[Position 2]]-Table1[[#This Row],[Position 1]]+1))</f>
        <v>/0SAP/</v>
      </c>
      <c r="AE616" t="str">
        <f>VLOOKUP(Table1[[#This Row],[/* Object]],Namespace!A:J,10,FALSE)</f>
        <v>SAP AG</v>
      </c>
      <c r="AF616" t="str">
        <f>IF(VLOOKUP(Table1[[#This Row],[/* Object]],Namespace!A:J,4,FALSE)=0,"",VLOOKUP(Table1[[#This Row],[/* Object]],Namespace!A:J,4,FALSE))</f>
        <v>X</v>
      </c>
      <c r="AG616" t="str">
        <f>IF(VLOOKUP(Table1[[#This Row],[/* Object]],Namespace!A:J,5,FALSE)=0,"",VLOOKUP(Table1[[#This Row],[/* Object]],Namespace!A:J,5,FALSE))</f>
        <v>X</v>
      </c>
      <c r="AH616" t="str">
        <f>IF(VLOOKUP(Table1[[#This Row],[/* Object]],Namespace!A:J,6,FALSE)=0,"",VLOOKUP(Table1[[#This Row],[/* Object]],Namespace!A:J,6,FALSE))</f>
        <v/>
      </c>
      <c r="AI616">
        <f>IFERROR(FIND("/",Table1[[#This Row],[Final Obj Name]],1),0)</f>
        <v>0</v>
      </c>
      <c r="AJ616">
        <f>IF(Table1[[#This Row],[Position 1]]=0,0,FIND("/",Table1[[#This Row],[Final Obj Name]],Table1[[#This Row],[Position 1]]+1))</f>
        <v>0</v>
      </c>
      <c r="AK616" t="str">
        <f>IF(LEFT(Table1[[#This Row],[Final Obj Name]],1)="/",LEFT(Table1[[#This Row],[Final Obj Name]],FIND("/",Table1[[#This Row],[Final Obj Name]],2)),"/0SAP/")</f>
        <v>/0SAP/</v>
      </c>
    </row>
    <row r="617">
      <c r="A617" t="str">
        <v>ENHO</v>
      </c>
      <c r="B617" t="str">
        <v>ZPM_REWORK_ORDER_LONG_TEXT</v>
      </c>
      <c r="C617" t="str">
        <v>ENHO</v>
      </c>
      <c r="D617" t="str">
        <v>ZPM_REWORK_ORDER_LONG_TEXT</v>
      </c>
      <c r="G617" t="str">
        <v>ALL</v>
      </c>
      <c r="L617" t="str">
        <v>CST_BSOLAIMA</v>
      </c>
      <c r="M617">
        <v>45235</v>
      </c>
      <c r="N617">
        <v>0.12628472222222</v>
      </c>
      <c r="S617" t="str">
        <v>X</v>
      </c>
      <c r="W617" t="str">
        <v>PP1K900541</v>
      </c>
      <c r="Y617">
        <f>IF(Table1[[#This Row],[OPERATION]]="NOTE","NOTE",Table1[[#This Row],[SUB_TYPE]])</f>
        <v>0</v>
      </c>
      <c r="Z617">
        <f>IF(Table1[[#This Row],[OPERATION]]="NOTE",NUMBERVALUE(LEFT(Table1[[#This Row],[MOD_NAME]],LEN(Table1[[#This Row],[MOD_NAME]])-4)),Table1[[#This Row],[SUB_NAME]])</f>
        <v>0</v>
      </c>
      <c r="AA617" t="str">
        <f>CONCAT(Table1[[#This Row],[Final Obj Type]],"|",Table1[[#This Row],[Final Obj Name]])</f>
        <v>0|0</v>
      </c>
      <c r="AB617" t="e">
        <f>VLOOKUP(Table1[[#This Row],[Final Obj Type]],Classification!B:E,3,FALSE)</f>
        <v>#N/A</v>
      </c>
      <c r="AC617" t="e">
        <f>VLOOKUP(Table1[[#This Row],[Final Obj Type]],Classification!B:E,4,FALSE)</f>
        <v>#N/A</v>
      </c>
      <c r="AD617" t="str">
        <f>IF(Table1[[#This Row],[Position 1]]=0,"/0SAP/",MID(Table1[[#This Row],[Final Obj Name]],Table1[[#This Row],[Position 1]],Table1[[#This Row],[Position 2]]-Table1[[#This Row],[Position 1]]+1))</f>
        <v>/0SAP/</v>
      </c>
      <c r="AE617" t="str">
        <f>VLOOKUP(Table1[[#This Row],[/* Object]],Namespace!A:J,10,FALSE)</f>
        <v>SAP AG</v>
      </c>
      <c r="AF617" t="str">
        <f>IF(VLOOKUP(Table1[[#This Row],[/* Object]],Namespace!A:J,4,FALSE)=0,"",VLOOKUP(Table1[[#This Row],[/* Object]],Namespace!A:J,4,FALSE))</f>
        <v>X</v>
      </c>
      <c r="AG617" t="str">
        <f>IF(VLOOKUP(Table1[[#This Row],[/* Object]],Namespace!A:J,5,FALSE)=0,"",VLOOKUP(Table1[[#This Row],[/* Object]],Namespace!A:J,5,FALSE))</f>
        <v>X</v>
      </c>
      <c r="AH617" t="str">
        <f>IF(VLOOKUP(Table1[[#This Row],[/* Object]],Namespace!A:J,6,FALSE)=0,"",VLOOKUP(Table1[[#This Row],[/* Object]],Namespace!A:J,6,FALSE))</f>
        <v/>
      </c>
      <c r="AI617">
        <f>IFERROR(FIND("/",Table1[[#This Row],[Final Obj Name]],1),0)</f>
        <v>0</v>
      </c>
      <c r="AJ617">
        <f>IF(Table1[[#This Row],[Position 1]]=0,0,FIND("/",Table1[[#This Row],[Final Obj Name]],Table1[[#This Row],[Position 1]]+1))</f>
        <v>0</v>
      </c>
      <c r="AK617" t="str">
        <f>IF(LEFT(Table1[[#This Row],[Final Obj Name]],1)="/",LEFT(Table1[[#This Row],[Final Obj Name]],FIND("/",Table1[[#This Row],[Final Obj Name]],2)),"/0SAP/")</f>
        <v>/0SAP/</v>
      </c>
    </row>
    <row r="618">
      <c r="A618" t="str">
        <v>ENHO</v>
      </c>
      <c r="B618" t="str">
        <v>ZPTM_QM_INSPECTION_SKIP</v>
      </c>
      <c r="C618" t="str">
        <v>ENHO</v>
      </c>
      <c r="D618" t="str">
        <v>ZPTM_QM_INSPECTION_SKIP</v>
      </c>
      <c r="G618" t="str">
        <v>ALL</v>
      </c>
      <c r="L618" t="str">
        <v>NIM</v>
      </c>
      <c r="M618">
        <v>45765</v>
      </c>
      <c r="N618">
        <v>0.4340162037037</v>
      </c>
      <c r="S618" t="str">
        <v>X</v>
      </c>
      <c r="W618" t="str">
        <v>S01K924202</v>
      </c>
      <c r="Y618">
        <f>IF(Table1[[#This Row],[OPERATION]]="NOTE","NOTE",Table1[[#This Row],[SUB_TYPE]])</f>
        <v>0</v>
      </c>
      <c r="Z618">
        <f>IF(Table1[[#This Row],[OPERATION]]="NOTE",NUMBERVALUE(LEFT(Table1[[#This Row],[MOD_NAME]],LEN(Table1[[#This Row],[MOD_NAME]])-4)),Table1[[#This Row],[SUB_NAME]])</f>
        <v>0</v>
      </c>
      <c r="AA618" t="str">
        <f>CONCAT(Table1[[#This Row],[Final Obj Type]],"|",Table1[[#This Row],[Final Obj Name]])</f>
        <v>0|0</v>
      </c>
      <c r="AB618" t="e">
        <f>VLOOKUP(Table1[[#This Row],[Final Obj Type]],Classification!B:E,3,FALSE)</f>
        <v>#N/A</v>
      </c>
      <c r="AC618" t="e">
        <f>VLOOKUP(Table1[[#This Row],[Final Obj Type]],Classification!B:E,4,FALSE)</f>
        <v>#N/A</v>
      </c>
      <c r="AD618" t="str">
        <f>IF(Table1[[#This Row],[Position 1]]=0,"/0SAP/",MID(Table1[[#This Row],[Final Obj Name]],Table1[[#This Row],[Position 1]],Table1[[#This Row],[Position 2]]-Table1[[#This Row],[Position 1]]+1))</f>
        <v>/0SAP/</v>
      </c>
      <c r="AE618" t="str">
        <f>VLOOKUP(Table1[[#This Row],[/* Object]],Namespace!A:J,10,FALSE)</f>
        <v>SAP AG</v>
      </c>
      <c r="AF618" t="str">
        <f>IF(VLOOKUP(Table1[[#This Row],[/* Object]],Namespace!A:J,4,FALSE)=0,"",VLOOKUP(Table1[[#This Row],[/* Object]],Namespace!A:J,4,FALSE))</f>
        <v>X</v>
      </c>
      <c r="AG618" t="str">
        <f>IF(VLOOKUP(Table1[[#This Row],[/* Object]],Namespace!A:J,5,FALSE)=0,"",VLOOKUP(Table1[[#This Row],[/* Object]],Namespace!A:J,5,FALSE))</f>
        <v>X</v>
      </c>
      <c r="AH618" t="str">
        <f>IF(VLOOKUP(Table1[[#This Row],[/* Object]],Namespace!A:J,6,FALSE)=0,"",VLOOKUP(Table1[[#This Row],[/* Object]],Namespace!A:J,6,FALSE))</f>
        <v/>
      </c>
      <c r="AI618">
        <f>IFERROR(FIND("/",Table1[[#This Row],[Final Obj Name]],1),0)</f>
        <v>0</v>
      </c>
      <c r="AJ618">
        <f>IF(Table1[[#This Row],[Position 1]]=0,0,FIND("/",Table1[[#This Row],[Final Obj Name]],Table1[[#This Row],[Position 1]]+1))</f>
        <v>0</v>
      </c>
      <c r="AK618" t="str">
        <f>IF(LEFT(Table1[[#This Row],[Final Obj Name]],1)="/",LEFT(Table1[[#This Row],[Final Obj Name]],FIND("/",Table1[[#This Row],[Final Obj Name]],2)),"/0SAP/")</f>
        <v>/0SAP/</v>
      </c>
    </row>
    <row r="619">
      <c r="A619" t="str">
        <v>ENHO</v>
      </c>
      <c r="B619" t="str">
        <v>ZPTP_BILLING_INVOICE_BRF</v>
      </c>
      <c r="C619" t="str">
        <v>ENHO</v>
      </c>
      <c r="D619" t="str">
        <v>ZPTP_BILLING_INVOICE_BRF</v>
      </c>
      <c r="G619" t="str">
        <v>ALL</v>
      </c>
      <c r="L619" t="str">
        <v>CST_BSOLAIMA</v>
      </c>
      <c r="M619">
        <v>45235</v>
      </c>
      <c r="N619">
        <v>0.12681712962963</v>
      </c>
      <c r="S619" t="str">
        <v>X</v>
      </c>
      <c r="W619" t="str">
        <v>PP1K900541</v>
      </c>
      <c r="Y619">
        <f>IF(Table1[[#This Row],[OPERATION]]="NOTE","NOTE",Table1[[#This Row],[SUB_TYPE]])</f>
        <v>0</v>
      </c>
      <c r="Z619">
        <f>IF(Table1[[#This Row],[OPERATION]]="NOTE",NUMBERVALUE(LEFT(Table1[[#This Row],[MOD_NAME]],LEN(Table1[[#This Row],[MOD_NAME]])-4)),Table1[[#This Row],[SUB_NAME]])</f>
        <v>0</v>
      </c>
      <c r="AA619" t="str">
        <f>CONCAT(Table1[[#This Row],[Final Obj Type]],"|",Table1[[#This Row],[Final Obj Name]])</f>
        <v>0|0</v>
      </c>
      <c r="AB619" t="e">
        <f>VLOOKUP(Table1[[#This Row],[Final Obj Type]],Classification!B:E,3,FALSE)</f>
        <v>#N/A</v>
      </c>
      <c r="AC619" t="e">
        <f>VLOOKUP(Table1[[#This Row],[Final Obj Type]],Classification!B:E,4,FALSE)</f>
        <v>#N/A</v>
      </c>
      <c r="AD619" t="str">
        <f>IF(Table1[[#This Row],[Position 1]]=0,"/0SAP/",MID(Table1[[#This Row],[Final Obj Name]],Table1[[#This Row],[Position 1]],Table1[[#This Row],[Position 2]]-Table1[[#This Row],[Position 1]]+1))</f>
        <v>/0SAP/</v>
      </c>
      <c r="AE619" t="str">
        <f>VLOOKUP(Table1[[#This Row],[/* Object]],Namespace!A:J,10,FALSE)</f>
        <v>SAP AG</v>
      </c>
      <c r="AF619" t="str">
        <f>IF(VLOOKUP(Table1[[#This Row],[/* Object]],Namespace!A:J,4,FALSE)=0,"",VLOOKUP(Table1[[#This Row],[/* Object]],Namespace!A:J,4,FALSE))</f>
        <v>X</v>
      </c>
      <c r="AG619" t="str">
        <f>IF(VLOOKUP(Table1[[#This Row],[/* Object]],Namespace!A:J,5,FALSE)=0,"",VLOOKUP(Table1[[#This Row],[/* Object]],Namespace!A:J,5,FALSE))</f>
        <v>X</v>
      </c>
      <c r="AH619" t="str">
        <f>IF(VLOOKUP(Table1[[#This Row],[/* Object]],Namespace!A:J,6,FALSE)=0,"",VLOOKUP(Table1[[#This Row],[/* Object]],Namespace!A:J,6,FALSE))</f>
        <v/>
      </c>
      <c r="AI619">
        <f>IFERROR(FIND("/",Table1[[#This Row],[Final Obj Name]],1),0)</f>
        <v>0</v>
      </c>
      <c r="AJ619">
        <f>IF(Table1[[#This Row],[Position 1]]=0,0,FIND("/",Table1[[#This Row],[Final Obj Name]],Table1[[#This Row],[Position 1]]+1))</f>
        <v>0</v>
      </c>
      <c r="AK619" t="str">
        <f>IF(LEFT(Table1[[#This Row],[Final Obj Name]],1)="/",LEFT(Table1[[#This Row],[Final Obj Name]],FIND("/",Table1[[#This Row],[Final Obj Name]],2)),"/0SAP/")</f>
        <v>/0SAP/</v>
      </c>
    </row>
    <row r="620">
      <c r="A620" t="str">
        <v>ENHO</v>
      </c>
      <c r="B620" t="str">
        <v>ZPTP_OUTB_INB_IC_BATCH_DELETE</v>
      </c>
      <c r="C620" t="str">
        <v>ENHO</v>
      </c>
      <c r="D620" t="str">
        <v>ZPTP_OUTB_INB_IC_BATCH_DELETE</v>
      </c>
      <c r="G620" t="str">
        <v>ALL</v>
      </c>
      <c r="L620" t="str">
        <v>CST_BSOLAIMA</v>
      </c>
      <c r="M620">
        <v>45235</v>
      </c>
      <c r="N620">
        <v>0.12751157407407</v>
      </c>
      <c r="S620" t="str">
        <v>X</v>
      </c>
      <c r="W620" t="str">
        <v>PP1K900541</v>
      </c>
      <c r="Y620">
        <f>IF(Table1[[#This Row],[OPERATION]]="NOTE","NOTE",Table1[[#This Row],[SUB_TYPE]])</f>
        <v>0</v>
      </c>
      <c r="Z620">
        <f>IF(Table1[[#This Row],[OPERATION]]="NOTE",NUMBERVALUE(LEFT(Table1[[#This Row],[MOD_NAME]],LEN(Table1[[#This Row],[MOD_NAME]])-4)),Table1[[#This Row],[SUB_NAME]])</f>
        <v>0</v>
      </c>
      <c r="AA620" t="str">
        <f>CONCAT(Table1[[#This Row],[Final Obj Type]],"|",Table1[[#This Row],[Final Obj Name]])</f>
        <v>0|0</v>
      </c>
      <c r="AB620" t="e">
        <f>VLOOKUP(Table1[[#This Row],[Final Obj Type]],Classification!B:E,3,FALSE)</f>
        <v>#N/A</v>
      </c>
      <c r="AC620" t="e">
        <f>VLOOKUP(Table1[[#This Row],[Final Obj Type]],Classification!B:E,4,FALSE)</f>
        <v>#N/A</v>
      </c>
      <c r="AD620" t="str">
        <f>IF(Table1[[#This Row],[Position 1]]=0,"/0SAP/",MID(Table1[[#This Row],[Final Obj Name]],Table1[[#This Row],[Position 1]],Table1[[#This Row],[Position 2]]-Table1[[#This Row],[Position 1]]+1))</f>
        <v>/0SAP/</v>
      </c>
      <c r="AE620" t="str">
        <f>VLOOKUP(Table1[[#This Row],[/* Object]],Namespace!A:J,10,FALSE)</f>
        <v>SAP AG</v>
      </c>
      <c r="AF620" t="str">
        <f>IF(VLOOKUP(Table1[[#This Row],[/* Object]],Namespace!A:J,4,FALSE)=0,"",VLOOKUP(Table1[[#This Row],[/* Object]],Namespace!A:J,4,FALSE))</f>
        <v>X</v>
      </c>
      <c r="AG620" t="str">
        <f>IF(VLOOKUP(Table1[[#This Row],[/* Object]],Namespace!A:J,5,FALSE)=0,"",VLOOKUP(Table1[[#This Row],[/* Object]],Namespace!A:J,5,FALSE))</f>
        <v>X</v>
      </c>
      <c r="AH620" t="str">
        <f>IF(VLOOKUP(Table1[[#This Row],[/* Object]],Namespace!A:J,6,FALSE)=0,"",VLOOKUP(Table1[[#This Row],[/* Object]],Namespace!A:J,6,FALSE))</f>
        <v/>
      </c>
      <c r="AI620">
        <f>IFERROR(FIND("/",Table1[[#This Row],[Final Obj Name]],1),0)</f>
        <v>0</v>
      </c>
      <c r="AJ620">
        <f>IF(Table1[[#This Row],[Position 1]]=0,0,FIND("/",Table1[[#This Row],[Final Obj Name]],Table1[[#This Row],[Position 1]]+1))</f>
        <v>0</v>
      </c>
      <c r="AK620" t="str">
        <f>IF(LEFT(Table1[[#This Row],[Final Obj Name]],1)="/",LEFT(Table1[[#This Row],[Final Obj Name]],FIND("/",Table1[[#This Row],[Final Obj Name]],2)),"/0SAP/")</f>
        <v>/0SAP/</v>
      </c>
    </row>
    <row r="621">
      <c r="A621" t="str">
        <v>ENHO</v>
      </c>
      <c r="B621" t="str">
        <v>ZPTP_OUTB_INB_IC_BATCH_STATUS</v>
      </c>
      <c r="C621" t="str">
        <v>ENHO</v>
      </c>
      <c r="D621" t="str">
        <v>ZPTP_OUTB_INB_IC_BATCH_STATUS</v>
      </c>
      <c r="G621" t="str">
        <v>ALL</v>
      </c>
      <c r="L621" t="str">
        <v>CST_BSOLAIMA</v>
      </c>
      <c r="M621">
        <v>45235</v>
      </c>
      <c r="N621">
        <v>0.12806712962963</v>
      </c>
      <c r="S621" t="str">
        <v>X</v>
      </c>
      <c r="W621" t="str">
        <v>PP1K900541</v>
      </c>
      <c r="Y621">
        <f>IF(Table1[[#This Row],[OPERATION]]="NOTE","NOTE",Table1[[#This Row],[SUB_TYPE]])</f>
        <v>0</v>
      </c>
      <c r="Z621">
        <f>IF(Table1[[#This Row],[OPERATION]]="NOTE",NUMBERVALUE(LEFT(Table1[[#This Row],[MOD_NAME]],LEN(Table1[[#This Row],[MOD_NAME]])-4)),Table1[[#This Row],[SUB_NAME]])</f>
        <v>0</v>
      </c>
      <c r="AA621" t="str">
        <f>CONCAT(Table1[[#This Row],[Final Obj Type]],"|",Table1[[#This Row],[Final Obj Name]])</f>
        <v>0|0</v>
      </c>
      <c r="AB621" t="e">
        <f>VLOOKUP(Table1[[#This Row],[Final Obj Type]],Classification!B:E,3,FALSE)</f>
        <v>#N/A</v>
      </c>
      <c r="AC621" t="e">
        <f>VLOOKUP(Table1[[#This Row],[Final Obj Type]],Classification!B:E,4,FALSE)</f>
        <v>#N/A</v>
      </c>
      <c r="AD621" t="str">
        <f>IF(Table1[[#This Row],[Position 1]]=0,"/0SAP/",MID(Table1[[#This Row],[Final Obj Name]],Table1[[#This Row],[Position 1]],Table1[[#This Row],[Position 2]]-Table1[[#This Row],[Position 1]]+1))</f>
        <v>/0SAP/</v>
      </c>
      <c r="AE621" t="str">
        <f>VLOOKUP(Table1[[#This Row],[/* Object]],Namespace!A:J,10,FALSE)</f>
        <v>SAP AG</v>
      </c>
      <c r="AF621" t="str">
        <f>IF(VLOOKUP(Table1[[#This Row],[/* Object]],Namespace!A:J,4,FALSE)=0,"",VLOOKUP(Table1[[#This Row],[/* Object]],Namespace!A:J,4,FALSE))</f>
        <v>X</v>
      </c>
      <c r="AG621" t="str">
        <f>IF(VLOOKUP(Table1[[#This Row],[/* Object]],Namespace!A:J,5,FALSE)=0,"",VLOOKUP(Table1[[#This Row],[/* Object]],Namespace!A:J,5,FALSE))</f>
        <v>X</v>
      </c>
      <c r="AH621" t="str">
        <f>IF(VLOOKUP(Table1[[#This Row],[/* Object]],Namespace!A:J,6,FALSE)=0,"",VLOOKUP(Table1[[#This Row],[/* Object]],Namespace!A:J,6,FALSE))</f>
        <v/>
      </c>
      <c r="AI621">
        <f>IFERROR(FIND("/",Table1[[#This Row],[Final Obj Name]],1),0)</f>
        <v>0</v>
      </c>
      <c r="AJ621">
        <f>IF(Table1[[#This Row],[Position 1]]=0,0,FIND("/",Table1[[#This Row],[Final Obj Name]],Table1[[#This Row],[Position 1]]+1))</f>
        <v>0</v>
      </c>
      <c r="AK621" t="str">
        <f>IF(LEFT(Table1[[#This Row],[Final Obj Name]],1)="/",LEFT(Table1[[#This Row],[Final Obj Name]],FIND("/",Table1[[#This Row],[Final Obj Name]],2)),"/0SAP/")</f>
        <v>/0SAP/</v>
      </c>
    </row>
    <row r="622">
      <c r="A622" t="str">
        <v>ENHO</v>
      </c>
      <c r="B622" t="str">
        <v>ZPTP_OUTB_INB_POD</v>
      </c>
      <c r="C622" t="str">
        <v>ENHO</v>
      </c>
      <c r="D622" t="str">
        <v>ZPTP_OUTB_INB_POD</v>
      </c>
      <c r="G622" t="str">
        <v>ALL</v>
      </c>
      <c r="L622" t="str">
        <v>CST_BSOLAIMA</v>
      </c>
      <c r="M622">
        <v>45235</v>
      </c>
      <c r="N622">
        <v>0.12865740740741</v>
      </c>
      <c r="S622" t="str">
        <v>X</v>
      </c>
      <c r="W622" t="str">
        <v>PP1K900541</v>
      </c>
      <c r="Y622">
        <f>IF(Table1[[#This Row],[OPERATION]]="NOTE","NOTE",Table1[[#This Row],[SUB_TYPE]])</f>
        <v>0</v>
      </c>
      <c r="Z622">
        <f>IF(Table1[[#This Row],[OPERATION]]="NOTE",NUMBERVALUE(LEFT(Table1[[#This Row],[MOD_NAME]],LEN(Table1[[#This Row],[MOD_NAME]])-4)),Table1[[#This Row],[SUB_NAME]])</f>
        <v>0</v>
      </c>
      <c r="AA622" t="str">
        <f>CONCAT(Table1[[#This Row],[Final Obj Type]],"|",Table1[[#This Row],[Final Obj Name]])</f>
        <v>0|0</v>
      </c>
      <c r="AB622" t="e">
        <f>VLOOKUP(Table1[[#This Row],[Final Obj Type]],Classification!B:E,3,FALSE)</f>
        <v>#N/A</v>
      </c>
      <c r="AC622" t="e">
        <f>VLOOKUP(Table1[[#This Row],[Final Obj Type]],Classification!B:E,4,FALSE)</f>
        <v>#N/A</v>
      </c>
      <c r="AD622" t="str">
        <f>IF(Table1[[#This Row],[Position 1]]=0,"/0SAP/",MID(Table1[[#This Row],[Final Obj Name]],Table1[[#This Row],[Position 1]],Table1[[#This Row],[Position 2]]-Table1[[#This Row],[Position 1]]+1))</f>
        <v>/0SAP/</v>
      </c>
      <c r="AE622" t="str">
        <f>VLOOKUP(Table1[[#This Row],[/* Object]],Namespace!A:J,10,FALSE)</f>
        <v>SAP AG</v>
      </c>
      <c r="AF622" t="str">
        <f>IF(VLOOKUP(Table1[[#This Row],[/* Object]],Namespace!A:J,4,FALSE)=0,"",VLOOKUP(Table1[[#This Row],[/* Object]],Namespace!A:J,4,FALSE))</f>
        <v>X</v>
      </c>
      <c r="AG622" t="str">
        <f>IF(VLOOKUP(Table1[[#This Row],[/* Object]],Namespace!A:J,5,FALSE)=0,"",VLOOKUP(Table1[[#This Row],[/* Object]],Namespace!A:J,5,FALSE))</f>
        <v>X</v>
      </c>
      <c r="AH622" t="str">
        <f>IF(VLOOKUP(Table1[[#This Row],[/* Object]],Namespace!A:J,6,FALSE)=0,"",VLOOKUP(Table1[[#This Row],[/* Object]],Namespace!A:J,6,FALSE))</f>
        <v/>
      </c>
      <c r="AI622">
        <f>IFERROR(FIND("/",Table1[[#This Row],[Final Obj Name]],1),0)</f>
        <v>0</v>
      </c>
      <c r="AJ622">
        <f>IF(Table1[[#This Row],[Position 1]]=0,0,FIND("/",Table1[[#This Row],[Final Obj Name]],Table1[[#This Row],[Position 1]]+1))</f>
        <v>0</v>
      </c>
      <c r="AK622" t="str">
        <f>IF(LEFT(Table1[[#This Row],[Final Obj Name]],1)="/",LEFT(Table1[[#This Row],[Final Obj Name]],FIND("/",Table1[[#This Row],[Final Obj Name]],2)),"/0SAP/")</f>
        <v>/0SAP/</v>
      </c>
    </row>
    <row r="623">
      <c r="A623" t="str">
        <v>ENHO</v>
      </c>
      <c r="B623" t="str">
        <v>ZPTP_POSO_VENDOR_BATCH</v>
      </c>
      <c r="C623" t="str">
        <v>ENHO</v>
      </c>
      <c r="D623" t="str">
        <v>ZPTP_POSO_VENDOR_BATCH</v>
      </c>
      <c r="G623" t="str">
        <v>ALL</v>
      </c>
      <c r="L623">
        <v>50118755</v>
      </c>
      <c r="M623">
        <v>45491</v>
      </c>
      <c r="N623">
        <v>0.6528125</v>
      </c>
      <c r="S623" t="str">
        <v>X</v>
      </c>
      <c r="W623" t="str">
        <v>S01K922172</v>
      </c>
      <c r="Y623">
        <f>IF(Table1[[#This Row],[OPERATION]]="NOTE","NOTE",Table1[[#This Row],[SUB_TYPE]])</f>
        <v>0</v>
      </c>
      <c r="Z623">
        <f>IF(Table1[[#This Row],[OPERATION]]="NOTE",NUMBERVALUE(LEFT(Table1[[#This Row],[MOD_NAME]],LEN(Table1[[#This Row],[MOD_NAME]])-4)),Table1[[#This Row],[SUB_NAME]])</f>
        <v>0</v>
      </c>
      <c r="AA623" t="str">
        <f>CONCAT(Table1[[#This Row],[Final Obj Type]],"|",Table1[[#This Row],[Final Obj Name]])</f>
        <v>0|0</v>
      </c>
      <c r="AB623" t="e">
        <f>VLOOKUP(Table1[[#This Row],[Final Obj Type]],Classification!B:E,3,FALSE)</f>
        <v>#N/A</v>
      </c>
      <c r="AC623" t="e">
        <f>VLOOKUP(Table1[[#This Row],[Final Obj Type]],Classification!B:E,4,FALSE)</f>
        <v>#N/A</v>
      </c>
      <c r="AD623" t="str">
        <f>IF(Table1[[#This Row],[Position 1]]=0,"/0SAP/",MID(Table1[[#This Row],[Final Obj Name]],Table1[[#This Row],[Position 1]],Table1[[#This Row],[Position 2]]-Table1[[#This Row],[Position 1]]+1))</f>
        <v>/0SAP/</v>
      </c>
      <c r="AE623" t="str">
        <f>VLOOKUP(Table1[[#This Row],[/* Object]],Namespace!A:J,10,FALSE)</f>
        <v>SAP AG</v>
      </c>
      <c r="AF623" t="str">
        <f>IF(VLOOKUP(Table1[[#This Row],[/* Object]],Namespace!A:J,4,FALSE)=0,"",VLOOKUP(Table1[[#This Row],[/* Object]],Namespace!A:J,4,FALSE))</f>
        <v>X</v>
      </c>
      <c r="AG623" t="str">
        <f>IF(VLOOKUP(Table1[[#This Row],[/* Object]],Namespace!A:J,5,FALSE)=0,"",VLOOKUP(Table1[[#This Row],[/* Object]],Namespace!A:J,5,FALSE))</f>
        <v>X</v>
      </c>
      <c r="AH623" t="str">
        <f>IF(VLOOKUP(Table1[[#This Row],[/* Object]],Namespace!A:J,6,FALSE)=0,"",VLOOKUP(Table1[[#This Row],[/* Object]],Namespace!A:J,6,FALSE))</f>
        <v/>
      </c>
      <c r="AI623">
        <f>IFERROR(FIND("/",Table1[[#This Row],[Final Obj Name]],1),0)</f>
        <v>0</v>
      </c>
      <c r="AJ623">
        <f>IF(Table1[[#This Row],[Position 1]]=0,0,FIND("/",Table1[[#This Row],[Final Obj Name]],Table1[[#This Row],[Position 1]]+1))</f>
        <v>0</v>
      </c>
      <c r="AK623" t="str">
        <f>IF(LEFT(Table1[[#This Row],[Final Obj Name]],1)="/",LEFT(Table1[[#This Row],[Final Obj Name]],FIND("/",Table1[[#This Row],[Final Obj Name]],2)),"/0SAP/")</f>
        <v>/0SAP/</v>
      </c>
    </row>
    <row r="624">
      <c r="A624" t="str">
        <v>ENHO</v>
      </c>
      <c r="B624" t="str">
        <v>ZRAR_REV_INSERT_CONTRACT_ID</v>
      </c>
      <c r="C624" t="str">
        <v>ENHO</v>
      </c>
      <c r="D624" t="str">
        <v>ZRAR_REV_INSERT_CONTRACT_ID</v>
      </c>
      <c r="G624" t="str">
        <v>ALL</v>
      </c>
      <c r="L624" t="str">
        <v>CST_BSOLAIMA</v>
      </c>
      <c r="M624">
        <v>45235</v>
      </c>
      <c r="N624">
        <v>0.12965277777778</v>
      </c>
      <c r="S624" t="str">
        <v>X</v>
      </c>
      <c r="W624" t="str">
        <v>PP1K900541</v>
      </c>
      <c r="Y624">
        <f>IF(Table1[[#This Row],[OPERATION]]="NOTE","NOTE",Table1[[#This Row],[SUB_TYPE]])</f>
        <v>0</v>
      </c>
      <c r="Z624">
        <f>IF(Table1[[#This Row],[OPERATION]]="NOTE",NUMBERVALUE(LEFT(Table1[[#This Row],[MOD_NAME]],LEN(Table1[[#This Row],[MOD_NAME]])-4)),Table1[[#This Row],[SUB_NAME]])</f>
        <v>0</v>
      </c>
      <c r="AA624" t="str">
        <f>CONCAT(Table1[[#This Row],[Final Obj Type]],"|",Table1[[#This Row],[Final Obj Name]])</f>
        <v>0|0</v>
      </c>
      <c r="AB624" t="e">
        <f>VLOOKUP(Table1[[#This Row],[Final Obj Type]],Classification!B:E,3,FALSE)</f>
        <v>#N/A</v>
      </c>
      <c r="AC624" t="e">
        <f>VLOOKUP(Table1[[#This Row],[Final Obj Type]],Classification!B:E,4,FALSE)</f>
        <v>#N/A</v>
      </c>
      <c r="AD624" t="str">
        <f>IF(Table1[[#This Row],[Position 1]]=0,"/0SAP/",MID(Table1[[#This Row],[Final Obj Name]],Table1[[#This Row],[Position 1]],Table1[[#This Row],[Position 2]]-Table1[[#This Row],[Position 1]]+1))</f>
        <v>/0SAP/</v>
      </c>
      <c r="AE624" t="str">
        <f>VLOOKUP(Table1[[#This Row],[/* Object]],Namespace!A:J,10,FALSE)</f>
        <v>SAP AG</v>
      </c>
      <c r="AF624" t="str">
        <f>IF(VLOOKUP(Table1[[#This Row],[/* Object]],Namespace!A:J,4,FALSE)=0,"",VLOOKUP(Table1[[#This Row],[/* Object]],Namespace!A:J,4,FALSE))</f>
        <v>X</v>
      </c>
      <c r="AG624" t="str">
        <f>IF(VLOOKUP(Table1[[#This Row],[/* Object]],Namespace!A:J,5,FALSE)=0,"",VLOOKUP(Table1[[#This Row],[/* Object]],Namespace!A:J,5,FALSE))</f>
        <v>X</v>
      </c>
      <c r="AH624" t="str">
        <f>IF(VLOOKUP(Table1[[#This Row],[/* Object]],Namespace!A:J,6,FALSE)=0,"",VLOOKUP(Table1[[#This Row],[/* Object]],Namespace!A:J,6,FALSE))</f>
        <v/>
      </c>
      <c r="AI624">
        <f>IFERROR(FIND("/",Table1[[#This Row],[Final Obj Name]],1),0)</f>
        <v>0</v>
      </c>
      <c r="AJ624">
        <f>IF(Table1[[#This Row],[Position 1]]=0,0,FIND("/",Table1[[#This Row],[Final Obj Name]],Table1[[#This Row],[Position 1]]+1))</f>
        <v>0</v>
      </c>
      <c r="AK624" t="str">
        <f>IF(LEFT(Table1[[#This Row],[Final Obj Name]],1)="/",LEFT(Table1[[#This Row],[Final Obj Name]],FIND("/",Table1[[#This Row],[Final Obj Name]],2)),"/0SAP/")</f>
        <v>/0SAP/</v>
      </c>
    </row>
    <row r="625">
      <c r="A625" t="str">
        <v>ENHO</v>
      </c>
      <c r="B625" t="str">
        <v>ZUKM_R3_ACTIVATE</v>
      </c>
      <c r="C625" t="str">
        <v>ENHO</v>
      </c>
      <c r="D625" t="str">
        <v>ZUKM_R3_ACTIVATE</v>
      </c>
      <c r="G625" t="str">
        <v>ALL</v>
      </c>
      <c r="L625" t="str">
        <v>HMAISCH</v>
      </c>
      <c r="M625">
        <v>44452</v>
      </c>
      <c r="N625">
        <v>0.31290509259259</v>
      </c>
      <c r="S625" t="str">
        <v>X</v>
      </c>
      <c r="W625" t="str">
        <v>SP1K923137</v>
      </c>
      <c r="Y625">
        <f>IF(Table1[[#This Row],[OPERATION]]="NOTE","NOTE",Table1[[#This Row],[SUB_TYPE]])</f>
        <v>0</v>
      </c>
      <c r="Z625">
        <f>IF(Table1[[#This Row],[OPERATION]]="NOTE",NUMBERVALUE(LEFT(Table1[[#This Row],[MOD_NAME]],LEN(Table1[[#This Row],[MOD_NAME]])-4)),Table1[[#This Row],[SUB_NAME]])</f>
        <v>0</v>
      </c>
      <c r="AA625" t="str">
        <f>CONCAT(Table1[[#This Row],[Final Obj Type]],"|",Table1[[#This Row],[Final Obj Name]])</f>
        <v>0|0</v>
      </c>
      <c r="AB625" t="e">
        <f>VLOOKUP(Table1[[#This Row],[Final Obj Type]],Classification!B:E,3,FALSE)</f>
        <v>#N/A</v>
      </c>
      <c r="AC625" t="e">
        <f>VLOOKUP(Table1[[#This Row],[Final Obj Type]],Classification!B:E,4,FALSE)</f>
        <v>#N/A</v>
      </c>
      <c r="AD625" t="str">
        <f>IF(Table1[[#This Row],[Position 1]]=0,"/0SAP/",MID(Table1[[#This Row],[Final Obj Name]],Table1[[#This Row],[Position 1]],Table1[[#This Row],[Position 2]]-Table1[[#This Row],[Position 1]]+1))</f>
        <v>/0SAP/</v>
      </c>
      <c r="AE625" t="str">
        <f>VLOOKUP(Table1[[#This Row],[/* Object]],Namespace!A:J,10,FALSE)</f>
        <v>SAP AG</v>
      </c>
      <c r="AF625" t="str">
        <f>IF(VLOOKUP(Table1[[#This Row],[/* Object]],Namespace!A:J,4,FALSE)=0,"",VLOOKUP(Table1[[#This Row],[/* Object]],Namespace!A:J,4,FALSE))</f>
        <v>X</v>
      </c>
      <c r="AG625" t="str">
        <f>IF(VLOOKUP(Table1[[#This Row],[/* Object]],Namespace!A:J,5,FALSE)=0,"",VLOOKUP(Table1[[#This Row],[/* Object]],Namespace!A:J,5,FALSE))</f>
        <v>X</v>
      </c>
      <c r="AH625" t="str">
        <f>IF(VLOOKUP(Table1[[#This Row],[/* Object]],Namespace!A:J,6,FALSE)=0,"",VLOOKUP(Table1[[#This Row],[/* Object]],Namespace!A:J,6,FALSE))</f>
        <v/>
      </c>
      <c r="AI625">
        <f>IFERROR(FIND("/",Table1[[#This Row],[Final Obj Name]],1),0)</f>
        <v>0</v>
      </c>
      <c r="AJ625">
        <f>IF(Table1[[#This Row],[Position 1]]=0,0,FIND("/",Table1[[#This Row],[Final Obj Name]],Table1[[#This Row],[Position 1]]+1))</f>
        <v>0</v>
      </c>
      <c r="AK625" t="str">
        <f>IF(LEFT(Table1[[#This Row],[Final Obj Name]],1)="/",LEFT(Table1[[#This Row],[Final Obj Name]],FIND("/",Table1[[#This Row],[Final Obj Name]],2)),"/0SAP/")</f>
        <v>/0SAP/</v>
      </c>
    </row>
    <row r="626">
      <c r="A626" t="str">
        <v>ENHO</v>
      </c>
      <c r="B626" t="str">
        <v>ZUPDATE_EXPENSE_TYPE</v>
      </c>
      <c r="C626" t="str">
        <v>ENHO</v>
      </c>
      <c r="D626" t="str">
        <v>ZUPDATE_EXPENSE_TYPE</v>
      </c>
      <c r="G626" t="str">
        <v>ALL</v>
      </c>
      <c r="L626" t="str">
        <v>CST_MEZOVARI</v>
      </c>
      <c r="M626">
        <v>45234</v>
      </c>
      <c r="N626">
        <v>0.61282407407407</v>
      </c>
      <c r="S626" t="str">
        <v>X</v>
      </c>
      <c r="W626" t="str">
        <v>PP1K900520</v>
      </c>
      <c r="Y626">
        <f>IF(Table1[[#This Row],[OPERATION]]="NOTE","NOTE",Table1[[#This Row],[SUB_TYPE]])</f>
        <v>0</v>
      </c>
      <c r="Z626">
        <f>IF(Table1[[#This Row],[OPERATION]]="NOTE",NUMBERVALUE(LEFT(Table1[[#This Row],[MOD_NAME]],LEN(Table1[[#This Row],[MOD_NAME]])-4)),Table1[[#This Row],[SUB_NAME]])</f>
        <v>0</v>
      </c>
      <c r="AA626" t="str">
        <f>CONCAT(Table1[[#This Row],[Final Obj Type]],"|",Table1[[#This Row],[Final Obj Name]])</f>
        <v>0|0</v>
      </c>
      <c r="AB626" t="e">
        <f>VLOOKUP(Table1[[#This Row],[Final Obj Type]],Classification!B:E,3,FALSE)</f>
        <v>#N/A</v>
      </c>
      <c r="AC626" t="e">
        <f>VLOOKUP(Table1[[#This Row],[Final Obj Type]],Classification!B:E,4,FALSE)</f>
        <v>#N/A</v>
      </c>
      <c r="AD626" t="str">
        <f>IF(Table1[[#This Row],[Position 1]]=0,"/0SAP/",MID(Table1[[#This Row],[Final Obj Name]],Table1[[#This Row],[Position 1]],Table1[[#This Row],[Position 2]]-Table1[[#This Row],[Position 1]]+1))</f>
        <v>/0SAP/</v>
      </c>
      <c r="AE626" t="str">
        <f>VLOOKUP(Table1[[#This Row],[/* Object]],Namespace!A:J,10,FALSE)</f>
        <v>SAP AG</v>
      </c>
      <c r="AF626" t="str">
        <f>IF(VLOOKUP(Table1[[#This Row],[/* Object]],Namespace!A:J,4,FALSE)=0,"",VLOOKUP(Table1[[#This Row],[/* Object]],Namespace!A:J,4,FALSE))</f>
        <v>X</v>
      </c>
      <c r="AG626" t="str">
        <f>IF(VLOOKUP(Table1[[#This Row],[/* Object]],Namespace!A:J,5,FALSE)=0,"",VLOOKUP(Table1[[#This Row],[/* Object]],Namespace!A:J,5,FALSE))</f>
        <v>X</v>
      </c>
      <c r="AH626" t="str">
        <f>IF(VLOOKUP(Table1[[#This Row],[/* Object]],Namespace!A:J,6,FALSE)=0,"",VLOOKUP(Table1[[#This Row],[/* Object]],Namespace!A:J,6,FALSE))</f>
        <v/>
      </c>
      <c r="AI626">
        <f>IFERROR(FIND("/",Table1[[#This Row],[Final Obj Name]],1),0)</f>
        <v>0</v>
      </c>
      <c r="AJ626">
        <f>IF(Table1[[#This Row],[Position 1]]=0,0,FIND("/",Table1[[#This Row],[Final Obj Name]],Table1[[#This Row],[Position 1]]+1))</f>
        <v>0</v>
      </c>
      <c r="AK626" t="str">
        <f>IF(LEFT(Table1[[#This Row],[Final Obj Name]],1)="/",LEFT(Table1[[#This Row],[Final Obj Name]],FIND("/",Table1[[#This Row],[Final Obj Name]],2)),"/0SAP/")</f>
        <v>/0SAP/</v>
      </c>
    </row>
    <row r="627">
      <c r="A627" t="str">
        <v>ENHO</v>
      </c>
      <c r="B627" t="str">
        <v>ZVIM_SOURCEPO</v>
      </c>
      <c r="C627" t="str">
        <v>ENHO</v>
      </c>
      <c r="D627" t="str">
        <v>ZVIM_SOURCEPO</v>
      </c>
      <c r="G627" t="str">
        <v>ALL</v>
      </c>
      <c r="L627" t="str">
        <v>NSHAIK</v>
      </c>
      <c r="M627">
        <v>45329</v>
      </c>
      <c r="N627">
        <v>0.42725694444444</v>
      </c>
      <c r="S627" t="str">
        <v>X</v>
      </c>
      <c r="W627" t="str">
        <v>SP1K946033</v>
      </c>
      <c r="Y627">
        <f>IF(Table1[[#This Row],[OPERATION]]="NOTE","NOTE",Table1[[#This Row],[SUB_TYPE]])</f>
        <v>0</v>
      </c>
      <c r="Z627">
        <f>IF(Table1[[#This Row],[OPERATION]]="NOTE",NUMBERVALUE(LEFT(Table1[[#This Row],[MOD_NAME]],LEN(Table1[[#This Row],[MOD_NAME]])-4)),Table1[[#This Row],[SUB_NAME]])</f>
        <v>0</v>
      </c>
      <c r="AA627" t="str">
        <f>CONCAT(Table1[[#This Row],[Final Obj Type]],"|",Table1[[#This Row],[Final Obj Name]])</f>
        <v>0|0</v>
      </c>
      <c r="AB627" t="e">
        <f>VLOOKUP(Table1[[#This Row],[Final Obj Type]],Classification!B:E,3,FALSE)</f>
        <v>#N/A</v>
      </c>
      <c r="AC627" t="e">
        <f>VLOOKUP(Table1[[#This Row],[Final Obj Type]],Classification!B:E,4,FALSE)</f>
        <v>#N/A</v>
      </c>
      <c r="AD627" t="str">
        <f>IF(Table1[[#This Row],[Position 1]]=0,"/0SAP/",MID(Table1[[#This Row],[Final Obj Name]],Table1[[#This Row],[Position 1]],Table1[[#This Row],[Position 2]]-Table1[[#This Row],[Position 1]]+1))</f>
        <v>/0SAP/</v>
      </c>
      <c r="AE627" t="str">
        <f>VLOOKUP(Table1[[#This Row],[/* Object]],Namespace!A:J,10,FALSE)</f>
        <v>SAP AG</v>
      </c>
      <c r="AF627" t="str">
        <f>IF(VLOOKUP(Table1[[#This Row],[/* Object]],Namespace!A:J,4,FALSE)=0,"",VLOOKUP(Table1[[#This Row],[/* Object]],Namespace!A:J,4,FALSE))</f>
        <v>X</v>
      </c>
      <c r="AG627" t="str">
        <f>IF(VLOOKUP(Table1[[#This Row],[/* Object]],Namespace!A:J,5,FALSE)=0,"",VLOOKUP(Table1[[#This Row],[/* Object]],Namespace!A:J,5,FALSE))</f>
        <v>X</v>
      </c>
      <c r="AH627" t="str">
        <f>IF(VLOOKUP(Table1[[#This Row],[/* Object]],Namespace!A:J,6,FALSE)=0,"",VLOOKUP(Table1[[#This Row],[/* Object]],Namespace!A:J,6,FALSE))</f>
        <v/>
      </c>
      <c r="AI627">
        <f>IFERROR(FIND("/",Table1[[#This Row],[Final Obj Name]],1),0)</f>
        <v>0</v>
      </c>
      <c r="AJ627">
        <f>IF(Table1[[#This Row],[Position 1]]=0,0,FIND("/",Table1[[#This Row],[Final Obj Name]],Table1[[#This Row],[Position 1]]+1))</f>
        <v>0</v>
      </c>
      <c r="AK627" t="str">
        <f>IF(LEFT(Table1[[#This Row],[Final Obj Name]],1)="/",LEFT(Table1[[#This Row],[Final Obj Name]],FIND("/",Table1[[#This Row],[Final Obj Name]],2)),"/0SAP/")</f>
        <v>/0SAP/</v>
      </c>
    </row>
    <row r="628">
      <c r="A628" t="str">
        <v>ENHO</v>
      </c>
      <c r="B628" t="str">
        <v>ZVIM_TAX_JUR</v>
      </c>
      <c r="C628" t="str">
        <v>ENHO</v>
      </c>
      <c r="D628" t="str">
        <v>ZVIM_TAX_JUR</v>
      </c>
      <c r="G628" t="str">
        <v>ALL</v>
      </c>
      <c r="L628" t="str">
        <v>JVITER</v>
      </c>
      <c r="M628">
        <v>44737</v>
      </c>
      <c r="N628">
        <v>0.92891203703704</v>
      </c>
      <c r="S628" t="str">
        <v>X</v>
      </c>
      <c r="W628" t="str">
        <v>SP1K934800</v>
      </c>
      <c r="Y628">
        <f>IF(Table1[[#This Row],[OPERATION]]="NOTE","NOTE",Table1[[#This Row],[SUB_TYPE]])</f>
        <v>0</v>
      </c>
      <c r="Z628">
        <f>IF(Table1[[#This Row],[OPERATION]]="NOTE",NUMBERVALUE(LEFT(Table1[[#This Row],[MOD_NAME]],LEN(Table1[[#This Row],[MOD_NAME]])-4)),Table1[[#This Row],[SUB_NAME]])</f>
        <v>0</v>
      </c>
      <c r="AA628" t="str">
        <f>CONCAT(Table1[[#This Row],[Final Obj Type]],"|",Table1[[#This Row],[Final Obj Name]])</f>
        <v>0|0</v>
      </c>
      <c r="AB628" t="e">
        <f>VLOOKUP(Table1[[#This Row],[Final Obj Type]],Classification!B:E,3,FALSE)</f>
        <v>#N/A</v>
      </c>
      <c r="AC628" t="e">
        <f>VLOOKUP(Table1[[#This Row],[Final Obj Type]],Classification!B:E,4,FALSE)</f>
        <v>#N/A</v>
      </c>
      <c r="AD628" t="str">
        <f>IF(Table1[[#This Row],[Position 1]]=0,"/0SAP/",MID(Table1[[#This Row],[Final Obj Name]],Table1[[#This Row],[Position 1]],Table1[[#This Row],[Position 2]]-Table1[[#This Row],[Position 1]]+1))</f>
        <v>/0SAP/</v>
      </c>
      <c r="AE628" t="str">
        <f>VLOOKUP(Table1[[#This Row],[/* Object]],Namespace!A:J,10,FALSE)</f>
        <v>SAP AG</v>
      </c>
      <c r="AF628" t="str">
        <f>IF(VLOOKUP(Table1[[#This Row],[/* Object]],Namespace!A:J,4,FALSE)=0,"",VLOOKUP(Table1[[#This Row],[/* Object]],Namespace!A:J,4,FALSE))</f>
        <v>X</v>
      </c>
      <c r="AG628" t="str">
        <f>IF(VLOOKUP(Table1[[#This Row],[/* Object]],Namespace!A:J,5,FALSE)=0,"",VLOOKUP(Table1[[#This Row],[/* Object]],Namespace!A:J,5,FALSE))</f>
        <v>X</v>
      </c>
      <c r="AH628" t="str">
        <f>IF(VLOOKUP(Table1[[#This Row],[/* Object]],Namespace!A:J,6,FALSE)=0,"",VLOOKUP(Table1[[#This Row],[/* Object]],Namespace!A:J,6,FALSE))</f>
        <v/>
      </c>
      <c r="AI628">
        <f>IFERROR(FIND("/",Table1[[#This Row],[Final Obj Name]],1),0)</f>
        <v>0</v>
      </c>
      <c r="AJ628">
        <f>IF(Table1[[#This Row],[Position 1]]=0,0,FIND("/",Table1[[#This Row],[Final Obj Name]],Table1[[#This Row],[Position 1]]+1))</f>
        <v>0</v>
      </c>
      <c r="AK628" t="str">
        <f>IF(LEFT(Table1[[#This Row],[Final Obj Name]],1)="/",LEFT(Table1[[#This Row],[Final Obj Name]],FIND("/",Table1[[#This Row],[Final Obj Name]],2)),"/0SAP/")</f>
        <v>/0SAP/</v>
      </c>
    </row>
    <row r="629">
      <c r="A629" t="str">
        <v>ENHO</v>
      </c>
      <c r="B629" t="str">
        <v>Z_BUKRS_0386</v>
      </c>
      <c r="C629" t="str">
        <v>ENHO</v>
      </c>
      <c r="D629" t="str">
        <v>Z_BUKRS_0386</v>
      </c>
      <c r="G629" t="str">
        <v>ALL</v>
      </c>
      <c r="L629" t="str">
        <v>CST_BSOLAIMA</v>
      </c>
      <c r="M629">
        <v>45235</v>
      </c>
      <c r="N629">
        <v>0.16461805555556</v>
      </c>
      <c r="S629" t="str">
        <v>X</v>
      </c>
      <c r="W629" t="str">
        <v>PP1K900541</v>
      </c>
      <c r="Y629">
        <f>IF(Table1[[#This Row],[OPERATION]]="NOTE","NOTE",Table1[[#This Row],[SUB_TYPE]])</f>
        <v>0</v>
      </c>
      <c r="Z629">
        <f>IF(Table1[[#This Row],[OPERATION]]="NOTE",NUMBERVALUE(LEFT(Table1[[#This Row],[MOD_NAME]],LEN(Table1[[#This Row],[MOD_NAME]])-4)),Table1[[#This Row],[SUB_NAME]])</f>
        <v>0</v>
      </c>
      <c r="AA629" t="str">
        <f>CONCAT(Table1[[#This Row],[Final Obj Type]],"|",Table1[[#This Row],[Final Obj Name]])</f>
        <v>0|0</v>
      </c>
      <c r="AB629" t="e">
        <f>VLOOKUP(Table1[[#This Row],[Final Obj Type]],Classification!B:E,3,FALSE)</f>
        <v>#N/A</v>
      </c>
      <c r="AC629" t="e">
        <f>VLOOKUP(Table1[[#This Row],[Final Obj Type]],Classification!B:E,4,FALSE)</f>
        <v>#N/A</v>
      </c>
      <c r="AD629" t="str">
        <f>IF(Table1[[#This Row],[Position 1]]=0,"/0SAP/",MID(Table1[[#This Row],[Final Obj Name]],Table1[[#This Row],[Position 1]],Table1[[#This Row],[Position 2]]-Table1[[#This Row],[Position 1]]+1))</f>
        <v>/0SAP/</v>
      </c>
      <c r="AE629" t="str">
        <f>VLOOKUP(Table1[[#This Row],[/* Object]],Namespace!A:J,10,FALSE)</f>
        <v>SAP AG</v>
      </c>
      <c r="AF629" t="str">
        <f>IF(VLOOKUP(Table1[[#This Row],[/* Object]],Namespace!A:J,4,FALSE)=0,"",VLOOKUP(Table1[[#This Row],[/* Object]],Namespace!A:J,4,FALSE))</f>
        <v>X</v>
      </c>
      <c r="AG629" t="str">
        <f>IF(VLOOKUP(Table1[[#This Row],[/* Object]],Namespace!A:J,5,FALSE)=0,"",VLOOKUP(Table1[[#This Row],[/* Object]],Namespace!A:J,5,FALSE))</f>
        <v>X</v>
      </c>
      <c r="AH629" t="str">
        <f>IF(VLOOKUP(Table1[[#This Row],[/* Object]],Namespace!A:J,6,FALSE)=0,"",VLOOKUP(Table1[[#This Row],[/* Object]],Namespace!A:J,6,FALSE))</f>
        <v/>
      </c>
      <c r="AI629">
        <f>IFERROR(FIND("/",Table1[[#This Row],[Final Obj Name]],1),0)</f>
        <v>0</v>
      </c>
      <c r="AJ629">
        <f>IF(Table1[[#This Row],[Position 1]]=0,0,FIND("/",Table1[[#This Row],[Final Obj Name]],Table1[[#This Row],[Position 1]]+1))</f>
        <v>0</v>
      </c>
      <c r="AK629" t="str">
        <f>IF(LEFT(Table1[[#This Row],[Final Obj Name]],1)="/",LEFT(Table1[[#This Row],[Final Obj Name]],FIND("/",Table1[[#This Row],[Final Obj Name]],2)),"/0SAP/")</f>
        <v>/0SAP/</v>
      </c>
    </row>
    <row r="630">
      <c r="A630" t="str">
        <v>ENHO</v>
      </c>
      <c r="B630" t="str">
        <v>Z_PO_TOVENDOR_FOR_VIM</v>
      </c>
      <c r="C630" t="str">
        <v>ENHO</v>
      </c>
      <c r="D630" t="str">
        <v>Z_PO_TOVENDOR_FOR_VIM</v>
      </c>
      <c r="G630" t="str">
        <v>ALL</v>
      </c>
      <c r="L630" t="str">
        <v>CST_DDIENES</v>
      </c>
      <c r="M630">
        <v>45370</v>
      </c>
      <c r="N630">
        <v>0.57694444444444</v>
      </c>
      <c r="S630" t="str">
        <v>X</v>
      </c>
      <c r="W630" t="str">
        <v>SP1K946733</v>
      </c>
      <c r="Y630">
        <f>IF(Table1[[#This Row],[OPERATION]]="NOTE","NOTE",Table1[[#This Row],[SUB_TYPE]])</f>
        <v>0</v>
      </c>
      <c r="Z630">
        <f>IF(Table1[[#This Row],[OPERATION]]="NOTE",NUMBERVALUE(LEFT(Table1[[#This Row],[MOD_NAME]],LEN(Table1[[#This Row],[MOD_NAME]])-4)),Table1[[#This Row],[SUB_NAME]])</f>
        <v>0</v>
      </c>
      <c r="AA630" t="str">
        <f>CONCAT(Table1[[#This Row],[Final Obj Type]],"|",Table1[[#This Row],[Final Obj Name]])</f>
        <v>0|0</v>
      </c>
      <c r="AB630" t="e">
        <f>VLOOKUP(Table1[[#This Row],[Final Obj Type]],Classification!B:E,3,FALSE)</f>
        <v>#N/A</v>
      </c>
      <c r="AC630" t="e">
        <f>VLOOKUP(Table1[[#This Row],[Final Obj Type]],Classification!B:E,4,FALSE)</f>
        <v>#N/A</v>
      </c>
      <c r="AD630" t="str">
        <f>IF(Table1[[#This Row],[Position 1]]=0,"/0SAP/",MID(Table1[[#This Row],[Final Obj Name]],Table1[[#This Row],[Position 1]],Table1[[#This Row],[Position 2]]-Table1[[#This Row],[Position 1]]+1))</f>
        <v>/0SAP/</v>
      </c>
      <c r="AE630" t="str">
        <f>VLOOKUP(Table1[[#This Row],[/* Object]],Namespace!A:J,10,FALSE)</f>
        <v>SAP AG</v>
      </c>
      <c r="AF630" t="str">
        <f>IF(VLOOKUP(Table1[[#This Row],[/* Object]],Namespace!A:J,4,FALSE)=0,"",VLOOKUP(Table1[[#This Row],[/* Object]],Namespace!A:J,4,FALSE))</f>
        <v>X</v>
      </c>
      <c r="AG630" t="str">
        <f>IF(VLOOKUP(Table1[[#This Row],[/* Object]],Namespace!A:J,5,FALSE)=0,"",VLOOKUP(Table1[[#This Row],[/* Object]],Namespace!A:J,5,FALSE))</f>
        <v>X</v>
      </c>
      <c r="AH630" t="str">
        <f>IF(VLOOKUP(Table1[[#This Row],[/* Object]],Namespace!A:J,6,FALSE)=0,"",VLOOKUP(Table1[[#This Row],[/* Object]],Namespace!A:J,6,FALSE))</f>
        <v/>
      </c>
      <c r="AI630">
        <f>IFERROR(FIND("/",Table1[[#This Row],[Final Obj Name]],1),0)</f>
        <v>0</v>
      </c>
      <c r="AJ630">
        <f>IF(Table1[[#This Row],[Position 1]]=0,0,FIND("/",Table1[[#This Row],[Final Obj Name]],Table1[[#This Row],[Position 1]]+1))</f>
        <v>0</v>
      </c>
      <c r="AK630" t="str">
        <f>IF(LEFT(Table1[[#This Row],[Final Obj Name]],1)="/",LEFT(Table1[[#This Row],[Final Obj Name]],FIND("/",Table1[[#This Row],[Final Obj Name]],2)),"/0SAP/")</f>
        <v>/0SAP/</v>
      </c>
    </row>
    <row r="631">
      <c r="A631" t="str">
        <v>ENHO</v>
      </c>
      <c r="B631" t="str">
        <v>Z_RTV_PASSBP</v>
      </c>
      <c r="C631" t="str">
        <v>ENHO</v>
      </c>
      <c r="D631" t="str">
        <v>Z_RTV_PASSBP</v>
      </c>
      <c r="G631" t="str">
        <v>ALL</v>
      </c>
      <c r="L631" t="str">
        <v>CST_BSOLAIMA</v>
      </c>
      <c r="M631">
        <v>45235</v>
      </c>
      <c r="N631">
        <v>0.16377314814815</v>
      </c>
      <c r="S631" t="str">
        <v>X</v>
      </c>
      <c r="W631" t="str">
        <v>PP1K900520</v>
      </c>
      <c r="Y631">
        <f>IF(Table1[[#This Row],[OPERATION]]="NOTE","NOTE",Table1[[#This Row],[SUB_TYPE]])</f>
        <v>0</v>
      </c>
      <c r="Z631">
        <f>IF(Table1[[#This Row],[OPERATION]]="NOTE",NUMBERVALUE(LEFT(Table1[[#This Row],[MOD_NAME]],LEN(Table1[[#This Row],[MOD_NAME]])-4)),Table1[[#This Row],[SUB_NAME]])</f>
        <v>0</v>
      </c>
      <c r="AA631" t="str">
        <f>CONCAT(Table1[[#This Row],[Final Obj Type]],"|",Table1[[#This Row],[Final Obj Name]])</f>
        <v>0|0</v>
      </c>
      <c r="AB631" t="e">
        <f>VLOOKUP(Table1[[#This Row],[Final Obj Type]],Classification!B:E,3,FALSE)</f>
        <v>#N/A</v>
      </c>
      <c r="AC631" t="e">
        <f>VLOOKUP(Table1[[#This Row],[Final Obj Type]],Classification!B:E,4,FALSE)</f>
        <v>#N/A</v>
      </c>
      <c r="AD631" t="str">
        <f>IF(Table1[[#This Row],[Position 1]]=0,"/0SAP/",MID(Table1[[#This Row],[Final Obj Name]],Table1[[#This Row],[Position 1]],Table1[[#This Row],[Position 2]]-Table1[[#This Row],[Position 1]]+1))</f>
        <v>/0SAP/</v>
      </c>
      <c r="AE631" t="str">
        <f>VLOOKUP(Table1[[#This Row],[/* Object]],Namespace!A:J,10,FALSE)</f>
        <v>SAP AG</v>
      </c>
      <c r="AF631" t="str">
        <f>IF(VLOOKUP(Table1[[#This Row],[/* Object]],Namespace!A:J,4,FALSE)=0,"",VLOOKUP(Table1[[#This Row],[/* Object]],Namespace!A:J,4,FALSE))</f>
        <v>X</v>
      </c>
      <c r="AG631" t="str">
        <f>IF(VLOOKUP(Table1[[#This Row],[/* Object]],Namespace!A:J,5,FALSE)=0,"",VLOOKUP(Table1[[#This Row],[/* Object]],Namespace!A:J,5,FALSE))</f>
        <v>X</v>
      </c>
      <c r="AH631" t="str">
        <f>IF(VLOOKUP(Table1[[#This Row],[/* Object]],Namespace!A:J,6,FALSE)=0,"",VLOOKUP(Table1[[#This Row],[/* Object]],Namespace!A:J,6,FALSE))</f>
        <v/>
      </c>
      <c r="AI631">
        <f>IFERROR(FIND("/",Table1[[#This Row],[Final Obj Name]],1),0)</f>
        <v>0</v>
      </c>
      <c r="AJ631">
        <f>IF(Table1[[#This Row],[Position 1]]=0,0,FIND("/",Table1[[#This Row],[Final Obj Name]],Table1[[#This Row],[Position 1]]+1))</f>
        <v>0</v>
      </c>
      <c r="AK631" t="str">
        <f>IF(LEFT(Table1[[#This Row],[Final Obj Name]],1)="/",LEFT(Table1[[#This Row],[Final Obj Name]],FIND("/",Table1[[#This Row],[Final Obj Name]],2)),"/0SAP/")</f>
        <v>/0SAP/</v>
      </c>
    </row>
    <row r="632">
      <c r="A632" t="str">
        <v>FUGR</v>
      </c>
      <c r="B632" t="str">
        <v>ZBC_GLOBAL</v>
      </c>
      <c r="C632" t="str">
        <v>REPS</v>
      </c>
      <c r="D632" t="str">
        <v>LZBC_GLOBALUXX</v>
      </c>
      <c r="G632" t="str">
        <v>ALL</v>
      </c>
      <c r="L632" t="str">
        <v>HESS</v>
      </c>
      <c r="M632">
        <v>43151</v>
      </c>
      <c r="N632">
        <v>0.44825231481481</v>
      </c>
      <c r="P632">
        <v>1</v>
      </c>
      <c r="S632" t="str">
        <v>X</v>
      </c>
      <c r="W632" t="str">
        <v>S01K901398</v>
      </c>
      <c r="Y632">
        <f>IF(Table1[[#This Row],[OPERATION]]="NOTE","NOTE",Table1[[#This Row],[SUB_TYPE]])</f>
        <v>0</v>
      </c>
      <c r="Z632">
        <f>IF(Table1[[#This Row],[OPERATION]]="NOTE",NUMBERVALUE(LEFT(Table1[[#This Row],[MOD_NAME]],LEN(Table1[[#This Row],[MOD_NAME]])-4)),Table1[[#This Row],[SUB_NAME]])</f>
        <v>0</v>
      </c>
      <c r="AA632" t="str">
        <f>CONCAT(Table1[[#This Row],[Final Obj Type]],"|",Table1[[#This Row],[Final Obj Name]])</f>
        <v>0|0</v>
      </c>
      <c r="AB632" t="e">
        <f>VLOOKUP(Table1[[#This Row],[Final Obj Type]],Classification!B:E,3,FALSE)</f>
        <v>#N/A</v>
      </c>
      <c r="AC632" t="e">
        <f>VLOOKUP(Table1[[#This Row],[Final Obj Type]],Classification!B:E,4,FALSE)</f>
        <v>#N/A</v>
      </c>
      <c r="AD632" t="str">
        <f>IF(Table1[[#This Row],[Position 1]]=0,"/0SAP/",MID(Table1[[#This Row],[Final Obj Name]],Table1[[#This Row],[Position 1]],Table1[[#This Row],[Position 2]]-Table1[[#This Row],[Position 1]]+1))</f>
        <v>/0SAP/</v>
      </c>
      <c r="AE632" t="str">
        <f>VLOOKUP(Table1[[#This Row],[/* Object]],Namespace!A:J,10,FALSE)</f>
        <v>SAP AG</v>
      </c>
      <c r="AF632" t="str">
        <f>IF(VLOOKUP(Table1[[#This Row],[/* Object]],Namespace!A:J,4,FALSE)=0,"",VLOOKUP(Table1[[#This Row],[/* Object]],Namespace!A:J,4,FALSE))</f>
        <v>X</v>
      </c>
      <c r="AG632" t="str">
        <f>IF(VLOOKUP(Table1[[#This Row],[/* Object]],Namespace!A:J,5,FALSE)=0,"",VLOOKUP(Table1[[#This Row],[/* Object]],Namespace!A:J,5,FALSE))</f>
        <v>X</v>
      </c>
      <c r="AH632" t="str">
        <f>IF(VLOOKUP(Table1[[#This Row],[/* Object]],Namespace!A:J,6,FALSE)=0,"",VLOOKUP(Table1[[#This Row],[/* Object]],Namespace!A:J,6,FALSE))</f>
        <v/>
      </c>
      <c r="AI632">
        <f>IFERROR(FIND("/",Table1[[#This Row],[Final Obj Name]],1),0)</f>
        <v>0</v>
      </c>
      <c r="AJ632">
        <f>IF(Table1[[#This Row],[Position 1]]=0,0,FIND("/",Table1[[#This Row],[Final Obj Name]],Table1[[#This Row],[Position 1]]+1))</f>
        <v>0</v>
      </c>
      <c r="AK632" t="str">
        <f>IF(LEFT(Table1[[#This Row],[Final Obj Name]],1)="/",LEFT(Table1[[#This Row],[Final Obj Name]],FIND("/",Table1[[#This Row],[Final Obj Name]],2)),"/0SAP/")</f>
        <v>/0SAP/</v>
      </c>
    </row>
    <row r="633">
      <c r="A633" t="str">
        <v>FUGR</v>
      </c>
      <c r="B633" t="str">
        <v>ZCS_AMP_INTERFACE</v>
      </c>
      <c r="C633" t="str">
        <v>FUNC</v>
      </c>
      <c r="D633" t="str">
        <v>Z_CS_ADVANCED_CUST_SEARCH</v>
      </c>
      <c r="E633" t="str">
        <v>FF</v>
      </c>
      <c r="F633" t="str">
        <v>Z_CS_ADVANCED_CUST_SEARCH</v>
      </c>
      <c r="G633" t="str">
        <v>MOD</v>
      </c>
      <c r="H633" t="str">
        <v>SAPLZCS_AMP_INTERFACE</v>
      </c>
      <c r="K633" t="str">
        <v>E</v>
      </c>
      <c r="L633">
        <v>50076206</v>
      </c>
      <c r="M633">
        <v>44050</v>
      </c>
      <c r="N633">
        <v>0.69900462962963</v>
      </c>
      <c r="W633" t="str">
        <v>S01K908785</v>
      </c>
      <c r="Y633">
        <f>IF(Table1[[#This Row],[OPERATION]]="NOTE","NOTE",Table1[[#This Row],[SUB_TYPE]])</f>
        <v>0</v>
      </c>
      <c r="Z633">
        <f>IF(Table1[[#This Row],[OPERATION]]="NOTE",NUMBERVALUE(LEFT(Table1[[#This Row],[MOD_NAME]],LEN(Table1[[#This Row],[MOD_NAME]])-4)),Table1[[#This Row],[SUB_NAME]])</f>
        <v>0</v>
      </c>
      <c r="AA633" t="str">
        <f>CONCAT(Table1[[#This Row],[Final Obj Type]],"|",Table1[[#This Row],[Final Obj Name]])</f>
        <v>0|0</v>
      </c>
      <c r="AB633" t="e">
        <f>VLOOKUP(Table1[[#This Row],[Final Obj Type]],Classification!B:E,3,FALSE)</f>
        <v>#N/A</v>
      </c>
      <c r="AC633" t="e">
        <f>VLOOKUP(Table1[[#This Row],[Final Obj Type]],Classification!B:E,4,FALSE)</f>
        <v>#N/A</v>
      </c>
      <c r="AD633" t="str">
        <f>IF(Table1[[#This Row],[Position 1]]=0,"/0SAP/",MID(Table1[[#This Row],[Final Obj Name]],Table1[[#This Row],[Position 1]],Table1[[#This Row],[Position 2]]-Table1[[#This Row],[Position 1]]+1))</f>
        <v>/0SAP/</v>
      </c>
      <c r="AE633" t="str">
        <f>VLOOKUP(Table1[[#This Row],[/* Object]],Namespace!A:J,10,FALSE)</f>
        <v>SAP AG</v>
      </c>
      <c r="AF633" t="str">
        <f>IF(VLOOKUP(Table1[[#This Row],[/* Object]],Namespace!A:J,4,FALSE)=0,"",VLOOKUP(Table1[[#This Row],[/* Object]],Namespace!A:J,4,FALSE))</f>
        <v>X</v>
      </c>
      <c r="AG633" t="str">
        <f>IF(VLOOKUP(Table1[[#This Row],[/* Object]],Namespace!A:J,5,FALSE)=0,"",VLOOKUP(Table1[[#This Row],[/* Object]],Namespace!A:J,5,FALSE))</f>
        <v>X</v>
      </c>
      <c r="AH633" t="str">
        <f>IF(VLOOKUP(Table1[[#This Row],[/* Object]],Namespace!A:J,6,FALSE)=0,"",VLOOKUP(Table1[[#This Row],[/* Object]],Namespace!A:J,6,FALSE))</f>
        <v/>
      </c>
      <c r="AI633">
        <f>IFERROR(FIND("/",Table1[[#This Row],[Final Obj Name]],1),0)</f>
        <v>0</v>
      </c>
      <c r="AJ633">
        <f>IF(Table1[[#This Row],[Position 1]]=0,0,FIND("/",Table1[[#This Row],[Final Obj Name]],Table1[[#This Row],[Position 1]]+1))</f>
        <v>0</v>
      </c>
      <c r="AK633" t="str">
        <f>IF(LEFT(Table1[[#This Row],[Final Obj Name]],1)="/",LEFT(Table1[[#This Row],[Final Obj Name]],FIND("/",Table1[[#This Row],[Final Obj Name]],2)),"/0SAP/")</f>
        <v>/0SAP/</v>
      </c>
    </row>
    <row r="634">
      <c r="A634" t="str">
        <v>FUGR</v>
      </c>
      <c r="B634" t="str">
        <v>ZCS_AMP_INTERFACE</v>
      </c>
      <c r="C634" t="str">
        <v>FUNC</v>
      </c>
      <c r="D634" t="str">
        <v>Z_CS_BASIC_CUST_SEARCH</v>
      </c>
      <c r="E634" t="str">
        <v>FF</v>
      </c>
      <c r="F634" t="str">
        <v>Z_CS_BASIC_CUST_SEARCH</v>
      </c>
      <c r="G634" t="str">
        <v>MOD</v>
      </c>
      <c r="H634" t="str">
        <v>SAPLZCS_AMP_INTERFACE</v>
      </c>
      <c r="K634" t="str">
        <v>E</v>
      </c>
      <c r="L634">
        <v>50076206</v>
      </c>
      <c r="M634">
        <v>44063</v>
      </c>
      <c r="N634">
        <v>0.37103009259259</v>
      </c>
      <c r="W634" t="str">
        <v>S01K908910</v>
      </c>
      <c r="Y634">
        <f>IF(Table1[[#This Row],[OPERATION]]="NOTE","NOTE",Table1[[#This Row],[SUB_TYPE]])</f>
        <v>0</v>
      </c>
      <c r="Z634">
        <f>IF(Table1[[#This Row],[OPERATION]]="NOTE",NUMBERVALUE(LEFT(Table1[[#This Row],[MOD_NAME]],LEN(Table1[[#This Row],[MOD_NAME]])-4)),Table1[[#This Row],[SUB_NAME]])</f>
        <v>0</v>
      </c>
      <c r="AA634" t="str">
        <f>CONCAT(Table1[[#This Row],[Final Obj Type]],"|",Table1[[#This Row],[Final Obj Name]])</f>
        <v>0|0</v>
      </c>
      <c r="AB634" t="e">
        <f>VLOOKUP(Table1[[#This Row],[Final Obj Type]],Classification!B:E,3,FALSE)</f>
        <v>#N/A</v>
      </c>
      <c r="AC634" t="e">
        <f>VLOOKUP(Table1[[#This Row],[Final Obj Type]],Classification!B:E,4,FALSE)</f>
        <v>#N/A</v>
      </c>
      <c r="AD634" t="str">
        <f>IF(Table1[[#This Row],[Position 1]]=0,"/0SAP/",MID(Table1[[#This Row],[Final Obj Name]],Table1[[#This Row],[Position 1]],Table1[[#This Row],[Position 2]]-Table1[[#This Row],[Position 1]]+1))</f>
        <v>/0SAP/</v>
      </c>
      <c r="AE634" t="str">
        <f>VLOOKUP(Table1[[#This Row],[/* Object]],Namespace!A:J,10,FALSE)</f>
        <v>SAP AG</v>
      </c>
      <c r="AF634" t="str">
        <f>IF(VLOOKUP(Table1[[#This Row],[/* Object]],Namespace!A:J,4,FALSE)=0,"",VLOOKUP(Table1[[#This Row],[/* Object]],Namespace!A:J,4,FALSE))</f>
        <v>X</v>
      </c>
      <c r="AG634" t="str">
        <f>IF(VLOOKUP(Table1[[#This Row],[/* Object]],Namespace!A:J,5,FALSE)=0,"",VLOOKUP(Table1[[#This Row],[/* Object]],Namespace!A:J,5,FALSE))</f>
        <v>X</v>
      </c>
      <c r="AH634" t="str">
        <f>IF(VLOOKUP(Table1[[#This Row],[/* Object]],Namespace!A:J,6,FALSE)=0,"",VLOOKUP(Table1[[#This Row],[/* Object]],Namespace!A:J,6,FALSE))</f>
        <v/>
      </c>
      <c r="AI634">
        <f>IFERROR(FIND("/",Table1[[#This Row],[Final Obj Name]],1),0)</f>
        <v>0</v>
      </c>
      <c r="AJ634">
        <f>IF(Table1[[#This Row],[Position 1]]=0,0,FIND("/",Table1[[#This Row],[Final Obj Name]],Table1[[#This Row],[Position 1]]+1))</f>
        <v>0</v>
      </c>
      <c r="AK634" t="str">
        <f>IF(LEFT(Table1[[#This Row],[Final Obj Name]],1)="/",LEFT(Table1[[#This Row],[Final Obj Name]],FIND("/",Table1[[#This Row],[Final Obj Name]],2)),"/0SAP/")</f>
        <v>/0SAP/</v>
      </c>
    </row>
    <row r="635">
      <c r="A635" t="str">
        <v>FUGR</v>
      </c>
      <c r="B635" t="str">
        <v>ZCS_AMP_INTERFACE</v>
      </c>
      <c r="C635" t="str">
        <v>REPS</v>
      </c>
      <c r="D635" t="str">
        <v>LZCS_AMP_INTERFACEUXX</v>
      </c>
      <c r="G635" t="str">
        <v>ALL</v>
      </c>
      <c r="L635" t="str">
        <v>CST_VRAGHAV</v>
      </c>
      <c r="M635">
        <v>43754</v>
      </c>
      <c r="N635">
        <v>0.8216087962963</v>
      </c>
      <c r="P635">
        <v>1</v>
      </c>
      <c r="S635" t="str">
        <v>X</v>
      </c>
      <c r="Y635">
        <f>IF(Table1[[#This Row],[OPERATION]]="NOTE","NOTE",Table1[[#This Row],[SUB_TYPE]])</f>
        <v>0</v>
      </c>
      <c r="Z635">
        <f>IF(Table1[[#This Row],[OPERATION]]="NOTE",NUMBERVALUE(LEFT(Table1[[#This Row],[MOD_NAME]],LEN(Table1[[#This Row],[MOD_NAME]])-4)),Table1[[#This Row],[SUB_NAME]])</f>
        <v>0</v>
      </c>
      <c r="AA635" t="str">
        <f>CONCAT(Table1[[#This Row],[Final Obj Type]],"|",Table1[[#This Row],[Final Obj Name]])</f>
        <v>0|0</v>
      </c>
      <c r="AB635" t="e">
        <f>VLOOKUP(Table1[[#This Row],[Final Obj Type]],Classification!B:E,3,FALSE)</f>
        <v>#N/A</v>
      </c>
      <c r="AC635" t="e">
        <f>VLOOKUP(Table1[[#This Row],[Final Obj Type]],Classification!B:E,4,FALSE)</f>
        <v>#N/A</v>
      </c>
      <c r="AD635" t="str">
        <f>IF(Table1[[#This Row],[Position 1]]=0,"/0SAP/",MID(Table1[[#This Row],[Final Obj Name]],Table1[[#This Row],[Position 1]],Table1[[#This Row],[Position 2]]-Table1[[#This Row],[Position 1]]+1))</f>
        <v>/0SAP/</v>
      </c>
      <c r="AE635" t="str">
        <f>VLOOKUP(Table1[[#This Row],[/* Object]],Namespace!A:J,10,FALSE)</f>
        <v>SAP AG</v>
      </c>
      <c r="AF635" t="str">
        <f>IF(VLOOKUP(Table1[[#This Row],[/* Object]],Namespace!A:J,4,FALSE)=0,"",VLOOKUP(Table1[[#This Row],[/* Object]],Namespace!A:J,4,FALSE))</f>
        <v>X</v>
      </c>
      <c r="AG635" t="str">
        <f>IF(VLOOKUP(Table1[[#This Row],[/* Object]],Namespace!A:J,5,FALSE)=0,"",VLOOKUP(Table1[[#This Row],[/* Object]],Namespace!A:J,5,FALSE))</f>
        <v>X</v>
      </c>
      <c r="AH635" t="str">
        <f>IF(VLOOKUP(Table1[[#This Row],[/* Object]],Namespace!A:J,6,FALSE)=0,"",VLOOKUP(Table1[[#This Row],[/* Object]],Namespace!A:J,6,FALSE))</f>
        <v/>
      </c>
      <c r="AI635">
        <f>IFERROR(FIND("/",Table1[[#This Row],[Final Obj Name]],1),0)</f>
        <v>0</v>
      </c>
      <c r="AJ635">
        <f>IF(Table1[[#This Row],[Position 1]]=0,0,FIND("/",Table1[[#This Row],[Final Obj Name]],Table1[[#This Row],[Position 1]]+1))</f>
        <v>0</v>
      </c>
      <c r="AK635" t="str">
        <f>IF(LEFT(Table1[[#This Row],[Final Obj Name]],1)="/",LEFT(Table1[[#This Row],[Final Obj Name]],FIND("/",Table1[[#This Row],[Final Obj Name]],2)),"/0SAP/")</f>
        <v>/0SAP/</v>
      </c>
    </row>
    <row r="636">
      <c r="A636" t="str">
        <v>FUGR</v>
      </c>
      <c r="B636" t="str">
        <v>ZDOA_CONTROL</v>
      </c>
      <c r="C636" t="str">
        <v>DYNP</v>
      </c>
      <c r="D636" t="str">
        <v>SAPLZDOA_CONTROL                        0001</v>
      </c>
      <c r="E636" t="str">
        <v>DYNP</v>
      </c>
      <c r="G636" t="str">
        <v>ALL</v>
      </c>
      <c r="H636" t="str">
        <v>SAPLZDOA_CONTROL</v>
      </c>
      <c r="K636" t="str">
        <v>E</v>
      </c>
      <c r="L636" t="str">
        <v>CST_DDIENES</v>
      </c>
      <c r="M636">
        <v>44053</v>
      </c>
      <c r="N636">
        <v>0.44521990740741</v>
      </c>
      <c r="W636" t="str">
        <v>SP1K911052</v>
      </c>
      <c r="Y636">
        <f>IF(Table1[[#This Row],[OPERATION]]="NOTE","NOTE",Table1[[#This Row],[SUB_TYPE]])</f>
        <v>0</v>
      </c>
      <c r="Z636">
        <f>IF(Table1[[#This Row],[OPERATION]]="NOTE",NUMBERVALUE(LEFT(Table1[[#This Row],[MOD_NAME]],LEN(Table1[[#This Row],[MOD_NAME]])-4)),Table1[[#This Row],[SUB_NAME]])</f>
        <v>0</v>
      </c>
      <c r="AA636" t="str">
        <f>CONCAT(Table1[[#This Row],[Final Obj Type]],"|",Table1[[#This Row],[Final Obj Name]])</f>
        <v>0|0</v>
      </c>
      <c r="AB636" t="e">
        <f>VLOOKUP(Table1[[#This Row],[Final Obj Type]],Classification!B:E,3,FALSE)</f>
        <v>#N/A</v>
      </c>
      <c r="AC636" t="e">
        <f>VLOOKUP(Table1[[#This Row],[Final Obj Type]],Classification!B:E,4,FALSE)</f>
        <v>#N/A</v>
      </c>
      <c r="AD636" t="str">
        <f>IF(Table1[[#This Row],[Position 1]]=0,"/0SAP/",MID(Table1[[#This Row],[Final Obj Name]],Table1[[#This Row],[Position 1]],Table1[[#This Row],[Position 2]]-Table1[[#This Row],[Position 1]]+1))</f>
        <v>/0SAP/</v>
      </c>
      <c r="AE636" t="str">
        <f>VLOOKUP(Table1[[#This Row],[/* Object]],Namespace!A:J,10,FALSE)</f>
        <v>SAP AG</v>
      </c>
      <c r="AF636" t="str">
        <f>IF(VLOOKUP(Table1[[#This Row],[/* Object]],Namespace!A:J,4,FALSE)=0,"",VLOOKUP(Table1[[#This Row],[/* Object]],Namespace!A:J,4,FALSE))</f>
        <v>X</v>
      </c>
      <c r="AG636" t="str">
        <f>IF(VLOOKUP(Table1[[#This Row],[/* Object]],Namespace!A:J,5,FALSE)=0,"",VLOOKUP(Table1[[#This Row],[/* Object]],Namespace!A:J,5,FALSE))</f>
        <v>X</v>
      </c>
      <c r="AH636" t="str">
        <f>IF(VLOOKUP(Table1[[#This Row],[/* Object]],Namespace!A:J,6,FALSE)=0,"",VLOOKUP(Table1[[#This Row],[/* Object]],Namespace!A:J,6,FALSE))</f>
        <v/>
      </c>
      <c r="AI636">
        <f>IFERROR(FIND("/",Table1[[#This Row],[Final Obj Name]],1),0)</f>
        <v>0</v>
      </c>
      <c r="AJ636">
        <f>IF(Table1[[#This Row],[Position 1]]=0,0,FIND("/",Table1[[#This Row],[Final Obj Name]],Table1[[#This Row],[Position 1]]+1))</f>
        <v>0</v>
      </c>
      <c r="AK636" t="str">
        <f>IF(LEFT(Table1[[#This Row],[Final Obj Name]],1)="/",LEFT(Table1[[#This Row],[Final Obj Name]],FIND("/",Table1[[#This Row],[Final Obj Name]],2)),"/0SAP/")</f>
        <v>/0SAP/</v>
      </c>
    </row>
    <row r="637">
      <c r="A637" t="str">
        <v>FUGR</v>
      </c>
      <c r="B637" t="str">
        <v>ZDOA_CONTROL</v>
      </c>
      <c r="C637" t="str">
        <v>FUGR</v>
      </c>
      <c r="D637" t="str">
        <v>ZDOA_CONTROL</v>
      </c>
      <c r="G637" t="str">
        <v>ALL</v>
      </c>
      <c r="L637" t="str">
        <v>CST_DDIENES</v>
      </c>
      <c r="M637">
        <v>44053</v>
      </c>
      <c r="N637">
        <v>0.44400462962963</v>
      </c>
      <c r="S637" t="str">
        <v>X</v>
      </c>
      <c r="W637" t="str">
        <v>SP1K911052</v>
      </c>
      <c r="Y637">
        <f>IF(Table1[[#This Row],[OPERATION]]="NOTE","NOTE",Table1[[#This Row],[SUB_TYPE]])</f>
        <v>0</v>
      </c>
      <c r="Z637">
        <f>IF(Table1[[#This Row],[OPERATION]]="NOTE",NUMBERVALUE(LEFT(Table1[[#This Row],[MOD_NAME]],LEN(Table1[[#This Row],[MOD_NAME]])-4)),Table1[[#This Row],[SUB_NAME]])</f>
        <v>0</v>
      </c>
      <c r="AA637" t="str">
        <f>CONCAT(Table1[[#This Row],[Final Obj Type]],"|",Table1[[#This Row],[Final Obj Name]])</f>
        <v>0|0</v>
      </c>
      <c r="AB637" t="e">
        <f>VLOOKUP(Table1[[#This Row],[Final Obj Type]],Classification!B:E,3,FALSE)</f>
        <v>#N/A</v>
      </c>
      <c r="AC637" t="e">
        <f>VLOOKUP(Table1[[#This Row],[Final Obj Type]],Classification!B:E,4,FALSE)</f>
        <v>#N/A</v>
      </c>
      <c r="AD637" t="str">
        <f>IF(Table1[[#This Row],[Position 1]]=0,"/0SAP/",MID(Table1[[#This Row],[Final Obj Name]],Table1[[#This Row],[Position 1]],Table1[[#This Row],[Position 2]]-Table1[[#This Row],[Position 1]]+1))</f>
        <v>/0SAP/</v>
      </c>
      <c r="AE637" t="str">
        <f>VLOOKUP(Table1[[#This Row],[/* Object]],Namespace!A:J,10,FALSE)</f>
        <v>SAP AG</v>
      </c>
      <c r="AF637" t="str">
        <f>IF(VLOOKUP(Table1[[#This Row],[/* Object]],Namespace!A:J,4,FALSE)=0,"",VLOOKUP(Table1[[#This Row],[/* Object]],Namespace!A:J,4,FALSE))</f>
        <v>X</v>
      </c>
      <c r="AG637" t="str">
        <f>IF(VLOOKUP(Table1[[#This Row],[/* Object]],Namespace!A:J,5,FALSE)=0,"",VLOOKUP(Table1[[#This Row],[/* Object]],Namespace!A:J,5,FALSE))</f>
        <v>X</v>
      </c>
      <c r="AH637" t="str">
        <f>IF(VLOOKUP(Table1[[#This Row],[/* Object]],Namespace!A:J,6,FALSE)=0,"",VLOOKUP(Table1[[#This Row],[/* Object]],Namespace!A:J,6,FALSE))</f>
        <v/>
      </c>
      <c r="AI637">
        <f>IFERROR(FIND("/",Table1[[#This Row],[Final Obj Name]],1),0)</f>
        <v>0</v>
      </c>
      <c r="AJ637">
        <f>IF(Table1[[#This Row],[Position 1]]=0,0,FIND("/",Table1[[#This Row],[Final Obj Name]],Table1[[#This Row],[Position 1]]+1))</f>
        <v>0</v>
      </c>
      <c r="AK637" t="str">
        <f>IF(LEFT(Table1[[#This Row],[Final Obj Name]],1)="/",LEFT(Table1[[#This Row],[Final Obj Name]],FIND("/",Table1[[#This Row],[Final Obj Name]],2)),"/0SAP/")</f>
        <v>/0SAP/</v>
      </c>
    </row>
    <row r="638">
      <c r="A638" t="str">
        <v>FUGR</v>
      </c>
      <c r="B638" t="str">
        <v>ZFLS_SABRIX_EXITS</v>
      </c>
      <c r="C638" t="str">
        <v>FUNC</v>
      </c>
      <c r="D638" t="str">
        <v>ZFLS_VIM_TAX_NON_PO_FIX</v>
      </c>
      <c r="E638" t="str">
        <v>FF</v>
      </c>
      <c r="F638" t="str">
        <v>ZFLS_VIM_TAX_NON_PO_FIX</v>
      </c>
      <c r="G638" t="str">
        <v>MOD</v>
      </c>
      <c r="H638" t="str">
        <v>SAPLZFLS_SABRIX_EXITS</v>
      </c>
      <c r="K638" t="str">
        <v>E</v>
      </c>
      <c r="L638" t="str">
        <v>JVITER</v>
      </c>
      <c r="M638">
        <v>44871</v>
      </c>
      <c r="N638">
        <v>0.86844907407407</v>
      </c>
      <c r="W638" t="str">
        <v>S01K914912</v>
      </c>
      <c r="Y638">
        <f>IF(Table1[[#This Row],[OPERATION]]="NOTE","NOTE",Table1[[#This Row],[SUB_TYPE]])</f>
        <v>0</v>
      </c>
      <c r="Z638">
        <f>IF(Table1[[#This Row],[OPERATION]]="NOTE",NUMBERVALUE(LEFT(Table1[[#This Row],[MOD_NAME]],LEN(Table1[[#This Row],[MOD_NAME]])-4)),Table1[[#This Row],[SUB_NAME]])</f>
        <v>0</v>
      </c>
      <c r="AA638" t="str">
        <f>CONCAT(Table1[[#This Row],[Final Obj Type]],"|",Table1[[#This Row],[Final Obj Name]])</f>
        <v>0|0</v>
      </c>
      <c r="AB638" t="e">
        <f>VLOOKUP(Table1[[#This Row],[Final Obj Type]],Classification!B:E,3,FALSE)</f>
        <v>#N/A</v>
      </c>
      <c r="AC638" t="e">
        <f>VLOOKUP(Table1[[#This Row],[Final Obj Type]],Classification!B:E,4,FALSE)</f>
        <v>#N/A</v>
      </c>
      <c r="AD638" t="str">
        <f>IF(Table1[[#This Row],[Position 1]]=0,"/0SAP/",MID(Table1[[#This Row],[Final Obj Name]],Table1[[#This Row],[Position 1]],Table1[[#This Row],[Position 2]]-Table1[[#This Row],[Position 1]]+1))</f>
        <v>/0SAP/</v>
      </c>
      <c r="AE638" t="str">
        <f>VLOOKUP(Table1[[#This Row],[/* Object]],Namespace!A:J,10,FALSE)</f>
        <v>SAP AG</v>
      </c>
      <c r="AF638" t="str">
        <f>IF(VLOOKUP(Table1[[#This Row],[/* Object]],Namespace!A:J,4,FALSE)=0,"",VLOOKUP(Table1[[#This Row],[/* Object]],Namespace!A:J,4,FALSE))</f>
        <v>X</v>
      </c>
      <c r="AG638" t="str">
        <f>IF(VLOOKUP(Table1[[#This Row],[/* Object]],Namespace!A:J,5,FALSE)=0,"",VLOOKUP(Table1[[#This Row],[/* Object]],Namespace!A:J,5,FALSE))</f>
        <v>X</v>
      </c>
      <c r="AH638" t="str">
        <f>IF(VLOOKUP(Table1[[#This Row],[/* Object]],Namespace!A:J,6,FALSE)=0,"",VLOOKUP(Table1[[#This Row],[/* Object]],Namespace!A:J,6,FALSE))</f>
        <v/>
      </c>
      <c r="AI638">
        <f>IFERROR(FIND("/",Table1[[#This Row],[Final Obj Name]],1),0)</f>
        <v>0</v>
      </c>
      <c r="AJ638">
        <f>IF(Table1[[#This Row],[Position 1]]=0,0,FIND("/",Table1[[#This Row],[Final Obj Name]],Table1[[#This Row],[Position 1]]+1))</f>
        <v>0</v>
      </c>
      <c r="AK638" t="str">
        <f>IF(LEFT(Table1[[#This Row],[Final Obj Name]],1)="/",LEFT(Table1[[#This Row],[Final Obj Name]],FIND("/",Table1[[#This Row],[Final Obj Name]],2)),"/0SAP/")</f>
        <v>/0SAP/</v>
      </c>
    </row>
    <row r="639">
      <c r="A639" t="str">
        <v>FUGR</v>
      </c>
      <c r="B639" t="str">
        <v>ZFLS_SABRIX_EXITS</v>
      </c>
      <c r="C639" t="str">
        <v>FUNC</v>
      </c>
      <c r="D639" t="str">
        <v>ZIDT_CALC_TAX_IN_CALLSTACK</v>
      </c>
      <c r="E639" t="str">
        <v>FF</v>
      </c>
      <c r="F639" t="str">
        <v>ZIDT_CALC_TAX_IN_CALLSTACK</v>
      </c>
      <c r="G639" t="str">
        <v>MOD</v>
      </c>
      <c r="H639" t="str">
        <v>SAPLZFLS_SABRIX_EXITS</v>
      </c>
      <c r="K639" t="str">
        <v>E</v>
      </c>
      <c r="L639" t="str">
        <v>JVITER</v>
      </c>
      <c r="M639">
        <v>43963</v>
      </c>
      <c r="N639">
        <v>0.09136574074074</v>
      </c>
      <c r="W639" t="str">
        <v>S01K905677</v>
      </c>
      <c r="Y639">
        <f>IF(Table1[[#This Row],[OPERATION]]="NOTE","NOTE",Table1[[#This Row],[SUB_TYPE]])</f>
        <v>0</v>
      </c>
      <c r="Z639">
        <f>IF(Table1[[#This Row],[OPERATION]]="NOTE",NUMBERVALUE(LEFT(Table1[[#This Row],[MOD_NAME]],LEN(Table1[[#This Row],[MOD_NAME]])-4)),Table1[[#This Row],[SUB_NAME]])</f>
        <v>0</v>
      </c>
      <c r="AA639" t="str">
        <f>CONCAT(Table1[[#This Row],[Final Obj Type]],"|",Table1[[#This Row],[Final Obj Name]])</f>
        <v>0|0</v>
      </c>
      <c r="AB639" t="e">
        <f>VLOOKUP(Table1[[#This Row],[Final Obj Type]],Classification!B:E,3,FALSE)</f>
        <v>#N/A</v>
      </c>
      <c r="AC639" t="e">
        <f>VLOOKUP(Table1[[#This Row],[Final Obj Type]],Classification!B:E,4,FALSE)</f>
        <v>#N/A</v>
      </c>
      <c r="AD639" t="str">
        <f>IF(Table1[[#This Row],[Position 1]]=0,"/0SAP/",MID(Table1[[#This Row],[Final Obj Name]],Table1[[#This Row],[Position 1]],Table1[[#This Row],[Position 2]]-Table1[[#This Row],[Position 1]]+1))</f>
        <v>/0SAP/</v>
      </c>
      <c r="AE639" t="str">
        <f>VLOOKUP(Table1[[#This Row],[/* Object]],Namespace!A:J,10,FALSE)</f>
        <v>SAP AG</v>
      </c>
      <c r="AF639" t="str">
        <f>IF(VLOOKUP(Table1[[#This Row],[/* Object]],Namespace!A:J,4,FALSE)=0,"",VLOOKUP(Table1[[#This Row],[/* Object]],Namespace!A:J,4,FALSE))</f>
        <v>X</v>
      </c>
      <c r="AG639" t="str">
        <f>IF(VLOOKUP(Table1[[#This Row],[/* Object]],Namespace!A:J,5,FALSE)=0,"",VLOOKUP(Table1[[#This Row],[/* Object]],Namespace!A:J,5,FALSE))</f>
        <v>X</v>
      </c>
      <c r="AH639" t="str">
        <f>IF(VLOOKUP(Table1[[#This Row],[/* Object]],Namespace!A:J,6,FALSE)=0,"",VLOOKUP(Table1[[#This Row],[/* Object]],Namespace!A:J,6,FALSE))</f>
        <v/>
      </c>
      <c r="AI639">
        <f>IFERROR(FIND("/",Table1[[#This Row],[Final Obj Name]],1),0)</f>
        <v>0</v>
      </c>
      <c r="AJ639">
        <f>IF(Table1[[#This Row],[Position 1]]=0,0,FIND("/",Table1[[#This Row],[Final Obj Name]],Table1[[#This Row],[Position 1]]+1))</f>
        <v>0</v>
      </c>
      <c r="AK639" t="str">
        <f>IF(LEFT(Table1[[#This Row],[Final Obj Name]],1)="/",LEFT(Table1[[#This Row],[Final Obj Name]],FIND("/",Table1[[#This Row],[Final Obj Name]],2)),"/0SAP/")</f>
        <v>/0SAP/</v>
      </c>
    </row>
    <row r="640">
      <c r="A640" t="str">
        <v>FUGR</v>
      </c>
      <c r="B640" t="str">
        <v>ZFLS_SABRIX_EXITS</v>
      </c>
      <c r="C640" t="str">
        <v>FUNC</v>
      </c>
      <c r="D640" t="str">
        <v>ZIDT_DOWN_PAYMENT_ACTIVE</v>
      </c>
      <c r="E640" t="str">
        <v>FF</v>
      </c>
      <c r="F640" t="str">
        <v>ZIDT_DOWN_PAYMENT_ACTIVE</v>
      </c>
      <c r="G640" t="str">
        <v>MOD</v>
      </c>
      <c r="H640" t="str">
        <v>SAPLZFLS_SABRIX_EXITS</v>
      </c>
      <c r="K640" t="str">
        <v>E</v>
      </c>
      <c r="L640" t="str">
        <v>JVITER</v>
      </c>
      <c r="M640">
        <v>43790</v>
      </c>
      <c r="N640">
        <v>0.20491898148148</v>
      </c>
      <c r="W640" t="str">
        <v>S01K905575</v>
      </c>
      <c r="Y640">
        <f>IF(Table1[[#This Row],[OPERATION]]="NOTE","NOTE",Table1[[#This Row],[SUB_TYPE]])</f>
        <v>0</v>
      </c>
      <c r="Z640">
        <f>IF(Table1[[#This Row],[OPERATION]]="NOTE",NUMBERVALUE(LEFT(Table1[[#This Row],[MOD_NAME]],LEN(Table1[[#This Row],[MOD_NAME]])-4)),Table1[[#This Row],[SUB_NAME]])</f>
        <v>0</v>
      </c>
      <c r="AA640" t="str">
        <f>CONCAT(Table1[[#This Row],[Final Obj Type]],"|",Table1[[#This Row],[Final Obj Name]])</f>
        <v>0|0</v>
      </c>
      <c r="AB640" t="e">
        <f>VLOOKUP(Table1[[#This Row],[Final Obj Type]],Classification!B:E,3,FALSE)</f>
        <v>#N/A</v>
      </c>
      <c r="AC640" t="e">
        <f>VLOOKUP(Table1[[#This Row],[Final Obj Type]],Classification!B:E,4,FALSE)</f>
        <v>#N/A</v>
      </c>
      <c r="AD640" t="str">
        <f>IF(Table1[[#This Row],[Position 1]]=0,"/0SAP/",MID(Table1[[#This Row],[Final Obj Name]],Table1[[#This Row],[Position 1]],Table1[[#This Row],[Position 2]]-Table1[[#This Row],[Position 1]]+1))</f>
        <v>/0SAP/</v>
      </c>
      <c r="AE640" t="str">
        <f>VLOOKUP(Table1[[#This Row],[/* Object]],Namespace!A:J,10,FALSE)</f>
        <v>SAP AG</v>
      </c>
      <c r="AF640" t="str">
        <f>IF(VLOOKUP(Table1[[#This Row],[/* Object]],Namespace!A:J,4,FALSE)=0,"",VLOOKUP(Table1[[#This Row],[/* Object]],Namespace!A:J,4,FALSE))</f>
        <v>X</v>
      </c>
      <c r="AG640" t="str">
        <f>IF(VLOOKUP(Table1[[#This Row],[/* Object]],Namespace!A:J,5,FALSE)=0,"",VLOOKUP(Table1[[#This Row],[/* Object]],Namespace!A:J,5,FALSE))</f>
        <v>X</v>
      </c>
      <c r="AH640" t="str">
        <f>IF(VLOOKUP(Table1[[#This Row],[/* Object]],Namespace!A:J,6,FALSE)=0,"",VLOOKUP(Table1[[#This Row],[/* Object]],Namespace!A:J,6,FALSE))</f>
        <v/>
      </c>
      <c r="AI640">
        <f>IFERROR(FIND("/",Table1[[#This Row],[Final Obj Name]],1),0)</f>
        <v>0</v>
      </c>
      <c r="AJ640">
        <f>IF(Table1[[#This Row],[Position 1]]=0,0,FIND("/",Table1[[#This Row],[Final Obj Name]],Table1[[#This Row],[Position 1]]+1))</f>
        <v>0</v>
      </c>
      <c r="AK640" t="str">
        <f>IF(LEFT(Table1[[#This Row],[Final Obj Name]],1)="/",LEFT(Table1[[#This Row],[Final Obj Name]],FIND("/",Table1[[#This Row],[Final Obj Name]],2)),"/0SAP/")</f>
        <v>/0SAP/</v>
      </c>
    </row>
    <row r="641">
      <c r="A641" t="str">
        <v>FUGR</v>
      </c>
      <c r="B641" t="str">
        <v>ZFLS_SABRIX_EXITS</v>
      </c>
      <c r="C641" t="str">
        <v>FUNC</v>
      </c>
      <c r="D641" t="str">
        <v>ZIDT_IMPORT_PO_ITEM_DETAILS</v>
      </c>
      <c r="G641" t="str">
        <v>ALL</v>
      </c>
      <c r="L641" t="str">
        <v>JVITER</v>
      </c>
      <c r="M641">
        <v>43964</v>
      </c>
      <c r="N641">
        <v>0.09196759259259</v>
      </c>
      <c r="S641" t="str">
        <v>X</v>
      </c>
      <c r="W641" t="str">
        <v>S01K905677</v>
      </c>
      <c r="Y641">
        <f>IF(Table1[[#This Row],[OPERATION]]="NOTE","NOTE",Table1[[#This Row],[SUB_TYPE]])</f>
        <v>0</v>
      </c>
      <c r="Z641">
        <f>IF(Table1[[#This Row],[OPERATION]]="NOTE",NUMBERVALUE(LEFT(Table1[[#This Row],[MOD_NAME]],LEN(Table1[[#This Row],[MOD_NAME]])-4)),Table1[[#This Row],[SUB_NAME]])</f>
        <v>0</v>
      </c>
      <c r="AA641" t="str">
        <f>CONCAT(Table1[[#This Row],[Final Obj Type]],"|",Table1[[#This Row],[Final Obj Name]])</f>
        <v>0|0</v>
      </c>
      <c r="AB641" t="e">
        <f>VLOOKUP(Table1[[#This Row],[Final Obj Type]],Classification!B:E,3,FALSE)</f>
        <v>#N/A</v>
      </c>
      <c r="AC641" t="e">
        <f>VLOOKUP(Table1[[#This Row],[Final Obj Type]],Classification!B:E,4,FALSE)</f>
        <v>#N/A</v>
      </c>
      <c r="AD641" t="str">
        <f>IF(Table1[[#This Row],[Position 1]]=0,"/0SAP/",MID(Table1[[#This Row],[Final Obj Name]],Table1[[#This Row],[Position 1]],Table1[[#This Row],[Position 2]]-Table1[[#This Row],[Position 1]]+1))</f>
        <v>/0SAP/</v>
      </c>
      <c r="AE641" t="str">
        <f>VLOOKUP(Table1[[#This Row],[/* Object]],Namespace!A:J,10,FALSE)</f>
        <v>SAP AG</v>
      </c>
      <c r="AF641" t="str">
        <f>IF(VLOOKUP(Table1[[#This Row],[/* Object]],Namespace!A:J,4,FALSE)=0,"",VLOOKUP(Table1[[#This Row],[/* Object]],Namespace!A:J,4,FALSE))</f>
        <v>X</v>
      </c>
      <c r="AG641" t="str">
        <f>IF(VLOOKUP(Table1[[#This Row],[/* Object]],Namespace!A:J,5,FALSE)=0,"",VLOOKUP(Table1[[#This Row],[/* Object]],Namespace!A:J,5,FALSE))</f>
        <v>X</v>
      </c>
      <c r="AH641" t="str">
        <f>IF(VLOOKUP(Table1[[#This Row],[/* Object]],Namespace!A:J,6,FALSE)=0,"",VLOOKUP(Table1[[#This Row],[/* Object]],Namespace!A:J,6,FALSE))</f>
        <v/>
      </c>
      <c r="AI641">
        <f>IFERROR(FIND("/",Table1[[#This Row],[Final Obj Name]],1),0)</f>
        <v>0</v>
      </c>
      <c r="AJ641">
        <f>IF(Table1[[#This Row],[Position 1]]=0,0,FIND("/",Table1[[#This Row],[Final Obj Name]],Table1[[#This Row],[Position 1]]+1))</f>
        <v>0</v>
      </c>
      <c r="AK641" t="str">
        <f>IF(LEFT(Table1[[#This Row],[Final Obj Name]],1)="/",LEFT(Table1[[#This Row],[Final Obj Name]],FIND("/",Table1[[#This Row],[Final Obj Name]],2)),"/0SAP/")</f>
        <v>/0SAP/</v>
      </c>
    </row>
    <row r="642">
      <c r="A642" t="str">
        <v>FUGR</v>
      </c>
      <c r="B642" t="str">
        <v>ZFLS_SABRIX_EXITS</v>
      </c>
      <c r="C642" t="str">
        <v>FUNC</v>
      </c>
      <c r="D642" t="str">
        <v>ZIDT_IS_ROUTE_ACTIVE</v>
      </c>
      <c r="E642" t="str">
        <v>FF</v>
      </c>
      <c r="F642" t="str">
        <v>ZIDT_IS_ROUTE_ACTIVE</v>
      </c>
      <c r="G642" t="str">
        <v>MOD</v>
      </c>
      <c r="H642" t="str">
        <v>SAPLZFLS_SABRIX_EXITS</v>
      </c>
      <c r="K642" t="str">
        <v>E</v>
      </c>
      <c r="L642" t="str">
        <v>JVITER</v>
      </c>
      <c r="M642">
        <v>43946</v>
      </c>
      <c r="N642">
        <v>0.82395833333333</v>
      </c>
      <c r="W642" t="str">
        <v>S01K905677</v>
      </c>
      <c r="Y642">
        <f>IF(Table1[[#This Row],[OPERATION]]="NOTE","NOTE",Table1[[#This Row],[SUB_TYPE]])</f>
        <v>0</v>
      </c>
      <c r="Z642">
        <f>IF(Table1[[#This Row],[OPERATION]]="NOTE",NUMBERVALUE(LEFT(Table1[[#This Row],[MOD_NAME]],LEN(Table1[[#This Row],[MOD_NAME]])-4)),Table1[[#This Row],[SUB_NAME]])</f>
        <v>0</v>
      </c>
      <c r="AA642" t="str">
        <f>CONCAT(Table1[[#This Row],[Final Obj Type]],"|",Table1[[#This Row],[Final Obj Name]])</f>
        <v>0|0</v>
      </c>
      <c r="AB642" t="e">
        <f>VLOOKUP(Table1[[#This Row],[Final Obj Type]],Classification!B:E,3,FALSE)</f>
        <v>#N/A</v>
      </c>
      <c r="AC642" t="e">
        <f>VLOOKUP(Table1[[#This Row],[Final Obj Type]],Classification!B:E,4,FALSE)</f>
        <v>#N/A</v>
      </c>
      <c r="AD642" t="str">
        <f>IF(Table1[[#This Row],[Position 1]]=0,"/0SAP/",MID(Table1[[#This Row],[Final Obj Name]],Table1[[#This Row],[Position 1]],Table1[[#This Row],[Position 2]]-Table1[[#This Row],[Position 1]]+1))</f>
        <v>/0SAP/</v>
      </c>
      <c r="AE642" t="str">
        <f>VLOOKUP(Table1[[#This Row],[/* Object]],Namespace!A:J,10,FALSE)</f>
        <v>SAP AG</v>
      </c>
      <c r="AF642" t="str">
        <f>IF(VLOOKUP(Table1[[#This Row],[/* Object]],Namespace!A:J,4,FALSE)=0,"",VLOOKUP(Table1[[#This Row],[/* Object]],Namespace!A:J,4,FALSE))</f>
        <v>X</v>
      </c>
      <c r="AG642" t="str">
        <f>IF(VLOOKUP(Table1[[#This Row],[/* Object]],Namespace!A:J,5,FALSE)=0,"",VLOOKUP(Table1[[#This Row],[/* Object]],Namespace!A:J,5,FALSE))</f>
        <v>X</v>
      </c>
      <c r="AH642" t="str">
        <f>IF(VLOOKUP(Table1[[#This Row],[/* Object]],Namespace!A:J,6,FALSE)=0,"",VLOOKUP(Table1[[#This Row],[/* Object]],Namespace!A:J,6,FALSE))</f>
        <v/>
      </c>
      <c r="AI642">
        <f>IFERROR(FIND("/",Table1[[#This Row],[Final Obj Name]],1),0)</f>
        <v>0</v>
      </c>
      <c r="AJ642">
        <f>IF(Table1[[#This Row],[Position 1]]=0,0,FIND("/",Table1[[#This Row],[Final Obj Name]],Table1[[#This Row],[Position 1]]+1))</f>
        <v>0</v>
      </c>
      <c r="AK642" t="str">
        <f>IF(LEFT(Table1[[#This Row],[Final Obj Name]],1)="/",LEFT(Table1[[#This Row],[Final Obj Name]],FIND("/",Table1[[#This Row],[Final Obj Name]],2)),"/0SAP/")</f>
        <v>/0SAP/</v>
      </c>
    </row>
    <row r="643">
      <c r="A643" t="str">
        <v>FUGR</v>
      </c>
      <c r="B643" t="str">
        <v>ZFLS_SABRIX_EXITS</v>
      </c>
      <c r="C643" t="str">
        <v>FUNC</v>
      </c>
      <c r="D643" t="str">
        <v>ZSABRIX_EXPORT_LINE_INFO</v>
      </c>
      <c r="E643" t="str">
        <v>FF</v>
      </c>
      <c r="F643" t="str">
        <v>ZSABRIX_EXPORT_LINE_INFO</v>
      </c>
      <c r="G643" t="str">
        <v>MOD</v>
      </c>
      <c r="H643" t="str">
        <v>SAPLZFLS_SABRIX_EXITS</v>
      </c>
      <c r="K643" t="str">
        <v>E</v>
      </c>
      <c r="L643" t="str">
        <v>JVITER</v>
      </c>
      <c r="M643">
        <v>43963</v>
      </c>
      <c r="N643">
        <v>0.11173611111111</v>
      </c>
      <c r="W643" t="str">
        <v>S01K905677</v>
      </c>
      <c r="Y643">
        <f>IF(Table1[[#This Row],[OPERATION]]="NOTE","NOTE",Table1[[#This Row],[SUB_TYPE]])</f>
        <v>0</v>
      </c>
      <c r="Z643">
        <f>IF(Table1[[#This Row],[OPERATION]]="NOTE",NUMBERVALUE(LEFT(Table1[[#This Row],[MOD_NAME]],LEN(Table1[[#This Row],[MOD_NAME]])-4)),Table1[[#This Row],[SUB_NAME]])</f>
        <v>0</v>
      </c>
      <c r="AA643" t="str">
        <f>CONCAT(Table1[[#This Row],[Final Obj Type]],"|",Table1[[#This Row],[Final Obj Name]])</f>
        <v>0|0</v>
      </c>
      <c r="AB643" t="e">
        <f>VLOOKUP(Table1[[#This Row],[Final Obj Type]],Classification!B:E,3,FALSE)</f>
        <v>#N/A</v>
      </c>
      <c r="AC643" t="e">
        <f>VLOOKUP(Table1[[#This Row],[Final Obj Type]],Classification!B:E,4,FALSE)</f>
        <v>#N/A</v>
      </c>
      <c r="AD643" t="str">
        <f>IF(Table1[[#This Row],[Position 1]]=0,"/0SAP/",MID(Table1[[#This Row],[Final Obj Name]],Table1[[#This Row],[Position 1]],Table1[[#This Row],[Position 2]]-Table1[[#This Row],[Position 1]]+1))</f>
        <v>/0SAP/</v>
      </c>
      <c r="AE643" t="str">
        <f>VLOOKUP(Table1[[#This Row],[/* Object]],Namespace!A:J,10,FALSE)</f>
        <v>SAP AG</v>
      </c>
      <c r="AF643" t="str">
        <f>IF(VLOOKUP(Table1[[#This Row],[/* Object]],Namespace!A:J,4,FALSE)=0,"",VLOOKUP(Table1[[#This Row],[/* Object]],Namespace!A:J,4,FALSE))</f>
        <v>X</v>
      </c>
      <c r="AG643" t="str">
        <f>IF(VLOOKUP(Table1[[#This Row],[/* Object]],Namespace!A:J,5,FALSE)=0,"",VLOOKUP(Table1[[#This Row],[/* Object]],Namespace!A:J,5,FALSE))</f>
        <v>X</v>
      </c>
      <c r="AH643" t="str">
        <f>IF(VLOOKUP(Table1[[#This Row],[/* Object]],Namespace!A:J,6,FALSE)=0,"",VLOOKUP(Table1[[#This Row],[/* Object]],Namespace!A:J,6,FALSE))</f>
        <v/>
      </c>
      <c r="AI643">
        <f>IFERROR(FIND("/",Table1[[#This Row],[Final Obj Name]],1),0)</f>
        <v>0</v>
      </c>
      <c r="AJ643">
        <f>IF(Table1[[#This Row],[Position 1]]=0,0,FIND("/",Table1[[#This Row],[Final Obj Name]],Table1[[#This Row],[Position 1]]+1))</f>
        <v>0</v>
      </c>
      <c r="AK643" t="str">
        <f>IF(LEFT(Table1[[#This Row],[Final Obj Name]],1)="/",LEFT(Table1[[#This Row],[Final Obj Name]],FIND("/",Table1[[#This Row],[Final Obj Name]],2)),"/0SAP/")</f>
        <v>/0SAP/</v>
      </c>
    </row>
    <row r="644">
      <c r="A644" t="str">
        <v>FUGR</v>
      </c>
      <c r="B644" t="str">
        <v>ZFLS_SABRIX_EXITS</v>
      </c>
      <c r="C644" t="str">
        <v>REPS</v>
      </c>
      <c r="D644" t="str">
        <v>LZFLS_SABRIX_EXITSF01</v>
      </c>
      <c r="E644" t="str">
        <v>PU</v>
      </c>
      <c r="F644" t="str">
        <v>FILL_CURR_AMNT_FROM_VIM_ALL</v>
      </c>
      <c r="G644" t="str">
        <v>MOD</v>
      </c>
      <c r="H644" t="str">
        <v>SAPLZFLS_SABRIX_EXITS</v>
      </c>
      <c r="K644" t="str">
        <v>E</v>
      </c>
      <c r="L644" t="str">
        <v>JVITER</v>
      </c>
      <c r="M644">
        <v>43911</v>
      </c>
      <c r="N644">
        <v>0.8599537037037</v>
      </c>
      <c r="W644" t="str">
        <v>S01K905677</v>
      </c>
      <c r="Y644">
        <f>IF(Table1[[#This Row],[OPERATION]]="NOTE","NOTE",Table1[[#This Row],[SUB_TYPE]])</f>
        <v>0</v>
      </c>
      <c r="Z644">
        <f>IF(Table1[[#This Row],[OPERATION]]="NOTE",NUMBERVALUE(LEFT(Table1[[#This Row],[MOD_NAME]],LEN(Table1[[#This Row],[MOD_NAME]])-4)),Table1[[#This Row],[SUB_NAME]])</f>
        <v>0</v>
      </c>
      <c r="AA644" t="str">
        <f>CONCAT(Table1[[#This Row],[Final Obj Type]],"|",Table1[[#This Row],[Final Obj Name]])</f>
        <v>0|0</v>
      </c>
      <c r="AB644" t="e">
        <f>VLOOKUP(Table1[[#This Row],[Final Obj Type]],Classification!B:E,3,FALSE)</f>
        <v>#N/A</v>
      </c>
      <c r="AC644" t="e">
        <f>VLOOKUP(Table1[[#This Row],[Final Obj Type]],Classification!B:E,4,FALSE)</f>
        <v>#N/A</v>
      </c>
      <c r="AD644" t="str">
        <f>IF(Table1[[#This Row],[Position 1]]=0,"/0SAP/",MID(Table1[[#This Row],[Final Obj Name]],Table1[[#This Row],[Position 1]],Table1[[#This Row],[Position 2]]-Table1[[#This Row],[Position 1]]+1))</f>
        <v>/0SAP/</v>
      </c>
      <c r="AE644" t="str">
        <f>VLOOKUP(Table1[[#This Row],[/* Object]],Namespace!A:J,10,FALSE)</f>
        <v>SAP AG</v>
      </c>
      <c r="AF644" t="str">
        <f>IF(VLOOKUP(Table1[[#This Row],[/* Object]],Namespace!A:J,4,FALSE)=0,"",VLOOKUP(Table1[[#This Row],[/* Object]],Namespace!A:J,4,FALSE))</f>
        <v>X</v>
      </c>
      <c r="AG644" t="str">
        <f>IF(VLOOKUP(Table1[[#This Row],[/* Object]],Namespace!A:J,5,FALSE)=0,"",VLOOKUP(Table1[[#This Row],[/* Object]],Namespace!A:J,5,FALSE))</f>
        <v>X</v>
      </c>
      <c r="AH644" t="str">
        <f>IF(VLOOKUP(Table1[[#This Row],[/* Object]],Namespace!A:J,6,FALSE)=0,"",VLOOKUP(Table1[[#This Row],[/* Object]],Namespace!A:J,6,FALSE))</f>
        <v/>
      </c>
      <c r="AI644">
        <f>IFERROR(FIND("/",Table1[[#This Row],[Final Obj Name]],1),0)</f>
        <v>0</v>
      </c>
      <c r="AJ644">
        <f>IF(Table1[[#This Row],[Position 1]]=0,0,FIND("/",Table1[[#This Row],[Final Obj Name]],Table1[[#This Row],[Position 1]]+1))</f>
        <v>0</v>
      </c>
      <c r="AK644" t="str">
        <f>IF(LEFT(Table1[[#This Row],[Final Obj Name]],1)="/",LEFT(Table1[[#This Row],[Final Obj Name]],FIND("/",Table1[[#This Row],[Final Obj Name]],2)),"/0SAP/")</f>
        <v>/0SAP/</v>
      </c>
    </row>
    <row r="645">
      <c r="A645" t="str">
        <v>FUGR</v>
      </c>
      <c r="B645" t="str">
        <v>ZFLS_SABRIX_EXITS</v>
      </c>
      <c r="C645" t="str">
        <v>REPS</v>
      </c>
      <c r="D645" t="str">
        <v>LZFLS_SABRIX_EXITSUXX</v>
      </c>
      <c r="G645" t="str">
        <v>ALL</v>
      </c>
      <c r="L645" t="str">
        <v>JVITER</v>
      </c>
      <c r="M645">
        <v>45833</v>
      </c>
      <c r="N645">
        <v>0.1818287037037</v>
      </c>
      <c r="P645">
        <v>1</v>
      </c>
      <c r="S645" t="str">
        <v>X</v>
      </c>
      <c r="W645" t="str">
        <v>S01K925081</v>
      </c>
      <c r="Y645">
        <f>IF(Table1[[#This Row],[OPERATION]]="NOTE","NOTE",Table1[[#This Row],[SUB_TYPE]])</f>
        <v>0</v>
      </c>
      <c r="Z645">
        <f>IF(Table1[[#This Row],[OPERATION]]="NOTE",NUMBERVALUE(LEFT(Table1[[#This Row],[MOD_NAME]],LEN(Table1[[#This Row],[MOD_NAME]])-4)),Table1[[#This Row],[SUB_NAME]])</f>
        <v>0</v>
      </c>
      <c r="AA645" t="str">
        <f>CONCAT(Table1[[#This Row],[Final Obj Type]],"|",Table1[[#This Row],[Final Obj Name]])</f>
        <v>0|0</v>
      </c>
      <c r="AB645" t="e">
        <f>VLOOKUP(Table1[[#This Row],[Final Obj Type]],Classification!B:E,3,FALSE)</f>
        <v>#N/A</v>
      </c>
      <c r="AC645" t="e">
        <f>VLOOKUP(Table1[[#This Row],[Final Obj Type]],Classification!B:E,4,FALSE)</f>
        <v>#N/A</v>
      </c>
      <c r="AD645" t="str">
        <f>IF(Table1[[#This Row],[Position 1]]=0,"/0SAP/",MID(Table1[[#This Row],[Final Obj Name]],Table1[[#This Row],[Position 1]],Table1[[#This Row],[Position 2]]-Table1[[#This Row],[Position 1]]+1))</f>
        <v>/0SAP/</v>
      </c>
      <c r="AE645" t="str">
        <f>VLOOKUP(Table1[[#This Row],[/* Object]],Namespace!A:J,10,FALSE)</f>
        <v>SAP AG</v>
      </c>
      <c r="AF645" t="str">
        <f>IF(VLOOKUP(Table1[[#This Row],[/* Object]],Namespace!A:J,4,FALSE)=0,"",VLOOKUP(Table1[[#This Row],[/* Object]],Namespace!A:J,4,FALSE))</f>
        <v>X</v>
      </c>
      <c r="AG645" t="str">
        <f>IF(VLOOKUP(Table1[[#This Row],[/* Object]],Namespace!A:J,5,FALSE)=0,"",VLOOKUP(Table1[[#This Row],[/* Object]],Namespace!A:J,5,FALSE))</f>
        <v>X</v>
      </c>
      <c r="AH645" t="str">
        <f>IF(VLOOKUP(Table1[[#This Row],[/* Object]],Namespace!A:J,6,FALSE)=0,"",VLOOKUP(Table1[[#This Row],[/* Object]],Namespace!A:J,6,FALSE))</f>
        <v/>
      </c>
      <c r="AI645">
        <f>IFERROR(FIND("/",Table1[[#This Row],[Final Obj Name]],1),0)</f>
        <v>0</v>
      </c>
      <c r="AJ645">
        <f>IF(Table1[[#This Row],[Position 1]]=0,0,FIND("/",Table1[[#This Row],[Final Obj Name]],Table1[[#This Row],[Position 1]]+1))</f>
        <v>0</v>
      </c>
      <c r="AK645" t="str">
        <f>IF(LEFT(Table1[[#This Row],[Final Obj Name]],1)="/",LEFT(Table1[[#This Row],[Final Obj Name]],FIND("/",Table1[[#This Row],[Final Obj Name]],2)),"/0SAP/")</f>
        <v>/0SAP/</v>
      </c>
    </row>
    <row r="646">
      <c r="A646" t="str">
        <v>FUGR</v>
      </c>
      <c r="B646" t="str">
        <v>ZJH_MAIL</v>
      </c>
      <c r="C646" t="str">
        <v>FUNC</v>
      </c>
      <c r="D646" t="str">
        <v>ZJH_MAIL_USERSTAMM</v>
      </c>
      <c r="E646" t="str">
        <v>DUMY</v>
      </c>
      <c r="G646" t="str">
        <v>ALL</v>
      </c>
      <c r="H646" t="str">
        <v>SAPLZJH_MAIL</v>
      </c>
      <c r="K646" t="str">
        <v>E</v>
      </c>
      <c r="L646" t="str">
        <v>HESS</v>
      </c>
      <c r="M646">
        <v>42698</v>
      </c>
      <c r="N646">
        <v>0.88085648148148</v>
      </c>
      <c r="Y646">
        <f>IF(Table1[[#This Row],[OPERATION]]="NOTE","NOTE",Table1[[#This Row],[SUB_TYPE]])</f>
        <v>0</v>
      </c>
      <c r="Z646">
        <f>IF(Table1[[#This Row],[OPERATION]]="NOTE",NUMBERVALUE(LEFT(Table1[[#This Row],[MOD_NAME]],LEN(Table1[[#This Row],[MOD_NAME]])-4)),Table1[[#This Row],[SUB_NAME]])</f>
        <v>0</v>
      </c>
      <c r="AA646" t="str">
        <f>CONCAT(Table1[[#This Row],[Final Obj Type]],"|",Table1[[#This Row],[Final Obj Name]])</f>
        <v>0|0</v>
      </c>
      <c r="AB646" t="e">
        <f>VLOOKUP(Table1[[#This Row],[Final Obj Type]],Classification!B:E,3,FALSE)</f>
        <v>#N/A</v>
      </c>
      <c r="AC646" t="e">
        <f>VLOOKUP(Table1[[#This Row],[Final Obj Type]],Classification!B:E,4,FALSE)</f>
        <v>#N/A</v>
      </c>
      <c r="AD646" t="str">
        <f>IF(Table1[[#This Row],[Position 1]]=0,"/0SAP/",MID(Table1[[#This Row],[Final Obj Name]],Table1[[#This Row],[Position 1]],Table1[[#This Row],[Position 2]]-Table1[[#This Row],[Position 1]]+1))</f>
        <v>/0SAP/</v>
      </c>
      <c r="AE646" t="str">
        <f>VLOOKUP(Table1[[#This Row],[/* Object]],Namespace!A:J,10,FALSE)</f>
        <v>SAP AG</v>
      </c>
      <c r="AF646" t="str">
        <f>IF(VLOOKUP(Table1[[#This Row],[/* Object]],Namespace!A:J,4,FALSE)=0,"",VLOOKUP(Table1[[#This Row],[/* Object]],Namespace!A:J,4,FALSE))</f>
        <v>X</v>
      </c>
      <c r="AG646" t="str">
        <f>IF(VLOOKUP(Table1[[#This Row],[/* Object]],Namespace!A:J,5,FALSE)=0,"",VLOOKUP(Table1[[#This Row],[/* Object]],Namespace!A:J,5,FALSE))</f>
        <v>X</v>
      </c>
      <c r="AH646" t="str">
        <f>IF(VLOOKUP(Table1[[#This Row],[/* Object]],Namespace!A:J,6,FALSE)=0,"",VLOOKUP(Table1[[#This Row],[/* Object]],Namespace!A:J,6,FALSE))</f>
        <v/>
      </c>
      <c r="AI646">
        <f>IFERROR(FIND("/",Table1[[#This Row],[Final Obj Name]],1),0)</f>
        <v>0</v>
      </c>
      <c r="AJ646">
        <f>IF(Table1[[#This Row],[Position 1]]=0,0,FIND("/",Table1[[#This Row],[Final Obj Name]],Table1[[#This Row],[Position 1]]+1))</f>
        <v>0</v>
      </c>
      <c r="AK646" t="str">
        <f>IF(LEFT(Table1[[#This Row],[Final Obj Name]],1)="/",LEFT(Table1[[#This Row],[Final Obj Name]],FIND("/",Table1[[#This Row],[Final Obj Name]],2)),"/0SAP/")</f>
        <v>/0SAP/</v>
      </c>
    </row>
    <row r="647">
      <c r="A647" t="str">
        <v>FUGR</v>
      </c>
      <c r="B647" t="str">
        <v>ZOPT_FG</v>
      </c>
      <c r="C647" t="str">
        <v>FUNC</v>
      </c>
      <c r="D647" t="str">
        <v>ZOPT_VIM_BDC_DWNP_TRANSL_DATE</v>
      </c>
      <c r="E647" t="str">
        <v>FF</v>
      </c>
      <c r="F647" t="str">
        <v>ZOPT_VIM_BDC_DWNP_TRANSL_DATE</v>
      </c>
      <c r="G647" t="str">
        <v>MOD</v>
      </c>
      <c r="H647" t="str">
        <v>SAPLZOPT_FG</v>
      </c>
      <c r="K647" t="str">
        <v>E</v>
      </c>
      <c r="L647" t="str">
        <v>CST_MEZOVARI</v>
      </c>
      <c r="M647">
        <v>43754</v>
      </c>
      <c r="N647">
        <v>0.51861111111111</v>
      </c>
      <c r="W647" t="str">
        <v>S01K905854</v>
      </c>
      <c r="Y647">
        <f>IF(Table1[[#This Row],[OPERATION]]="NOTE","NOTE",Table1[[#This Row],[SUB_TYPE]])</f>
        <v>0</v>
      </c>
      <c r="Z647">
        <f>IF(Table1[[#This Row],[OPERATION]]="NOTE",NUMBERVALUE(LEFT(Table1[[#This Row],[MOD_NAME]],LEN(Table1[[#This Row],[MOD_NAME]])-4)),Table1[[#This Row],[SUB_NAME]])</f>
        <v>0</v>
      </c>
      <c r="AA647" t="str">
        <f>CONCAT(Table1[[#This Row],[Final Obj Type]],"|",Table1[[#This Row],[Final Obj Name]])</f>
        <v>0|0</v>
      </c>
      <c r="AB647" t="e">
        <f>VLOOKUP(Table1[[#This Row],[Final Obj Type]],Classification!B:E,3,FALSE)</f>
        <v>#N/A</v>
      </c>
      <c r="AC647" t="e">
        <f>VLOOKUP(Table1[[#This Row],[Final Obj Type]],Classification!B:E,4,FALSE)</f>
        <v>#N/A</v>
      </c>
      <c r="AD647" t="str">
        <f>IF(Table1[[#This Row],[Position 1]]=0,"/0SAP/",MID(Table1[[#This Row],[Final Obj Name]],Table1[[#This Row],[Position 1]],Table1[[#This Row],[Position 2]]-Table1[[#This Row],[Position 1]]+1))</f>
        <v>/0SAP/</v>
      </c>
      <c r="AE647" t="str">
        <f>VLOOKUP(Table1[[#This Row],[/* Object]],Namespace!A:J,10,FALSE)</f>
        <v>SAP AG</v>
      </c>
      <c r="AF647" t="str">
        <f>IF(VLOOKUP(Table1[[#This Row],[/* Object]],Namespace!A:J,4,FALSE)=0,"",VLOOKUP(Table1[[#This Row],[/* Object]],Namespace!A:J,4,FALSE))</f>
        <v>X</v>
      </c>
      <c r="AG647" t="str">
        <f>IF(VLOOKUP(Table1[[#This Row],[/* Object]],Namespace!A:J,5,FALSE)=0,"",VLOOKUP(Table1[[#This Row],[/* Object]],Namespace!A:J,5,FALSE))</f>
        <v>X</v>
      </c>
      <c r="AH647" t="str">
        <f>IF(VLOOKUP(Table1[[#This Row],[/* Object]],Namespace!A:J,6,FALSE)=0,"",VLOOKUP(Table1[[#This Row],[/* Object]],Namespace!A:J,6,FALSE))</f>
        <v/>
      </c>
      <c r="AI647">
        <f>IFERROR(FIND("/",Table1[[#This Row],[Final Obj Name]],1),0)</f>
        <v>0</v>
      </c>
      <c r="AJ647">
        <f>IF(Table1[[#This Row],[Position 1]]=0,0,FIND("/",Table1[[#This Row],[Final Obj Name]],Table1[[#This Row],[Position 1]]+1))</f>
        <v>0</v>
      </c>
      <c r="AK647" t="str">
        <f>IF(LEFT(Table1[[#This Row],[Final Obj Name]],1)="/",LEFT(Table1[[#This Row],[Final Obj Name]],FIND("/",Table1[[#This Row],[Final Obj Name]],2)),"/0SAP/")</f>
        <v>/0SAP/</v>
      </c>
    </row>
    <row r="648">
      <c r="A648" t="str">
        <v>FUGR</v>
      </c>
      <c r="B648" t="str">
        <v>ZOPT_FG</v>
      </c>
      <c r="C648" t="str">
        <v>FUNC</v>
      </c>
      <c r="D648" t="str">
        <v>ZOPT_VIM_BDC_TRANSLATION_DATE</v>
      </c>
      <c r="E648" t="str">
        <v>FF</v>
      </c>
      <c r="F648" t="str">
        <v>ZOPT_VIM_BDC_TRANSLATION_DATE</v>
      </c>
      <c r="G648" t="str">
        <v>MOD</v>
      </c>
      <c r="H648" t="str">
        <v>SAPLZOPT_FG</v>
      </c>
      <c r="K648" t="str">
        <v>E</v>
      </c>
      <c r="L648" t="str">
        <v>CST_MEZOVARI</v>
      </c>
      <c r="M648">
        <v>43754</v>
      </c>
      <c r="N648">
        <v>0.51173611111111</v>
      </c>
      <c r="W648" t="str">
        <v>S01K905854</v>
      </c>
      <c r="Y648">
        <f>IF(Table1[[#This Row],[OPERATION]]="NOTE","NOTE",Table1[[#This Row],[SUB_TYPE]])</f>
        <v>0</v>
      </c>
      <c r="Z648">
        <f>IF(Table1[[#This Row],[OPERATION]]="NOTE",NUMBERVALUE(LEFT(Table1[[#This Row],[MOD_NAME]],LEN(Table1[[#This Row],[MOD_NAME]])-4)),Table1[[#This Row],[SUB_NAME]])</f>
        <v>0</v>
      </c>
      <c r="AA648" t="str">
        <f>CONCAT(Table1[[#This Row],[Final Obj Type]],"|",Table1[[#This Row],[Final Obj Name]])</f>
        <v>0|0</v>
      </c>
      <c r="AB648" t="e">
        <f>VLOOKUP(Table1[[#This Row],[Final Obj Type]],Classification!B:E,3,FALSE)</f>
        <v>#N/A</v>
      </c>
      <c r="AC648" t="e">
        <f>VLOOKUP(Table1[[#This Row],[Final Obj Type]],Classification!B:E,4,FALSE)</f>
        <v>#N/A</v>
      </c>
      <c r="AD648" t="str">
        <f>IF(Table1[[#This Row],[Position 1]]=0,"/0SAP/",MID(Table1[[#This Row],[Final Obj Name]],Table1[[#This Row],[Position 1]],Table1[[#This Row],[Position 2]]-Table1[[#This Row],[Position 1]]+1))</f>
        <v>/0SAP/</v>
      </c>
      <c r="AE648" t="str">
        <f>VLOOKUP(Table1[[#This Row],[/* Object]],Namespace!A:J,10,FALSE)</f>
        <v>SAP AG</v>
      </c>
      <c r="AF648" t="str">
        <f>IF(VLOOKUP(Table1[[#This Row],[/* Object]],Namespace!A:J,4,FALSE)=0,"",VLOOKUP(Table1[[#This Row],[/* Object]],Namespace!A:J,4,FALSE))</f>
        <v>X</v>
      </c>
      <c r="AG648" t="str">
        <f>IF(VLOOKUP(Table1[[#This Row],[/* Object]],Namespace!A:J,5,FALSE)=0,"",VLOOKUP(Table1[[#This Row],[/* Object]],Namespace!A:J,5,FALSE))</f>
        <v>X</v>
      </c>
      <c r="AH648" t="str">
        <f>IF(VLOOKUP(Table1[[#This Row],[/* Object]],Namespace!A:J,6,FALSE)=0,"",VLOOKUP(Table1[[#This Row],[/* Object]],Namespace!A:J,6,FALSE))</f>
        <v/>
      </c>
      <c r="AI648">
        <f>IFERROR(FIND("/",Table1[[#This Row],[Final Obj Name]],1),0)</f>
        <v>0</v>
      </c>
      <c r="AJ648">
        <f>IF(Table1[[#This Row],[Position 1]]=0,0,FIND("/",Table1[[#This Row],[Final Obj Name]],Table1[[#This Row],[Position 1]]+1))</f>
        <v>0</v>
      </c>
      <c r="AK648" t="str">
        <f>IF(LEFT(Table1[[#This Row],[Final Obj Name]],1)="/",LEFT(Table1[[#This Row],[Final Obj Name]],FIND("/",Table1[[#This Row],[Final Obj Name]],2)),"/0SAP/")</f>
        <v>/0SAP/</v>
      </c>
    </row>
    <row r="649">
      <c r="A649" t="str">
        <v>FUGR</v>
      </c>
      <c r="B649" t="str">
        <v>ZOPT_FG</v>
      </c>
      <c r="C649" t="str">
        <v>FUNC</v>
      </c>
      <c r="D649" t="str">
        <v>ZOPT_VIM_BL_PAYMENT_TERMS</v>
      </c>
      <c r="E649" t="str">
        <v>FF</v>
      </c>
      <c r="F649" t="str">
        <v>ZOPT_VIM_BL_PAYMENT_TERMS</v>
      </c>
      <c r="G649" t="str">
        <v>MOD</v>
      </c>
      <c r="H649" t="str">
        <v>SAPLZOPT_FG</v>
      </c>
      <c r="K649" t="str">
        <v>E</v>
      </c>
      <c r="L649" t="str">
        <v>CST_MEZOVARI</v>
      </c>
      <c r="M649">
        <v>43734</v>
      </c>
      <c r="N649">
        <v>0.37247685185185</v>
      </c>
      <c r="W649" t="str">
        <v>S01K905742</v>
      </c>
      <c r="Y649">
        <f>IF(Table1[[#This Row],[OPERATION]]="NOTE","NOTE",Table1[[#This Row],[SUB_TYPE]])</f>
        <v>0</v>
      </c>
      <c r="Z649">
        <f>IF(Table1[[#This Row],[OPERATION]]="NOTE",NUMBERVALUE(LEFT(Table1[[#This Row],[MOD_NAME]],LEN(Table1[[#This Row],[MOD_NAME]])-4)),Table1[[#This Row],[SUB_NAME]])</f>
        <v>0</v>
      </c>
      <c r="AA649" t="str">
        <f>CONCAT(Table1[[#This Row],[Final Obj Type]],"|",Table1[[#This Row],[Final Obj Name]])</f>
        <v>0|0</v>
      </c>
      <c r="AB649" t="e">
        <f>VLOOKUP(Table1[[#This Row],[Final Obj Type]],Classification!B:E,3,FALSE)</f>
        <v>#N/A</v>
      </c>
      <c r="AC649" t="e">
        <f>VLOOKUP(Table1[[#This Row],[Final Obj Type]],Classification!B:E,4,FALSE)</f>
        <v>#N/A</v>
      </c>
      <c r="AD649" t="str">
        <f>IF(Table1[[#This Row],[Position 1]]=0,"/0SAP/",MID(Table1[[#This Row],[Final Obj Name]],Table1[[#This Row],[Position 1]],Table1[[#This Row],[Position 2]]-Table1[[#This Row],[Position 1]]+1))</f>
        <v>/0SAP/</v>
      </c>
      <c r="AE649" t="str">
        <f>VLOOKUP(Table1[[#This Row],[/* Object]],Namespace!A:J,10,FALSE)</f>
        <v>SAP AG</v>
      </c>
      <c r="AF649" t="str">
        <f>IF(VLOOKUP(Table1[[#This Row],[/* Object]],Namespace!A:J,4,FALSE)=0,"",VLOOKUP(Table1[[#This Row],[/* Object]],Namespace!A:J,4,FALSE))</f>
        <v>X</v>
      </c>
      <c r="AG649" t="str">
        <f>IF(VLOOKUP(Table1[[#This Row],[/* Object]],Namespace!A:J,5,FALSE)=0,"",VLOOKUP(Table1[[#This Row],[/* Object]],Namespace!A:J,5,FALSE))</f>
        <v>X</v>
      </c>
      <c r="AH649" t="str">
        <f>IF(VLOOKUP(Table1[[#This Row],[/* Object]],Namespace!A:J,6,FALSE)=0,"",VLOOKUP(Table1[[#This Row],[/* Object]],Namespace!A:J,6,FALSE))</f>
        <v/>
      </c>
      <c r="AI649">
        <f>IFERROR(FIND("/",Table1[[#This Row],[Final Obj Name]],1),0)</f>
        <v>0</v>
      </c>
      <c r="AJ649">
        <f>IF(Table1[[#This Row],[Position 1]]=0,0,FIND("/",Table1[[#This Row],[Final Obj Name]],Table1[[#This Row],[Position 1]]+1))</f>
        <v>0</v>
      </c>
      <c r="AK649" t="str">
        <f>IF(LEFT(Table1[[#This Row],[Final Obj Name]],1)="/",LEFT(Table1[[#This Row],[Final Obj Name]],FIND("/",Table1[[#This Row],[Final Obj Name]],2)),"/0SAP/")</f>
        <v>/0SAP/</v>
      </c>
    </row>
    <row r="650">
      <c r="A650" t="str">
        <v>FUGR</v>
      </c>
      <c r="B650" t="str">
        <v>ZOPT_FG</v>
      </c>
      <c r="C650" t="str">
        <v>FUNC</v>
      </c>
      <c r="D650" t="str">
        <v>ZOPT_VIM_DETERMINE_PROC_165</v>
      </c>
      <c r="E650" t="str">
        <v>FF</v>
      </c>
      <c r="F650" t="str">
        <v>ZOPT_VIM_DETERMINE_PROC_165</v>
      </c>
      <c r="G650" t="str">
        <v>MOD</v>
      </c>
      <c r="H650" t="str">
        <v>SAPLZOPT_FG</v>
      </c>
      <c r="K650" t="str">
        <v>E</v>
      </c>
      <c r="L650" t="str">
        <v>CST_DDIENES</v>
      </c>
      <c r="M650">
        <v>43886</v>
      </c>
      <c r="N650">
        <v>0.70605324074074</v>
      </c>
      <c r="W650" t="str">
        <v>S01K906838</v>
      </c>
    </row>
    <row r="651">
      <c r="A651" t="str">
        <v>FUGR</v>
      </c>
      <c r="B651" t="str">
        <v>ZOPT_FG</v>
      </c>
      <c r="C651" t="str">
        <v>FUNC</v>
      </c>
      <c r="D651" t="str">
        <v>ZOPT_VIM_DETERMINE_PROC_905_2</v>
      </c>
      <c r="E651" t="str">
        <v>FF</v>
      </c>
      <c r="F651" t="str">
        <v>ZOPT_VIM_DETERMINE_PROC_905_2</v>
      </c>
      <c r="G651" t="str">
        <v>MOD</v>
      </c>
      <c r="H651" t="str">
        <v>SAPLZOPT_FG</v>
      </c>
      <c r="K651" t="str">
        <v>E</v>
      </c>
      <c r="L651" t="str">
        <v>CST_MEZOVARI</v>
      </c>
      <c r="M651">
        <v>43753</v>
      </c>
      <c r="N651">
        <v>0.32530092592593</v>
      </c>
      <c r="W651" t="str">
        <v>S01K905854</v>
      </c>
    </row>
    <row r="652">
      <c r="A652" t="str">
        <v>FUGR</v>
      </c>
      <c r="B652" t="str">
        <v>ZOPT_FG</v>
      </c>
      <c r="C652" t="str">
        <v>FUNC</v>
      </c>
      <c r="D652" t="str">
        <v>ZOPT_VIM_DETERMINE_PROC_909</v>
      </c>
      <c r="E652" t="str">
        <v>FF</v>
      </c>
      <c r="F652" t="str">
        <v>ZOPT_VIM_DETERMINE_PROC_909</v>
      </c>
      <c r="G652" t="str">
        <v>MOD</v>
      </c>
      <c r="H652" t="str">
        <v>SAPLZOPT_FG</v>
      </c>
      <c r="K652" t="str">
        <v>E</v>
      </c>
      <c r="L652" t="str">
        <v>JVITER</v>
      </c>
      <c r="M652">
        <v>43791</v>
      </c>
      <c r="N652">
        <v>0.29545138888889</v>
      </c>
      <c r="W652" t="str">
        <v>S01K905575</v>
      </c>
    </row>
    <row r="653">
      <c r="A653" t="str">
        <v>FUGR</v>
      </c>
      <c r="B653" t="str">
        <v>ZOPT_FG</v>
      </c>
      <c r="C653" t="str">
        <v>FUNC</v>
      </c>
      <c r="D653" t="str">
        <v>ZOPT_VIM_PO_FORGN_VEND_PAY</v>
      </c>
      <c r="E653" t="str">
        <v>FF</v>
      </c>
      <c r="F653" t="str">
        <v>ZOPT_VIM_PO_FORGN_VEND_PAY</v>
      </c>
      <c r="G653" t="str">
        <v>MOD</v>
      </c>
      <c r="H653" t="str">
        <v>SAPLZOPT_FG</v>
      </c>
      <c r="K653" t="str">
        <v>E</v>
      </c>
      <c r="L653" t="str">
        <v>CST_MEZOVARI</v>
      </c>
      <c r="M653">
        <v>44293</v>
      </c>
      <c r="N653">
        <v>0.50597222222222</v>
      </c>
      <c r="W653" t="str">
        <v>S01K911720</v>
      </c>
    </row>
    <row r="654">
      <c r="A654" t="str">
        <v>FUGR</v>
      </c>
      <c r="B654" t="str">
        <v>ZOPT_FG</v>
      </c>
      <c r="C654" t="str">
        <v>FUNC</v>
      </c>
      <c r="D654" t="str">
        <v>ZOPT_VIM_PREPROCESS_NEW_3</v>
      </c>
      <c r="E654" t="str">
        <v>FF</v>
      </c>
      <c r="F654" t="str">
        <v>ZOPT_VIM_PREPROCESS_NEW_3</v>
      </c>
      <c r="G654" t="str">
        <v>MOD</v>
      </c>
      <c r="H654" t="str">
        <v>SAPLZOPT_FG</v>
      </c>
      <c r="K654" t="str">
        <v>E</v>
      </c>
      <c r="L654" t="str">
        <v>CST_DDIENES</v>
      </c>
      <c r="M654">
        <v>43875</v>
      </c>
      <c r="N654">
        <v>0.60042824074074</v>
      </c>
      <c r="W654" t="str">
        <v>S01K906852</v>
      </c>
    </row>
    <row r="655">
      <c r="A655" t="str">
        <v>FUGR</v>
      </c>
      <c r="B655" t="str">
        <v>ZOPT_FG</v>
      </c>
      <c r="C655" t="str">
        <v>FUNC</v>
      </c>
      <c r="D655" t="str">
        <v>ZOPT_VIM_SCREEN_EXIT_HU</v>
      </c>
      <c r="E655" t="str">
        <v>FF</v>
      </c>
      <c r="F655" t="str">
        <v>ZOPT_VIM_SCREEN_EXIT_HU</v>
      </c>
      <c r="G655" t="str">
        <v>MOD</v>
      </c>
      <c r="H655" t="str">
        <v>SAPLZOPT_FG</v>
      </c>
      <c r="K655" t="str">
        <v>E</v>
      </c>
      <c r="L655" t="str">
        <v>CST_MEZOVARI</v>
      </c>
      <c r="M655">
        <v>43775</v>
      </c>
      <c r="N655">
        <v>0.65381944444444</v>
      </c>
      <c r="W655" t="str">
        <v>S01K905854</v>
      </c>
    </row>
    <row r="656">
      <c r="A656" t="str">
        <v>FUGR</v>
      </c>
      <c r="B656" t="str">
        <v>ZOPT_FG</v>
      </c>
      <c r="C656" t="str">
        <v>REPS</v>
      </c>
      <c r="D656" t="str">
        <v>LZOPT_FGUXX</v>
      </c>
      <c r="G656" t="str">
        <v>ALL</v>
      </c>
      <c r="L656" t="str">
        <v>CST_MEZOVARI</v>
      </c>
      <c r="M656">
        <v>43775</v>
      </c>
      <c r="N656">
        <v>0.43795138888889</v>
      </c>
      <c r="P656">
        <v>1</v>
      </c>
      <c r="S656" t="str">
        <v>X</v>
      </c>
      <c r="W656" t="str">
        <v>S01K905854</v>
      </c>
    </row>
    <row r="657">
      <c r="A657" t="str">
        <v>FUGR</v>
      </c>
      <c r="B657" t="str">
        <v>ZOPT_FG_4</v>
      </c>
      <c r="C657" t="str">
        <v>REPS</v>
      </c>
      <c r="D657" t="str">
        <v>LZOPT_FG_4UXX</v>
      </c>
      <c r="G657" t="str">
        <v>ALL</v>
      </c>
      <c r="L657" t="str">
        <v>CST_DDIENES</v>
      </c>
      <c r="M657">
        <v>44713</v>
      </c>
      <c r="N657">
        <v>0.61211805555556</v>
      </c>
      <c r="P657">
        <v>1</v>
      </c>
      <c r="S657" t="str">
        <v>X</v>
      </c>
    </row>
    <row r="658">
      <c r="A658" t="str">
        <v>FUGR</v>
      </c>
      <c r="B658" t="str">
        <v>ZOPT_FG_NPO</v>
      </c>
      <c r="C658" t="str">
        <v>FUNC</v>
      </c>
      <c r="D658" t="str">
        <v>ZOPT_DNONPO_INVOICE_BAPI_EXIT</v>
      </c>
      <c r="E658" t="str">
        <v>FF</v>
      </c>
      <c r="F658" t="str">
        <v>ZOPT_DNONPO_INVOICE_BAPI_EXIT</v>
      </c>
      <c r="G658" t="str">
        <v>MOD</v>
      </c>
      <c r="H658" t="str">
        <v>SAPLZOPT_FG_NPO</v>
      </c>
      <c r="K658" t="str">
        <v>E</v>
      </c>
      <c r="L658" t="str">
        <v>CST_MEZOVARI</v>
      </c>
      <c r="M658">
        <v>43753</v>
      </c>
      <c r="N658">
        <v>0.49109953703704</v>
      </c>
      <c r="W658" t="str">
        <v>SP1K902491</v>
      </c>
    </row>
    <row r="659">
      <c r="A659" t="str">
        <v>FUGR</v>
      </c>
      <c r="B659" t="str">
        <v>ZOPT_VIM_IDX_UI</v>
      </c>
      <c r="C659" t="str">
        <v>DYNP</v>
      </c>
      <c r="D659" t="str">
        <v>SAPLZOPT_VIM_IDX_UI                     1100</v>
      </c>
      <c r="E659" t="str">
        <v>DYNP</v>
      </c>
      <c r="G659" t="str">
        <v>ALL</v>
      </c>
      <c r="H659" t="str">
        <v>SAPLZOPT_VIM_IDX_UI</v>
      </c>
      <c r="K659" t="str">
        <v>E</v>
      </c>
      <c r="L659" t="str">
        <v>CST_MEZOVARI</v>
      </c>
      <c r="M659">
        <v>43767</v>
      </c>
      <c r="N659">
        <v>0.57636574074074</v>
      </c>
      <c r="W659" t="str">
        <v>S01K906024</v>
      </c>
    </row>
    <row r="660">
      <c r="A660" t="str">
        <v>FUGR</v>
      </c>
      <c r="B660" t="str">
        <v>ZOPT_VIM_IDX_UI</v>
      </c>
      <c r="C660" t="str">
        <v>DYNP</v>
      </c>
      <c r="D660" t="str">
        <v>SAPLZOPT_VIM_IDX_UI                     1100</v>
      </c>
      <c r="E660" t="str">
        <v>MODL</v>
      </c>
      <c r="F660" t="str">
        <v>PAI</v>
      </c>
      <c r="G660" t="str">
        <v>MOD</v>
      </c>
      <c r="H660" t="str">
        <v>SAPLZOPT_VIM_IDX_UI</v>
      </c>
      <c r="K660" t="str">
        <v>E</v>
      </c>
      <c r="L660" t="str">
        <v>CST_MEZOVARI</v>
      </c>
      <c r="M660">
        <v>43767</v>
      </c>
      <c r="N660">
        <v>0.57636574074074</v>
      </c>
      <c r="W660" t="str">
        <v>S01K906024</v>
      </c>
    </row>
    <row r="661">
      <c r="A661" t="str">
        <v>FUGR</v>
      </c>
      <c r="B661" t="str">
        <v>ZOPT_VIM_IDX_UI</v>
      </c>
      <c r="C661" t="str">
        <v>DYNP</v>
      </c>
      <c r="D661" t="str">
        <v>SAPLZOPT_VIM_IDX_UI                     1210</v>
      </c>
      <c r="E661" t="str">
        <v>DYNP</v>
      </c>
      <c r="G661" t="str">
        <v>ALL</v>
      </c>
      <c r="H661" t="str">
        <v>SAPLZOPT_VIM_IDX_UI</v>
      </c>
      <c r="K661" t="str">
        <v>E</v>
      </c>
      <c r="L661" t="str">
        <v>CST_MEZOVARI</v>
      </c>
      <c r="M661">
        <v>43754</v>
      </c>
      <c r="N661">
        <v>0.49011574074074</v>
      </c>
      <c r="W661" t="str">
        <v>S01K905854</v>
      </c>
    </row>
    <row r="662">
      <c r="A662" t="str">
        <v>FUGR</v>
      </c>
      <c r="B662" t="str">
        <v>ZOPT_VIM_IDX_UI</v>
      </c>
      <c r="C662" t="str">
        <v>DYNP</v>
      </c>
      <c r="D662" t="str">
        <v>SAPLZOPT_VIM_IDX_UI                     1300</v>
      </c>
      <c r="E662" t="str">
        <v>DYNP</v>
      </c>
      <c r="G662" t="str">
        <v>ALL</v>
      </c>
      <c r="H662" t="str">
        <v>SAPLZOPT_VIM_IDX_UI</v>
      </c>
      <c r="K662" t="str">
        <v>E</v>
      </c>
      <c r="L662" t="str">
        <v>CST_MEZOVARI</v>
      </c>
      <c r="M662">
        <v>43767</v>
      </c>
      <c r="N662">
        <v>0.57686342592593</v>
      </c>
      <c r="W662" t="str">
        <v>S01K906024</v>
      </c>
    </row>
    <row r="663">
      <c r="A663" t="str">
        <v>FUGR</v>
      </c>
      <c r="B663" t="str">
        <v>ZOPT_VIM_IDX_UI</v>
      </c>
      <c r="C663" t="str">
        <v>DYNP</v>
      </c>
      <c r="D663" t="str">
        <v>SAPLZOPT_VIM_IDX_UI                     1300</v>
      </c>
      <c r="E663" t="str">
        <v>MODL</v>
      </c>
      <c r="F663" t="str">
        <v>PAI</v>
      </c>
      <c r="G663" t="str">
        <v>MOD</v>
      </c>
      <c r="H663" t="str">
        <v>SAPLZOPT_VIM_IDX_UI</v>
      </c>
      <c r="K663" t="str">
        <v>E</v>
      </c>
      <c r="L663" t="str">
        <v>CST_MEZOVARI</v>
      </c>
      <c r="M663">
        <v>43767</v>
      </c>
      <c r="N663">
        <v>0.57686342592593</v>
      </c>
      <c r="W663" t="str">
        <v>S01K906024</v>
      </c>
    </row>
    <row r="664">
      <c r="A664" t="str">
        <v>FUGR</v>
      </c>
      <c r="B664" t="str">
        <v>ZOPT_VIM_IDX_UI</v>
      </c>
      <c r="C664" t="str">
        <v>REPS</v>
      </c>
      <c r="D664" t="str">
        <v>LZOPT_VIM_IDX_UIO01</v>
      </c>
      <c r="E664" t="str">
        <v>PO</v>
      </c>
      <c r="F664" t="str">
        <v>PBO_1000</v>
      </c>
      <c r="G664" t="str">
        <v>MOD</v>
      </c>
      <c r="H664" t="str">
        <v>SAPLZOPT_VIM_IDX_UI</v>
      </c>
      <c r="K664" t="str">
        <v>E</v>
      </c>
      <c r="L664" t="str">
        <v>CST_MEZOVARI</v>
      </c>
      <c r="M664">
        <v>43651</v>
      </c>
      <c r="N664">
        <v>0.33989583333333</v>
      </c>
      <c r="W664" t="str">
        <v>S01K905244</v>
      </c>
    </row>
    <row r="665">
      <c r="A665" t="str">
        <v>FUGR</v>
      </c>
      <c r="B665" t="str">
        <v>ZOTC_OUTPUT</v>
      </c>
      <c r="C665" t="str">
        <v>FUGR</v>
      </c>
      <c r="D665" t="str">
        <v>ZOTC_OUTPUT</v>
      </c>
      <c r="G665" t="str">
        <v>ALL</v>
      </c>
      <c r="L665" t="str">
        <v>CST_IROHIT</v>
      </c>
      <c r="M665">
        <v>44448</v>
      </c>
      <c r="N665">
        <v>0.60537037037037</v>
      </c>
      <c r="S665" t="str">
        <v>X</v>
      </c>
      <c r="W665" t="str">
        <v>S01K912713</v>
      </c>
    </row>
    <row r="666">
      <c r="A666" t="str">
        <v>FUGR</v>
      </c>
      <c r="B666" t="str">
        <v>ZPM_EIS_OUTBOUND</v>
      </c>
      <c r="C666" t="str">
        <v>REPS</v>
      </c>
      <c r="D666" t="str">
        <v>LZPM_EIS_OUTBOUNDUXX</v>
      </c>
      <c r="G666" t="str">
        <v>ALL</v>
      </c>
      <c r="L666">
        <v>50116557</v>
      </c>
      <c r="M666">
        <v>45209</v>
      </c>
      <c r="N666">
        <v>0.41484953703704</v>
      </c>
      <c r="P666">
        <v>1</v>
      </c>
      <c r="S666" t="str">
        <v>X</v>
      </c>
      <c r="W666" t="str">
        <v>S01K918962</v>
      </c>
    </row>
    <row r="667">
      <c r="A667" t="str">
        <v>FUGR</v>
      </c>
      <c r="B667" t="str">
        <v>ZPM_INT_AMP</v>
      </c>
      <c r="C667" t="str">
        <v>FUNC</v>
      </c>
      <c r="D667" t="str">
        <v>ZAIF_STR_AMP_CREATE_SUB_ORDER</v>
      </c>
      <c r="E667" t="str">
        <v>FF</v>
      </c>
      <c r="F667" t="str">
        <v>ZAIF_STR_AMP_CREATE_SUB_ORDER</v>
      </c>
      <c r="G667" t="str">
        <v>MOD</v>
      </c>
      <c r="H667" t="str">
        <v>SAPLZPM_INT_AMP</v>
      </c>
      <c r="K667" t="str">
        <v>E</v>
      </c>
      <c r="L667" t="str">
        <v>CST_SOURYA</v>
      </c>
      <c r="M667">
        <v>46017</v>
      </c>
      <c r="N667">
        <v>0.58608796296296</v>
      </c>
      <c r="W667" t="str">
        <v>S01K927654</v>
      </c>
    </row>
    <row r="668">
      <c r="A668" t="str">
        <v>FUGR</v>
      </c>
      <c r="B668" t="str">
        <v>ZPTM_FG_QLOT</v>
      </c>
      <c r="C668" t="str">
        <v>FUGR</v>
      </c>
      <c r="D668" t="str">
        <v>ZPTM_FG_QLOT</v>
      </c>
      <c r="G668" t="str">
        <v>ALL</v>
      </c>
      <c r="L668" t="str">
        <v>NIM</v>
      </c>
      <c r="M668">
        <v>45741</v>
      </c>
      <c r="N668">
        <v>0.52207175925926</v>
      </c>
      <c r="S668" t="str">
        <v>X</v>
      </c>
      <c r="W668" t="str">
        <v>S01K924202</v>
      </c>
    </row>
    <row r="669">
      <c r="A669" t="str">
        <v>FUGR</v>
      </c>
      <c r="B669" t="str">
        <v>ZPTM_INSP_PLAN</v>
      </c>
      <c r="C669" t="str">
        <v>FUGR</v>
      </c>
      <c r="D669" t="str">
        <v>ZPTM_INSP_PLAN</v>
      </c>
      <c r="G669" t="str">
        <v>ALL</v>
      </c>
      <c r="L669">
        <v>50116387</v>
      </c>
      <c r="M669">
        <v>45145</v>
      </c>
      <c r="N669">
        <v>0.46796296296296</v>
      </c>
      <c r="S669" t="str">
        <v>X</v>
      </c>
      <c r="W669" t="str">
        <v>S01K917348</v>
      </c>
    </row>
    <row r="670">
      <c r="A670" t="str">
        <v>FUGR</v>
      </c>
      <c r="B670" t="str">
        <v>ZRTR_MX_CFDI_IDOC</v>
      </c>
      <c r="C670" t="str">
        <v>FUNC</v>
      </c>
      <c r="D670" t="str">
        <v>ZIDOC_OUTPUT_SHPMNT_CP</v>
      </c>
      <c r="G670" t="str">
        <v>ALL</v>
      </c>
      <c r="L670" t="str">
        <v>CST_BSOLAIMA</v>
      </c>
      <c r="M670">
        <v>45234</v>
      </c>
      <c r="N670">
        <v>0.69885416666667</v>
      </c>
      <c r="P670" t="str">
        <v>R</v>
      </c>
      <c r="S670" t="str">
        <v>X</v>
      </c>
      <c r="V670" t="str">
        <v>X</v>
      </c>
    </row>
    <row r="671">
      <c r="A671" t="str">
        <v>FUGR</v>
      </c>
      <c r="B671" t="str">
        <v>ZSPTP_EMAIL_CONF</v>
      </c>
      <c r="C671" t="str">
        <v>FUGR</v>
      </c>
      <c r="D671" t="str">
        <v>ZSPTP_EMAIL_CONF</v>
      </c>
      <c r="G671" t="str">
        <v>ALL</v>
      </c>
      <c r="L671" t="str">
        <v>CST_IROHIT</v>
      </c>
      <c r="M671">
        <v>44245</v>
      </c>
      <c r="N671">
        <v>0.75394675925926</v>
      </c>
      <c r="S671" t="str">
        <v>X</v>
      </c>
      <c r="W671" t="str">
        <v>S01K911206</v>
      </c>
    </row>
    <row r="672">
      <c r="A672" t="str">
        <v>FUGR</v>
      </c>
      <c r="B672" t="str">
        <v>ZUSERDATA</v>
      </c>
      <c r="C672" t="str">
        <v>FUGR</v>
      </c>
      <c r="D672" t="str">
        <v>ZUSERDATA</v>
      </c>
      <c r="G672" t="str">
        <v>ALL</v>
      </c>
      <c r="L672" t="str">
        <v>CST_TAKSOY</v>
      </c>
      <c r="M672">
        <v>45985</v>
      </c>
      <c r="N672">
        <v>0.3734837962963</v>
      </c>
      <c r="S672" t="str">
        <v>X</v>
      </c>
      <c r="W672" t="str">
        <v>SP1K960087</v>
      </c>
    </row>
    <row r="673">
      <c r="A673" t="str">
        <v>FUGR</v>
      </c>
      <c r="B673" t="str">
        <v>Z_FSCM</v>
      </c>
      <c r="C673" t="str">
        <v>FUNC</v>
      </c>
      <c r="D673" t="str">
        <v>Z_FSCM_AMOUNT_DISPUTE_CASE</v>
      </c>
      <c r="G673" t="str">
        <v>ALL</v>
      </c>
      <c r="L673" t="str">
        <v>HMAISCH</v>
      </c>
      <c r="M673">
        <v>43801</v>
      </c>
      <c r="N673">
        <v>0.87591435185185</v>
      </c>
      <c r="P673" t="str">
        <v>R</v>
      </c>
      <c r="S673" t="str">
        <v>X</v>
      </c>
      <c r="W673" t="str">
        <v>SP1K904618</v>
      </c>
    </row>
    <row r="674">
      <c r="A674" t="str">
        <v>FUGR</v>
      </c>
      <c r="B674" t="str">
        <v>Z_INTF_IDOC</v>
      </c>
      <c r="C674" t="str">
        <v>FUNC</v>
      </c>
      <c r="D674" t="str">
        <v>ZMM_INTF_PO_GR_IDOC</v>
      </c>
      <c r="E674" t="str">
        <v>FF</v>
      </c>
      <c r="F674" t="str">
        <v>ZMM_INTF_PO_GR_IDOC</v>
      </c>
      <c r="G674" t="str">
        <v>MOD</v>
      </c>
      <c r="H674" t="str">
        <v>SAPLZ_INTF_IDOC</v>
      </c>
      <c r="K674" t="str">
        <v>E</v>
      </c>
      <c r="L674">
        <v>50076206</v>
      </c>
      <c r="M674">
        <v>44144</v>
      </c>
      <c r="N674">
        <v>0.73045138888889</v>
      </c>
      <c r="W674" t="str">
        <v>S01K908612</v>
      </c>
    </row>
    <row r="675">
      <c r="A675" t="str">
        <v>FUGR</v>
      </c>
      <c r="B675" t="str">
        <v>Z_INTF_IDOC</v>
      </c>
      <c r="C675" t="str">
        <v>REPS</v>
      </c>
      <c r="D675" t="str">
        <v>LZ_INTF_IDOCUXX</v>
      </c>
      <c r="G675" t="str">
        <v>ALL</v>
      </c>
      <c r="L675" t="str">
        <v>SHESRAJ</v>
      </c>
      <c r="M675">
        <v>43696</v>
      </c>
      <c r="N675">
        <v>0.52996527777778</v>
      </c>
      <c r="P675">
        <v>1</v>
      </c>
      <c r="S675" t="str">
        <v>X</v>
      </c>
      <c r="W675" t="str">
        <v>S01K905360</v>
      </c>
    </row>
    <row r="676">
      <c r="A676" t="str">
        <v>FUGR</v>
      </c>
      <c r="B676" t="str">
        <v>Z_PTM_WINDCHILL</v>
      </c>
      <c r="C676" t="str">
        <v>FUGR</v>
      </c>
      <c r="D676" t="str">
        <v>Z_PTM_WINDCHILL</v>
      </c>
      <c r="G676" t="str">
        <v>ALL</v>
      </c>
      <c r="L676">
        <v>50117141</v>
      </c>
      <c r="M676">
        <v>45481</v>
      </c>
      <c r="N676">
        <v>0.22880787037037</v>
      </c>
      <c r="S676" t="str">
        <v>X</v>
      </c>
      <c r="W676" t="str">
        <v>S01K921189</v>
      </c>
    </row>
    <row r="677">
      <c r="A677" t="str">
        <v>FUGR</v>
      </c>
      <c r="B677" t="str">
        <v>Z_PTP_ASN_RECEIVE_APP</v>
      </c>
      <c r="C677" t="str">
        <v>FUGT</v>
      </c>
      <c r="D677" t="str">
        <v>Z_PTP_ASN_RECEIVE_APP</v>
      </c>
      <c r="G677" t="str">
        <v>ALL</v>
      </c>
      <c r="L677">
        <v>50116557</v>
      </c>
      <c r="M677">
        <v>45100</v>
      </c>
      <c r="N677">
        <v>0.4984375</v>
      </c>
      <c r="S677" t="str">
        <v>X</v>
      </c>
      <c r="W677" t="str">
        <v>S01K916738</v>
      </c>
    </row>
    <row r="678">
      <c r="A678" t="str">
        <v>FUGR</v>
      </c>
      <c r="B678" t="str">
        <v>Z_PTP_ASN_RECEIVE_APP</v>
      </c>
      <c r="C678" t="str">
        <v>REPS</v>
      </c>
      <c r="D678" t="str">
        <v>SAPLZ_PTP_ASN_RECEIVE_APP</v>
      </c>
      <c r="G678" t="str">
        <v>ALL</v>
      </c>
      <c r="L678">
        <v>50116557</v>
      </c>
      <c r="M678">
        <v>45100</v>
      </c>
      <c r="N678">
        <v>0.4977662037037</v>
      </c>
      <c r="S678" t="str">
        <v>X</v>
      </c>
      <c r="W678" t="str">
        <v>S01K916738</v>
      </c>
    </row>
    <row r="679">
      <c r="A679" t="str">
        <v>IWMO</v>
      </c>
      <c r="B679" t="str">
        <v>ZC_R001_SO_OPEN_01_CDS          0001</v>
      </c>
      <c r="C679" t="str">
        <v>IWMO</v>
      </c>
      <c r="D679" t="str">
        <v>ZC_R001_SO_OPEN_01_CDS          0001</v>
      </c>
      <c r="G679" t="str">
        <v>ALL</v>
      </c>
      <c r="L679" t="str">
        <v>CST_CHINMAY</v>
      </c>
      <c r="M679">
        <v>45993</v>
      </c>
      <c r="N679">
        <v>0.52748842592593</v>
      </c>
      <c r="S679" t="str">
        <v>X</v>
      </c>
      <c r="W679" t="str">
        <v>S01K927312</v>
      </c>
    </row>
    <row r="680">
      <c r="A680" t="str">
        <v>IWMO</v>
      </c>
      <c r="B680" t="str">
        <v>ZC_R001_SO_OPEN_CDS             0001</v>
      </c>
      <c r="C680" t="str">
        <v>IWMO</v>
      </c>
      <c r="D680" t="str">
        <v>ZC_R001_SO_OPEN_CDS             0001</v>
      </c>
      <c r="G680" t="str">
        <v>ALL</v>
      </c>
      <c r="L680" t="str">
        <v>CST_CHINMAY</v>
      </c>
      <c r="M680">
        <v>45861</v>
      </c>
      <c r="N680">
        <v>0.71572916666667</v>
      </c>
      <c r="S680" t="str">
        <v>X</v>
      </c>
      <c r="W680" t="str">
        <v>S01K925239</v>
      </c>
    </row>
    <row r="681">
      <c r="A681" t="str">
        <v>IWMO</v>
      </c>
      <c r="B681" t="str">
        <v>ZOTC_OPEN_SO_DELIVERY_CDS       0001</v>
      </c>
      <c r="C681" t="str">
        <v>IWMO</v>
      </c>
      <c r="D681" t="str">
        <v>ZOTC_OPEN_SO_DELIVERY_CDS       0001</v>
      </c>
      <c r="G681" t="str">
        <v>ALL</v>
      </c>
      <c r="L681" t="str">
        <v>CST_CHINMAY</v>
      </c>
      <c r="M681">
        <v>46002</v>
      </c>
      <c r="N681">
        <v>0.75488425925926</v>
      </c>
      <c r="S681" t="str">
        <v>X</v>
      </c>
      <c r="W681" t="str">
        <v>S01K927283</v>
      </c>
    </row>
    <row r="682">
      <c r="A682" t="str">
        <v>IWMO</v>
      </c>
      <c r="B682" t="str">
        <v>ZOTC_SALES_ORDER_DELIVERY_CDS   0001</v>
      </c>
      <c r="C682" t="str">
        <v>IWMO</v>
      </c>
      <c r="D682" t="str">
        <v>ZOTC_SALES_ORDER_DELIVERY_CDS   0001</v>
      </c>
      <c r="G682" t="str">
        <v>ALL</v>
      </c>
      <c r="L682" t="str">
        <v>CST_CHINMAY</v>
      </c>
      <c r="M682">
        <v>45993</v>
      </c>
      <c r="N682">
        <v>0.52608796296296</v>
      </c>
      <c r="S682" t="str">
        <v>X</v>
      </c>
      <c r="W682" t="str">
        <v>S01K927312</v>
      </c>
    </row>
    <row r="683">
      <c r="A683" t="str">
        <v>IWMO</v>
      </c>
      <c r="B683" t="str">
        <v>ZSDCDS_CV_SALES_BOOKINGS_CDS    0001</v>
      </c>
      <c r="C683" t="str">
        <v>IWMO</v>
      </c>
      <c r="D683" t="str">
        <v>ZSDCDS_CV_SALES_BOOKINGS_CDS    0001</v>
      </c>
      <c r="G683" t="str">
        <v>ALL</v>
      </c>
      <c r="L683" t="str">
        <v>CST_CHINMAY</v>
      </c>
      <c r="M683">
        <v>45993</v>
      </c>
      <c r="N683">
        <v>0.52164351851852</v>
      </c>
      <c r="S683" t="str">
        <v>X</v>
      </c>
      <c r="W683" t="str">
        <v>S01K927312</v>
      </c>
    </row>
    <row r="684">
      <c r="A684" t="str">
        <v>IWMO</v>
      </c>
      <c r="B684" t="str">
        <v>ZSSTRCDS_REPAIR_CYCLE_CDS       0001</v>
      </c>
      <c r="C684" t="str">
        <v>IWMO</v>
      </c>
      <c r="D684" t="str">
        <v>ZSSTRCDS_REPAIR_CYCLE_CDS       0001</v>
      </c>
      <c r="G684" t="str">
        <v>ALL</v>
      </c>
      <c r="L684" t="str">
        <v>CST_SPHALAKE</v>
      </c>
      <c r="M684">
        <v>45988</v>
      </c>
      <c r="N684">
        <v>0.43244212962963</v>
      </c>
      <c r="S684" t="str">
        <v>X</v>
      </c>
      <c r="W684" t="str">
        <v>S01K927141</v>
      </c>
    </row>
    <row r="685">
      <c r="A685" t="str">
        <v>IWSG</v>
      </c>
      <c r="B685" t="str">
        <v>ZPTP_ASN_RECEIVE_APP_SRV_0001</v>
      </c>
      <c r="C685" t="str">
        <v>IWSG</v>
      </c>
      <c r="D685" t="str">
        <v>ZPTP_ASN_RECEIVE_APP_SRV_0001</v>
      </c>
      <c r="G685" t="str">
        <v>ALL</v>
      </c>
      <c r="L685">
        <v>50116557</v>
      </c>
      <c r="M685">
        <v>45100</v>
      </c>
      <c r="N685">
        <v>0.42664351851852</v>
      </c>
      <c r="S685" t="str">
        <v>X</v>
      </c>
      <c r="W685" t="str">
        <v>S01K916738</v>
      </c>
    </row>
    <row r="686">
      <c r="A686" t="str">
        <v>IWSG</v>
      </c>
      <c r="B686" t="str">
        <v>ZUDMO_MANAGE_DISPUTES_SRV_0001</v>
      </c>
      <c r="C686" t="str">
        <v>IWSG</v>
      </c>
      <c r="D686" t="str">
        <v>ZUDMO_MANAGE_DISPUTES_SRV_0001</v>
      </c>
      <c r="G686" t="str">
        <v>ALL</v>
      </c>
      <c r="L686" t="str">
        <v>RAKGUNDA</v>
      </c>
      <c r="M686">
        <v>44384</v>
      </c>
      <c r="N686">
        <v>0.44260416666667</v>
      </c>
      <c r="S686" t="str">
        <v>X</v>
      </c>
      <c r="W686" t="str">
        <v>SP1K922009</v>
      </c>
    </row>
    <row r="687">
      <c r="A687" t="str">
        <v>IWSV</v>
      </c>
      <c r="B687" t="str">
        <v>ZC_R001_SO_OPEN_01_CDS             0001</v>
      </c>
      <c r="C687" t="str">
        <v>IWSV</v>
      </c>
      <c r="D687" t="str">
        <v>ZC_R001_SO_OPEN_01_CDS             0001</v>
      </c>
      <c r="G687" t="str">
        <v>ALL</v>
      </c>
      <c r="L687" t="str">
        <v>CST_CHINMAY</v>
      </c>
      <c r="M687">
        <v>45993</v>
      </c>
      <c r="N687">
        <v>0.52748842592593</v>
      </c>
      <c r="S687" t="str">
        <v>X</v>
      </c>
      <c r="W687" t="str">
        <v>S01K927312</v>
      </c>
    </row>
    <row r="688">
      <c r="A688" t="str">
        <v>IWSV</v>
      </c>
      <c r="B688" t="str">
        <v>ZC_R001_SO_OPEN_CDS                0001</v>
      </c>
      <c r="C688" t="str">
        <v>IWSV</v>
      </c>
      <c r="D688" t="str">
        <v>ZC_R001_SO_OPEN_CDS                0001</v>
      </c>
      <c r="G688" t="str">
        <v>ALL</v>
      </c>
      <c r="L688" t="str">
        <v>CST_CHINMAY</v>
      </c>
      <c r="M688">
        <v>45861</v>
      </c>
      <c r="N688">
        <v>0.71572916666667</v>
      </c>
      <c r="S688" t="str">
        <v>X</v>
      </c>
      <c r="W688" t="str">
        <v>S01K925239</v>
      </c>
    </row>
    <row r="689">
      <c r="A689" t="str">
        <v>IWSV</v>
      </c>
      <c r="B689" t="str">
        <v>ZOTC_OPEN_SO_DELIVERY_CDS          0001</v>
      </c>
      <c r="C689" t="str">
        <v>IWSV</v>
      </c>
      <c r="D689" t="str">
        <v>ZOTC_OPEN_SO_DELIVERY_CDS          0001</v>
      </c>
      <c r="G689" t="str">
        <v>ALL</v>
      </c>
      <c r="L689" t="str">
        <v>CST_CHINMAY</v>
      </c>
      <c r="M689">
        <v>46002</v>
      </c>
      <c r="N689">
        <v>0.75488425925926</v>
      </c>
      <c r="S689" t="str">
        <v>X</v>
      </c>
      <c r="W689" t="str">
        <v>S01K927283</v>
      </c>
    </row>
    <row r="690">
      <c r="A690" t="str">
        <v>IWSV</v>
      </c>
      <c r="B690" t="str">
        <v>ZOTC_SALES_ORDER_DELIVERY_CDS      0001</v>
      </c>
      <c r="C690" t="str">
        <v>IWSV</v>
      </c>
      <c r="D690" t="str">
        <v>ZOTC_SALES_ORDER_DELIVERY_CDS      0001</v>
      </c>
      <c r="G690" t="str">
        <v>ALL</v>
      </c>
      <c r="L690" t="str">
        <v>CST_CHINMAY</v>
      </c>
      <c r="M690">
        <v>45993</v>
      </c>
      <c r="N690">
        <v>0.52608796296296</v>
      </c>
      <c r="S690" t="str">
        <v>X</v>
      </c>
      <c r="W690" t="str">
        <v>S01K927312</v>
      </c>
    </row>
    <row r="691">
      <c r="A691" t="str">
        <v>IWSV</v>
      </c>
      <c r="B691" t="str">
        <v>ZSDCDS_CV_SALES_BOOKINGS_CDS       0001</v>
      </c>
      <c r="C691" t="str">
        <v>IWSV</v>
      </c>
      <c r="D691" t="str">
        <v>ZSDCDS_CV_SALES_BOOKINGS_CDS       0001</v>
      </c>
      <c r="G691" t="str">
        <v>ALL</v>
      </c>
      <c r="L691" t="str">
        <v>CST_CHINMAY</v>
      </c>
      <c r="M691">
        <v>45993</v>
      </c>
      <c r="N691">
        <v>0.52164351851852</v>
      </c>
      <c r="S691" t="str">
        <v>X</v>
      </c>
      <c r="W691" t="str">
        <v>S01K927312</v>
      </c>
    </row>
    <row r="692">
      <c r="A692" t="str">
        <v>IWSV</v>
      </c>
      <c r="B692" t="str">
        <v>ZSSTRCDS_REPAIR_CYCLE_CDS          0001</v>
      </c>
      <c r="C692" t="str">
        <v>IWSV</v>
      </c>
      <c r="D692" t="str">
        <v>ZSSTRCDS_REPAIR_CYCLE_CDS          0001</v>
      </c>
      <c r="G692" t="str">
        <v>ALL</v>
      </c>
      <c r="L692" t="str">
        <v>CST_SPHALAKE</v>
      </c>
      <c r="M692">
        <v>45988</v>
      </c>
      <c r="N692">
        <v>0.43244212962963</v>
      </c>
      <c r="S692" t="str">
        <v>X</v>
      </c>
      <c r="W692" t="str">
        <v>S01K927141</v>
      </c>
    </row>
    <row r="693">
      <c r="A693" t="str">
        <v>IWVB</v>
      </c>
      <c r="B693" t="str">
        <v>ZC_R001_SO_OPEN_01_CDS_VAN      0001</v>
      </c>
      <c r="C693" t="str">
        <v>IWVB</v>
      </c>
      <c r="D693" t="str">
        <v>ZC_R001_SO_OPEN_01_CDS_VAN      0001</v>
      </c>
      <c r="G693" t="str">
        <v>ALL</v>
      </c>
      <c r="L693" t="str">
        <v>CST_CHINMAY</v>
      </c>
      <c r="M693">
        <v>45993</v>
      </c>
      <c r="N693">
        <v>0.52748842592593</v>
      </c>
      <c r="S693" t="str">
        <v>X</v>
      </c>
      <c r="W693" t="str">
        <v>S01K927312</v>
      </c>
    </row>
    <row r="694">
      <c r="A694" t="str">
        <v>IWVB</v>
      </c>
      <c r="B694" t="str">
        <v>ZC_R001_SO_OPEN_CDS_VAN         0001</v>
      </c>
      <c r="C694" t="str">
        <v>IWVB</v>
      </c>
      <c r="D694" t="str">
        <v>ZC_R001_SO_OPEN_CDS_VAN         0001</v>
      </c>
      <c r="G694" t="str">
        <v>ALL</v>
      </c>
      <c r="L694" t="str">
        <v>CST_CHINMAY</v>
      </c>
      <c r="M694">
        <v>45861</v>
      </c>
      <c r="N694">
        <v>0.71572916666667</v>
      </c>
      <c r="S694" t="str">
        <v>X</v>
      </c>
      <c r="W694" t="str">
        <v>S01K925239</v>
      </c>
    </row>
    <row r="695">
      <c r="A695" t="str">
        <v>IWVB</v>
      </c>
      <c r="B695" t="str">
        <v>ZOTC_OPEN_SO_DELIVERY_CDS_VAN   0001</v>
      </c>
      <c r="C695" t="str">
        <v>IWVB</v>
      </c>
      <c r="D695" t="str">
        <v>ZOTC_OPEN_SO_DELIVERY_CDS_VAN   0001</v>
      </c>
      <c r="G695" t="str">
        <v>ALL</v>
      </c>
      <c r="L695" t="str">
        <v>CST_CHINMAY</v>
      </c>
      <c r="M695">
        <v>46002</v>
      </c>
      <c r="N695">
        <v>0.75488425925926</v>
      </c>
      <c r="S695" t="str">
        <v>X</v>
      </c>
      <c r="W695" t="str">
        <v>S01K927283</v>
      </c>
    </row>
    <row r="696">
      <c r="A696" t="str">
        <v>IWVB</v>
      </c>
      <c r="B696" t="str">
        <v>ZOTC_SALES_ORDER_DELIVERY_CD_VAN0001</v>
      </c>
      <c r="C696" t="str">
        <v>IWVB</v>
      </c>
      <c r="D696" t="str">
        <v>ZOTC_SALES_ORDER_DELIVERY_CD_VAN0001</v>
      </c>
      <c r="G696" t="str">
        <v>ALL</v>
      </c>
      <c r="L696" t="str">
        <v>CST_CHINMAY</v>
      </c>
      <c r="M696">
        <v>45993</v>
      </c>
      <c r="N696">
        <v>0.52608796296296</v>
      </c>
      <c r="S696" t="str">
        <v>X</v>
      </c>
      <c r="W696" t="str">
        <v>S01K927312</v>
      </c>
    </row>
    <row r="697">
      <c r="A697" t="str">
        <v>IWVB</v>
      </c>
      <c r="B697" t="str">
        <v>ZSDCDS_CV_SALES_BOOKINGS_CDS_VAN0001</v>
      </c>
      <c r="C697" t="str">
        <v>IWVB</v>
      </c>
      <c r="D697" t="str">
        <v>ZSDCDS_CV_SALES_BOOKINGS_CDS_VAN0001</v>
      </c>
      <c r="G697" t="str">
        <v>ALL</v>
      </c>
      <c r="L697" t="str">
        <v>CST_CHINMAY</v>
      </c>
      <c r="M697">
        <v>45993</v>
      </c>
      <c r="N697">
        <v>0.52164351851852</v>
      </c>
      <c r="S697" t="str">
        <v>X</v>
      </c>
      <c r="W697" t="str">
        <v>S01K927312</v>
      </c>
    </row>
    <row r="698">
      <c r="A698" t="str">
        <v>IWVB</v>
      </c>
      <c r="B698" t="str">
        <v>ZSSTRCDS_REPAIR_CYCLE_CDS_VAN   0001</v>
      </c>
      <c r="C698" t="str">
        <v>IWVB</v>
      </c>
      <c r="D698" t="str">
        <v>ZSSTRCDS_REPAIR_CYCLE_CDS_VAN   0001</v>
      </c>
      <c r="G698" t="str">
        <v>ALL</v>
      </c>
      <c r="L698" t="str">
        <v>CST_SPHALAKE</v>
      </c>
      <c r="M698">
        <v>45988</v>
      </c>
      <c r="N698">
        <v>0.43244212962963</v>
      </c>
      <c r="S698" t="str">
        <v>X</v>
      </c>
      <c r="W698" t="str">
        <v>S01K927141</v>
      </c>
    </row>
    <row r="699">
      <c r="A699" t="str">
        <v>IWVB</v>
      </c>
      <c r="B699" t="str">
        <v>ZSSTRGWP_REPFIORIAPP_ANNO_MDL   0001</v>
      </c>
      <c r="C699" t="str">
        <v>IWVB</v>
      </c>
      <c r="D699" t="str">
        <v>ZSSTRGWP_REPFIORIAPP_ANNO_MDL   0001</v>
      </c>
      <c r="G699" t="str">
        <v>ALL</v>
      </c>
      <c r="L699" t="str">
        <v>CST_MANORANJ</v>
      </c>
      <c r="M699">
        <v>46190</v>
      </c>
      <c r="N699">
        <v>0.29783564814815</v>
      </c>
      <c r="S699" t="str">
        <v>X</v>
      </c>
      <c r="W699" t="str">
        <v>S01K929883</v>
      </c>
    </row>
    <row r="700">
      <c r="A700" t="str">
        <v>MSAG</v>
      </c>
      <c r="B700" t="str">
        <v>ZFI</v>
      </c>
      <c r="C700" t="str">
        <v>MESS</v>
      </c>
      <c r="D700" t="str">
        <v>ZFI                 004</v>
      </c>
      <c r="G700" t="str">
        <v>ALL</v>
      </c>
      <c r="L700">
        <v>50117454</v>
      </c>
      <c r="M700">
        <v>44896</v>
      </c>
      <c r="N700">
        <v>0.79980324074074</v>
      </c>
      <c r="S700" t="str">
        <v>X</v>
      </c>
      <c r="W700" t="str">
        <v>S01K914986</v>
      </c>
    </row>
    <row r="701">
      <c r="A701" t="str">
        <v>MSAG</v>
      </c>
      <c r="B701" t="str">
        <v>ZFI</v>
      </c>
      <c r="C701" t="str">
        <v>MESS</v>
      </c>
      <c r="D701" t="str">
        <v>ZFI                 005</v>
      </c>
      <c r="G701" t="str">
        <v>ALL</v>
      </c>
      <c r="L701">
        <v>50117454</v>
      </c>
      <c r="M701">
        <v>44896</v>
      </c>
      <c r="N701">
        <v>0.8003125</v>
      </c>
      <c r="S701" t="str">
        <v>X</v>
      </c>
      <c r="W701" t="str">
        <v>S01K914986</v>
      </c>
    </row>
    <row r="702">
      <c r="A702" t="str">
        <v>MSAG</v>
      </c>
      <c r="B702" t="str">
        <v>ZFI</v>
      </c>
      <c r="C702" t="str">
        <v>MESS</v>
      </c>
      <c r="D702" t="str">
        <v>ZFI                 006</v>
      </c>
      <c r="G702" t="str">
        <v>ALL</v>
      </c>
      <c r="L702">
        <v>50117454</v>
      </c>
      <c r="M702">
        <v>44896</v>
      </c>
      <c r="N702">
        <v>0.81915509259259</v>
      </c>
      <c r="S702" t="str">
        <v>X</v>
      </c>
      <c r="W702" t="str">
        <v>S01K914986</v>
      </c>
    </row>
    <row r="703">
      <c r="A703" t="str">
        <v>MSAG</v>
      </c>
      <c r="B703" t="str">
        <v>ZFI</v>
      </c>
      <c r="C703" t="str">
        <v>MESS</v>
      </c>
      <c r="D703" t="str">
        <v>ZFI                 007</v>
      </c>
      <c r="G703" t="str">
        <v>ALL</v>
      </c>
      <c r="L703" t="str">
        <v>SUDG</v>
      </c>
      <c r="M703">
        <v>45875</v>
      </c>
      <c r="N703">
        <v>0.55365740740741</v>
      </c>
      <c r="S703" t="str">
        <v>X</v>
      </c>
      <c r="W703" t="str">
        <v>S01K925599</v>
      </c>
    </row>
    <row r="704">
      <c r="A704" t="str">
        <v>MSAG</v>
      </c>
      <c r="B704" t="str">
        <v>ZMDGC_BP_IDENT_0116</v>
      </c>
      <c r="C704" t="str">
        <v>MSAD</v>
      </c>
      <c r="D704" t="str">
        <v>ZMDGC_BP_IDENT_0116</v>
      </c>
      <c r="G704" t="str">
        <v>ALL</v>
      </c>
      <c r="L704" t="str">
        <v>NSHAIK</v>
      </c>
      <c r="M704">
        <v>46021</v>
      </c>
      <c r="N704">
        <v>0.16290509259259</v>
      </c>
      <c r="S704" t="str">
        <v>X</v>
      </c>
      <c r="W704" t="str">
        <v>SP1K961296</v>
      </c>
    </row>
    <row r="705">
      <c r="A705" t="str">
        <v>MSAG</v>
      </c>
      <c r="B705" t="str">
        <v>ZMDG_C</v>
      </c>
      <c r="C705" t="str">
        <v>MESS</v>
      </c>
      <c r="D705" t="str">
        <v>ZMDG_C              053</v>
      </c>
      <c r="G705" t="str">
        <v>ALL</v>
      </c>
      <c r="L705" t="str">
        <v>ADEVAN</v>
      </c>
      <c r="M705">
        <v>46069</v>
      </c>
      <c r="N705">
        <v>0.4909375</v>
      </c>
      <c r="S705" t="str">
        <v>X</v>
      </c>
      <c r="W705" t="str">
        <v>SP1K962594</v>
      </c>
    </row>
    <row r="706">
      <c r="A706" t="str">
        <v>MSAG</v>
      </c>
      <c r="B706" t="str">
        <v>ZMDG_C</v>
      </c>
      <c r="C706" t="str">
        <v>MSAD</v>
      </c>
      <c r="D706" t="str">
        <v>ZMDG_C</v>
      </c>
      <c r="G706" t="str">
        <v>ALL</v>
      </c>
      <c r="L706" t="str">
        <v>NSHAIK</v>
      </c>
      <c r="M706">
        <v>46020</v>
      </c>
      <c r="N706">
        <v>0.5265625</v>
      </c>
      <c r="S706" t="str">
        <v>X</v>
      </c>
      <c r="W706" t="str">
        <v>SP1K961296</v>
      </c>
    </row>
    <row r="707">
      <c r="A707" t="str">
        <v>MSAG</v>
      </c>
      <c r="B707" t="str">
        <v>ZMDG_S</v>
      </c>
      <c r="C707" t="str">
        <v>MSAD</v>
      </c>
      <c r="D707" t="str">
        <v>ZMDG_S</v>
      </c>
      <c r="G707" t="str">
        <v>ALL</v>
      </c>
      <c r="L707" t="str">
        <v>NSHAIK</v>
      </c>
      <c r="M707">
        <v>46020</v>
      </c>
      <c r="N707">
        <v>0.52672453703704</v>
      </c>
      <c r="S707" t="str">
        <v>X</v>
      </c>
      <c r="W707" t="str">
        <v>SP1K961296</v>
      </c>
    </row>
    <row r="708">
      <c r="A708" t="str">
        <v>MSAG</v>
      </c>
      <c r="B708" t="str">
        <v>ZMM</v>
      </c>
      <c r="C708" t="str">
        <v>MESS</v>
      </c>
      <c r="D708" t="str">
        <v>ZMM                 000</v>
      </c>
      <c r="G708" t="str">
        <v>ALL</v>
      </c>
      <c r="L708" t="str">
        <v>AZUCHER</v>
      </c>
      <c r="M708">
        <v>42684</v>
      </c>
      <c r="N708">
        <v>0.38519675925926</v>
      </c>
      <c r="S708" t="str">
        <v>X</v>
      </c>
      <c r="W708" t="str">
        <v>SF1K900895</v>
      </c>
    </row>
    <row r="709">
      <c r="A709" t="str">
        <v>MSAG</v>
      </c>
      <c r="B709" t="str">
        <v>ZMM</v>
      </c>
      <c r="C709" t="str">
        <v>MESS</v>
      </c>
      <c r="D709" t="str">
        <v>ZMM                 001</v>
      </c>
      <c r="G709" t="str">
        <v>ALL</v>
      </c>
      <c r="L709" t="str">
        <v>AZUCHER</v>
      </c>
      <c r="M709">
        <v>42684</v>
      </c>
      <c r="N709">
        <v>0.38523148148148</v>
      </c>
      <c r="S709" t="str">
        <v>X</v>
      </c>
      <c r="W709" t="str">
        <v>SF1K900895</v>
      </c>
    </row>
    <row r="710">
      <c r="A710" t="str">
        <v>MSAG</v>
      </c>
      <c r="B710" t="str">
        <v>ZMM</v>
      </c>
      <c r="C710" t="str">
        <v>MESS</v>
      </c>
      <c r="D710" t="str">
        <v>ZMM                 002</v>
      </c>
      <c r="G710" t="str">
        <v>ALL</v>
      </c>
      <c r="L710" t="str">
        <v>AZUCHER</v>
      </c>
      <c r="M710">
        <v>42684</v>
      </c>
      <c r="N710">
        <v>0.3844212962963</v>
      </c>
      <c r="S710" t="str">
        <v>X</v>
      </c>
      <c r="W710" t="str">
        <v>SF1K900895</v>
      </c>
    </row>
    <row r="711">
      <c r="A711" t="str">
        <v>MSAG</v>
      </c>
      <c r="B711" t="str">
        <v>ZMM</v>
      </c>
      <c r="C711" t="str">
        <v>MESS</v>
      </c>
      <c r="D711" t="str">
        <v>ZMM                 003</v>
      </c>
      <c r="G711" t="str">
        <v>ALL</v>
      </c>
      <c r="L711" t="str">
        <v>AZUCHER</v>
      </c>
      <c r="M711">
        <v>42684</v>
      </c>
      <c r="N711">
        <v>0.38525462962963</v>
      </c>
      <c r="S711" t="str">
        <v>X</v>
      </c>
      <c r="W711" t="str">
        <v>SF1K900895</v>
      </c>
    </row>
    <row r="712">
      <c r="A712" t="str">
        <v>MSAG</v>
      </c>
      <c r="B712" t="str">
        <v>ZMM</v>
      </c>
      <c r="C712" t="str">
        <v>MESS</v>
      </c>
      <c r="D712" t="str">
        <v>ZMM                 051</v>
      </c>
      <c r="G712" t="str">
        <v>ALL</v>
      </c>
      <c r="L712">
        <v>10148148</v>
      </c>
      <c r="M712">
        <v>43380</v>
      </c>
      <c r="N712">
        <v>0.42813657407407</v>
      </c>
      <c r="S712" t="str">
        <v>X</v>
      </c>
      <c r="W712" t="str">
        <v>S01K902898</v>
      </c>
    </row>
    <row r="713">
      <c r="A713" t="str">
        <v>MSAG</v>
      </c>
      <c r="B713" t="str">
        <v>ZMM</v>
      </c>
      <c r="C713" t="str">
        <v>MESS</v>
      </c>
      <c r="D713" t="str">
        <v>ZMM                 052</v>
      </c>
      <c r="G713" t="str">
        <v>ALL</v>
      </c>
      <c r="L713">
        <v>10148148</v>
      </c>
      <c r="M713">
        <v>43380</v>
      </c>
      <c r="N713">
        <v>0.43158564814815</v>
      </c>
      <c r="S713" t="str">
        <v>X</v>
      </c>
      <c r="W713" t="str">
        <v>S01K902898</v>
      </c>
    </row>
    <row r="714">
      <c r="A714" t="str">
        <v>MSAG</v>
      </c>
      <c r="B714" t="str">
        <v>ZMM</v>
      </c>
      <c r="C714" t="str">
        <v>MESS</v>
      </c>
      <c r="D714" t="str">
        <v>ZMM                 053</v>
      </c>
      <c r="G714" t="str">
        <v>ALL</v>
      </c>
      <c r="L714">
        <v>10148148</v>
      </c>
      <c r="M714">
        <v>43380</v>
      </c>
      <c r="N714">
        <v>0.43159722222222</v>
      </c>
      <c r="S714" t="str">
        <v>X</v>
      </c>
      <c r="W714" t="str">
        <v>S01K902898</v>
      </c>
    </row>
    <row r="715">
      <c r="A715" t="str">
        <v>MSAG</v>
      </c>
      <c r="B715" t="str">
        <v>ZMM</v>
      </c>
      <c r="C715" t="str">
        <v>MESS</v>
      </c>
      <c r="D715" t="str">
        <v>ZMM                 054</v>
      </c>
      <c r="G715" t="str">
        <v>ALL</v>
      </c>
      <c r="L715">
        <v>10148148</v>
      </c>
      <c r="M715">
        <v>43380</v>
      </c>
      <c r="N715">
        <v>0.43162037037037</v>
      </c>
      <c r="S715" t="str">
        <v>X</v>
      </c>
      <c r="W715" t="str">
        <v>S01K902898</v>
      </c>
    </row>
    <row r="716">
      <c r="A716" t="str">
        <v>MSAG</v>
      </c>
      <c r="B716" t="str">
        <v>ZMM</v>
      </c>
      <c r="C716" t="str">
        <v>MESS</v>
      </c>
      <c r="D716" t="str">
        <v>ZMM                 055</v>
      </c>
      <c r="G716" t="str">
        <v>ALL</v>
      </c>
      <c r="L716">
        <v>10148148</v>
      </c>
      <c r="M716">
        <v>43380</v>
      </c>
      <c r="N716">
        <v>0.43162037037037</v>
      </c>
      <c r="S716" t="str">
        <v>X</v>
      </c>
      <c r="W716" t="str">
        <v>S01K902898</v>
      </c>
    </row>
    <row r="717">
      <c r="A717" t="str">
        <v>MSAG</v>
      </c>
      <c r="B717" t="str">
        <v>ZMM</v>
      </c>
      <c r="C717" t="str">
        <v>MESS</v>
      </c>
      <c r="D717" t="str">
        <v>ZMM                 056</v>
      </c>
      <c r="G717" t="str">
        <v>ALL</v>
      </c>
      <c r="L717">
        <v>10148148</v>
      </c>
      <c r="M717">
        <v>43380</v>
      </c>
      <c r="N717">
        <v>0.43165509259259</v>
      </c>
      <c r="S717" t="str">
        <v>X</v>
      </c>
      <c r="W717" t="str">
        <v>S01K902898</v>
      </c>
    </row>
    <row r="718">
      <c r="A718" t="str">
        <v>MSAG</v>
      </c>
      <c r="B718" t="str">
        <v>ZMM</v>
      </c>
      <c r="C718" t="str">
        <v>MESS</v>
      </c>
      <c r="D718" t="str">
        <v>ZMM                 057</v>
      </c>
      <c r="G718" t="str">
        <v>ALL</v>
      </c>
      <c r="L718">
        <v>10148148</v>
      </c>
      <c r="M718">
        <v>43380</v>
      </c>
      <c r="N718">
        <v>0.43165509259259</v>
      </c>
      <c r="S718" t="str">
        <v>X</v>
      </c>
      <c r="W718" t="str">
        <v>S01K902898</v>
      </c>
    </row>
    <row r="719">
      <c r="A719" t="str">
        <v>MSAG</v>
      </c>
      <c r="B719" t="str">
        <v>ZMM</v>
      </c>
      <c r="C719" t="str">
        <v>MESS</v>
      </c>
      <c r="D719" t="str">
        <v>ZMM                 058</v>
      </c>
      <c r="G719" t="str">
        <v>ALL</v>
      </c>
      <c r="L719">
        <v>10148148</v>
      </c>
      <c r="M719">
        <v>43380</v>
      </c>
      <c r="N719">
        <v>0.43167824074074</v>
      </c>
      <c r="S719" t="str">
        <v>X</v>
      </c>
      <c r="W719" t="str">
        <v>S01K902898</v>
      </c>
    </row>
    <row r="720">
      <c r="A720" t="str">
        <v>MSAG</v>
      </c>
      <c r="B720" t="str">
        <v>ZMM</v>
      </c>
      <c r="C720" t="str">
        <v>MESS</v>
      </c>
      <c r="D720" t="str">
        <v>ZMM                 059</v>
      </c>
      <c r="G720" t="str">
        <v>ALL</v>
      </c>
      <c r="L720">
        <v>10148148</v>
      </c>
      <c r="M720">
        <v>43380</v>
      </c>
      <c r="N720">
        <v>0.47290509259259</v>
      </c>
      <c r="S720" t="str">
        <v>X</v>
      </c>
      <c r="W720" t="str">
        <v>S01K902898</v>
      </c>
    </row>
    <row r="721">
      <c r="A721" t="str">
        <v>MSAG</v>
      </c>
      <c r="B721" t="str">
        <v>ZMM</v>
      </c>
      <c r="C721" t="str">
        <v>MESS</v>
      </c>
      <c r="D721" t="str">
        <v>ZMM                 060</v>
      </c>
      <c r="G721" t="str">
        <v>ALL</v>
      </c>
      <c r="L721">
        <v>10148148</v>
      </c>
      <c r="M721">
        <v>43380</v>
      </c>
      <c r="N721">
        <v>0.47290509259259</v>
      </c>
      <c r="S721" t="str">
        <v>X</v>
      </c>
      <c r="W721" t="str">
        <v>S01K902898</v>
      </c>
    </row>
    <row r="722">
      <c r="A722" t="str">
        <v>MSAG</v>
      </c>
      <c r="B722" t="str">
        <v>ZMM</v>
      </c>
      <c r="C722" t="str">
        <v>MESS</v>
      </c>
      <c r="D722" t="str">
        <v>ZMM                 061</v>
      </c>
      <c r="G722" t="str">
        <v>ALL</v>
      </c>
      <c r="L722">
        <v>10148148</v>
      </c>
      <c r="M722">
        <v>43380</v>
      </c>
      <c r="N722">
        <v>0.47726851851852</v>
      </c>
      <c r="S722" t="str">
        <v>X</v>
      </c>
      <c r="W722" t="str">
        <v>S01K902898</v>
      </c>
    </row>
    <row r="723">
      <c r="A723" t="str">
        <v>MSAG</v>
      </c>
      <c r="B723" t="str">
        <v>ZMM</v>
      </c>
      <c r="C723" t="str">
        <v>MESS</v>
      </c>
      <c r="D723" t="str">
        <v>ZMM                 062</v>
      </c>
      <c r="G723" t="str">
        <v>ALL</v>
      </c>
      <c r="L723">
        <v>10148148</v>
      </c>
      <c r="M723">
        <v>43382</v>
      </c>
      <c r="N723">
        <v>0.49099537037037</v>
      </c>
      <c r="S723" t="str">
        <v>X</v>
      </c>
      <c r="W723" t="str">
        <v>S01K902898</v>
      </c>
    </row>
    <row r="724">
      <c r="A724" t="str">
        <v>MSAG</v>
      </c>
      <c r="B724" t="str">
        <v>ZMM</v>
      </c>
      <c r="C724" t="str">
        <v>MESS</v>
      </c>
      <c r="D724" t="str">
        <v>ZMM                 063</v>
      </c>
      <c r="G724" t="str">
        <v>ALL</v>
      </c>
      <c r="L724">
        <v>10148148</v>
      </c>
      <c r="M724">
        <v>43626</v>
      </c>
      <c r="N724">
        <v>0.51841435185185</v>
      </c>
      <c r="S724" t="str">
        <v>X</v>
      </c>
      <c r="W724" t="str">
        <v>SP1K900860</v>
      </c>
    </row>
    <row r="725">
      <c r="A725" t="str">
        <v>MSAG</v>
      </c>
      <c r="B725" t="str">
        <v>ZMM</v>
      </c>
      <c r="C725" t="str">
        <v>MESS</v>
      </c>
      <c r="D725" t="str">
        <v>ZMM                 064</v>
      </c>
      <c r="G725" t="str">
        <v>ALL</v>
      </c>
      <c r="L725" t="str">
        <v>PGUDI</v>
      </c>
      <c r="M725">
        <v>43789</v>
      </c>
      <c r="N725">
        <v>0.41510416666667</v>
      </c>
      <c r="S725" t="str">
        <v>X</v>
      </c>
      <c r="W725" t="str">
        <v>SP1K903858</v>
      </c>
    </row>
    <row r="726">
      <c r="A726" t="str">
        <v>MSAG</v>
      </c>
      <c r="B726" t="str">
        <v>ZMM</v>
      </c>
      <c r="C726" t="str">
        <v>MESS</v>
      </c>
      <c r="D726" t="str">
        <v>ZMM                 065</v>
      </c>
      <c r="G726" t="str">
        <v>ALL</v>
      </c>
      <c r="L726">
        <v>50116674</v>
      </c>
      <c r="M726">
        <v>44459</v>
      </c>
      <c r="N726">
        <v>0.7850462962963</v>
      </c>
      <c r="S726" t="str">
        <v>X</v>
      </c>
      <c r="W726" t="str">
        <v>SP1K923389</v>
      </c>
    </row>
    <row r="727">
      <c r="A727" t="str">
        <v>MSAG</v>
      </c>
      <c r="B727" t="str">
        <v>ZOPT</v>
      </c>
      <c r="C727" t="str">
        <v>MESS</v>
      </c>
      <c r="D727" t="str">
        <v>ZOPT                011</v>
      </c>
      <c r="G727" t="str">
        <v>ALL</v>
      </c>
      <c r="L727" t="str">
        <v>CST_MEZOVARI</v>
      </c>
      <c r="M727">
        <v>43565</v>
      </c>
      <c r="N727">
        <v>0.6991087962963</v>
      </c>
      <c r="S727" t="str">
        <v>X</v>
      </c>
      <c r="W727" t="str">
        <v>SP1K900592</v>
      </c>
    </row>
    <row r="728">
      <c r="A728" t="str">
        <v>MSAG</v>
      </c>
      <c r="B728" t="str">
        <v>ZOPT</v>
      </c>
      <c r="C728" t="str">
        <v>MESS</v>
      </c>
      <c r="D728" t="str">
        <v>ZOPT                012</v>
      </c>
      <c r="G728" t="str">
        <v>ALL</v>
      </c>
      <c r="L728" t="str">
        <v>CST_MEZOVARI</v>
      </c>
      <c r="M728">
        <v>43565</v>
      </c>
      <c r="N728">
        <v>0.70028935185185</v>
      </c>
      <c r="S728" t="str">
        <v>X</v>
      </c>
      <c r="W728" t="str">
        <v>SP1K900592</v>
      </c>
    </row>
    <row r="729">
      <c r="A729" t="str">
        <v>MSAG</v>
      </c>
      <c r="B729" t="str">
        <v>ZOPT</v>
      </c>
      <c r="C729" t="str">
        <v>MESS</v>
      </c>
      <c r="D729" t="str">
        <v>ZOPT                013</v>
      </c>
      <c r="G729" t="str">
        <v>ALL</v>
      </c>
      <c r="L729" t="str">
        <v>CST_MEZOVARI</v>
      </c>
      <c r="M729">
        <v>43565</v>
      </c>
      <c r="N729">
        <v>0.70501157407407</v>
      </c>
      <c r="S729" t="str">
        <v>X</v>
      </c>
      <c r="W729" t="str">
        <v>SP1K900592</v>
      </c>
    </row>
    <row r="730">
      <c r="A730" t="str">
        <v>MSAG</v>
      </c>
      <c r="B730" t="str">
        <v>ZOPT</v>
      </c>
      <c r="C730" t="str">
        <v>MESS</v>
      </c>
      <c r="D730" t="str">
        <v>ZOPT                014</v>
      </c>
      <c r="G730" t="str">
        <v>ALL</v>
      </c>
      <c r="L730" t="str">
        <v>CST_DDIENES</v>
      </c>
      <c r="M730">
        <v>43609</v>
      </c>
      <c r="N730">
        <v>0.54283564814815</v>
      </c>
      <c r="S730" t="str">
        <v>X</v>
      </c>
      <c r="W730" t="str">
        <v>SP1K900592</v>
      </c>
    </row>
    <row r="731">
      <c r="A731" t="str">
        <v>MSAG</v>
      </c>
      <c r="B731" t="str">
        <v>ZOPT</v>
      </c>
      <c r="C731" t="str">
        <v>MESS</v>
      </c>
      <c r="D731" t="str">
        <v>ZOPT                015</v>
      </c>
      <c r="G731" t="str">
        <v>ALL</v>
      </c>
      <c r="L731" t="str">
        <v>CST_DDIENES</v>
      </c>
      <c r="M731">
        <v>43609</v>
      </c>
      <c r="N731">
        <v>0.54284722222222</v>
      </c>
      <c r="S731" t="str">
        <v>X</v>
      </c>
      <c r="W731" t="str">
        <v>SP1K900592</v>
      </c>
    </row>
    <row r="732">
      <c r="A732" t="str">
        <v>MSAG</v>
      </c>
      <c r="B732" t="str">
        <v>ZOPT</v>
      </c>
      <c r="C732" t="str">
        <v>MESS</v>
      </c>
      <c r="D732" t="str">
        <v>ZOPT                016</v>
      </c>
      <c r="G732" t="str">
        <v>ALL</v>
      </c>
      <c r="L732" t="str">
        <v>CST_MEZOVARI</v>
      </c>
      <c r="M732">
        <v>43665</v>
      </c>
      <c r="N732">
        <v>0.50857638888889</v>
      </c>
      <c r="S732" t="str">
        <v>X</v>
      </c>
      <c r="W732" t="str">
        <v>SP1K901299</v>
      </c>
    </row>
    <row r="733">
      <c r="A733" t="str">
        <v>MSAG</v>
      </c>
      <c r="B733" t="str">
        <v>ZOTC</v>
      </c>
      <c r="C733" t="str">
        <v>MESS</v>
      </c>
      <c r="D733" t="str">
        <v>ZOTC                061</v>
      </c>
      <c r="G733" t="str">
        <v>ALL</v>
      </c>
      <c r="L733">
        <v>50116387</v>
      </c>
      <c r="M733">
        <v>45111</v>
      </c>
      <c r="N733">
        <v>0.48200231481481</v>
      </c>
      <c r="S733" t="str">
        <v>X</v>
      </c>
      <c r="W733" t="str">
        <v>S01K916789</v>
      </c>
    </row>
    <row r="734">
      <c r="A734" t="str">
        <v>MSAG</v>
      </c>
      <c r="B734" t="str">
        <v>ZOTC</v>
      </c>
      <c r="C734" t="str">
        <v>MESS</v>
      </c>
      <c r="D734" t="str">
        <v>ZOTC                062</v>
      </c>
      <c r="G734" t="str">
        <v>ALL</v>
      </c>
      <c r="L734" t="str">
        <v>CST_CHINMAY</v>
      </c>
      <c r="M734">
        <v>45847</v>
      </c>
      <c r="N734">
        <v>0.26865740740741</v>
      </c>
      <c r="S734" t="str">
        <v>X</v>
      </c>
      <c r="W734" t="str">
        <v>S01K925228</v>
      </c>
    </row>
    <row r="735">
      <c r="A735" t="str">
        <v>MSAG</v>
      </c>
      <c r="B735" t="str">
        <v>ZOTC</v>
      </c>
      <c r="C735" t="str">
        <v>MESS</v>
      </c>
      <c r="D735" t="str">
        <v>ZOTC                063</v>
      </c>
      <c r="G735" t="str">
        <v>ALL</v>
      </c>
      <c r="L735" t="str">
        <v>CST_CHINMAY</v>
      </c>
      <c r="M735">
        <v>45847</v>
      </c>
      <c r="N735">
        <v>0.26865740740741</v>
      </c>
      <c r="S735" t="str">
        <v>X</v>
      </c>
      <c r="W735" t="str">
        <v>S01K925228</v>
      </c>
    </row>
    <row r="736">
      <c r="A736" t="str">
        <v>MSAG</v>
      </c>
      <c r="B736" t="str">
        <v>ZOTC</v>
      </c>
      <c r="C736" t="str">
        <v>MESS</v>
      </c>
      <c r="D736" t="str">
        <v>ZOTC                064</v>
      </c>
      <c r="G736" t="str">
        <v>ALL</v>
      </c>
      <c r="L736" t="str">
        <v>CST_SOURYA</v>
      </c>
      <c r="M736">
        <v>45979</v>
      </c>
      <c r="N736">
        <v>0.38555555555556</v>
      </c>
      <c r="S736" t="str">
        <v>X</v>
      </c>
      <c r="W736" t="str">
        <v>S01K927139</v>
      </c>
    </row>
    <row r="737">
      <c r="A737" t="str">
        <v>MSAG</v>
      </c>
      <c r="B737" t="str">
        <v>ZPTM</v>
      </c>
      <c r="C737" t="str">
        <v>MESS</v>
      </c>
      <c r="D737" t="str">
        <v>ZPTM                001</v>
      </c>
      <c r="G737" t="str">
        <v>ALL</v>
      </c>
      <c r="L737" t="str">
        <v>CST_VRAGHAV</v>
      </c>
      <c r="M737">
        <v>43966</v>
      </c>
      <c r="N737">
        <v>0.55046296296296</v>
      </c>
      <c r="S737" t="str">
        <v>X</v>
      </c>
      <c r="W737" t="str">
        <v>S01K907352</v>
      </c>
    </row>
    <row r="738">
      <c r="A738" t="str">
        <v>MSAG</v>
      </c>
      <c r="B738" t="str">
        <v>ZPTM</v>
      </c>
      <c r="C738" t="str">
        <v>MESS</v>
      </c>
      <c r="D738" t="str">
        <v>ZPTM                002</v>
      </c>
      <c r="G738" t="str">
        <v>ALL</v>
      </c>
      <c r="L738" t="str">
        <v>CST_VRAGHAV</v>
      </c>
      <c r="M738">
        <v>43966</v>
      </c>
      <c r="N738">
        <v>0.63850694444444</v>
      </c>
      <c r="S738" t="str">
        <v>X</v>
      </c>
      <c r="W738" t="str">
        <v>S01K907352</v>
      </c>
    </row>
    <row r="739">
      <c r="A739" t="str">
        <v>MSAG</v>
      </c>
      <c r="B739" t="str">
        <v>ZPTM</v>
      </c>
      <c r="C739" t="str">
        <v>MESS</v>
      </c>
      <c r="D739" t="str">
        <v>ZPTM                003</v>
      </c>
      <c r="G739" t="str">
        <v>ALL</v>
      </c>
      <c r="L739" t="str">
        <v>CST_VRAGHAV</v>
      </c>
      <c r="M739">
        <v>43966</v>
      </c>
      <c r="N739">
        <v>0.65965277777778</v>
      </c>
      <c r="S739" t="str">
        <v>X</v>
      </c>
      <c r="W739" t="str">
        <v>S01K907352</v>
      </c>
    </row>
    <row r="740">
      <c r="A740" t="str">
        <v>MSAG</v>
      </c>
      <c r="B740" t="str">
        <v>ZPTM</v>
      </c>
      <c r="C740" t="str">
        <v>MESS</v>
      </c>
      <c r="D740" t="str">
        <v>ZPTM                004</v>
      </c>
      <c r="G740" t="str">
        <v>ALL</v>
      </c>
      <c r="L740" t="str">
        <v>CST_VRAGHAV</v>
      </c>
      <c r="M740">
        <v>43966</v>
      </c>
      <c r="N740">
        <v>0.65991898148148</v>
      </c>
      <c r="S740" t="str">
        <v>X</v>
      </c>
      <c r="W740" t="str">
        <v>S01K907352</v>
      </c>
    </row>
    <row r="741">
      <c r="A741" t="str">
        <v>MSAG</v>
      </c>
      <c r="B741" t="str">
        <v>ZPTM</v>
      </c>
      <c r="C741" t="str">
        <v>MESS</v>
      </c>
      <c r="D741" t="str">
        <v>ZPTM                005</v>
      </c>
      <c r="G741" t="str">
        <v>ALL</v>
      </c>
      <c r="L741" t="str">
        <v>CST_VRAGHAV</v>
      </c>
      <c r="M741">
        <v>43969</v>
      </c>
      <c r="N741">
        <v>0.32126157407407</v>
      </c>
      <c r="S741" t="str">
        <v>X</v>
      </c>
      <c r="W741" t="str">
        <v>S01K907352</v>
      </c>
    </row>
    <row r="742">
      <c r="A742" t="str">
        <v>MSAG</v>
      </c>
      <c r="B742" t="str">
        <v>ZSTR</v>
      </c>
      <c r="C742" t="str">
        <v>MESS</v>
      </c>
      <c r="D742" t="str">
        <v>ZSTR                039</v>
      </c>
      <c r="G742" t="str">
        <v>ALL</v>
      </c>
      <c r="L742" t="str">
        <v>SSUDARSHAN</v>
      </c>
      <c r="M742">
        <v>45173</v>
      </c>
      <c r="N742">
        <v>0.25984953703704</v>
      </c>
      <c r="S742" t="str">
        <v>X</v>
      </c>
      <c r="W742" t="str">
        <v>S01K917766</v>
      </c>
    </row>
    <row r="743">
      <c r="A743" t="str">
        <v>MSAG</v>
      </c>
      <c r="B743" t="str">
        <v>ZZ</v>
      </c>
      <c r="C743" t="str">
        <v>MESS</v>
      </c>
      <c r="D743" t="str">
        <v>ZZ                  001</v>
      </c>
      <c r="G743" t="str">
        <v>ALL</v>
      </c>
      <c r="L743" t="str">
        <v>CST_IROHIT</v>
      </c>
      <c r="M743">
        <v>44539</v>
      </c>
      <c r="N743">
        <v>0.74325231481481</v>
      </c>
      <c r="S743" t="str">
        <v>X</v>
      </c>
      <c r="W743" t="str">
        <v>SP1K926227</v>
      </c>
    </row>
    <row r="744">
      <c r="A744" t="str">
        <v>MSAG</v>
      </c>
      <c r="B744" t="str">
        <v>ZZ</v>
      </c>
      <c r="C744" t="str">
        <v>MESS</v>
      </c>
      <c r="D744" t="str">
        <v>ZZ                  002</v>
      </c>
      <c r="G744" t="str">
        <v>ALL</v>
      </c>
      <c r="L744" t="str">
        <v>CST_IROHIT</v>
      </c>
      <c r="M744">
        <v>44539</v>
      </c>
      <c r="N744">
        <v>0.74017361111111</v>
      </c>
      <c r="S744" t="str">
        <v>X</v>
      </c>
      <c r="W744" t="str">
        <v>SP1K926227</v>
      </c>
    </row>
    <row r="745">
      <c r="A745" t="str">
        <v>MSAG</v>
      </c>
      <c r="B745" t="str">
        <v>ZZVAL</v>
      </c>
      <c r="C745" t="str">
        <v>MESS</v>
      </c>
      <c r="D745" t="str">
        <v>ZZVAL               008</v>
      </c>
      <c r="G745" t="str">
        <v>ALL</v>
      </c>
      <c r="L745" t="str">
        <v>SUDG</v>
      </c>
      <c r="M745">
        <v>45875</v>
      </c>
      <c r="N745">
        <v>0.59028935185185</v>
      </c>
      <c r="S745" t="str">
        <v>X</v>
      </c>
      <c r="W745" t="str">
        <v>S01K925599</v>
      </c>
    </row>
    <row r="746">
      <c r="A746" t="str">
        <v>PARA</v>
      </c>
      <c r="B746" t="str">
        <v>ZBPHEADER</v>
      </c>
      <c r="C746" t="str">
        <v>PARA</v>
      </c>
      <c r="D746" t="str">
        <v>ZBPHEADER</v>
      </c>
      <c r="G746" t="str">
        <v>ALL</v>
      </c>
      <c r="L746" t="str">
        <v>NSHAIK</v>
      </c>
      <c r="M746">
        <v>46029</v>
      </c>
      <c r="N746">
        <v>0.53195601851852</v>
      </c>
      <c r="S746" t="str">
        <v>X</v>
      </c>
      <c r="W746" t="str">
        <v>SP1K961296</v>
      </c>
    </row>
    <row r="747">
      <c r="A747" t="str">
        <v>PARA</v>
      </c>
      <c r="B747" t="str">
        <v>ZCOM</v>
      </c>
      <c r="C747" t="str">
        <v>PARA</v>
      </c>
      <c r="D747" t="str">
        <v>ZCOM</v>
      </c>
      <c r="G747" t="str">
        <v>ALL</v>
      </c>
      <c r="L747" t="str">
        <v>NSHAIK</v>
      </c>
      <c r="M747">
        <v>46029</v>
      </c>
      <c r="N747">
        <v>0.53206018518519</v>
      </c>
      <c r="S747" t="str">
        <v>X</v>
      </c>
      <c r="W747" t="str">
        <v>SP1K961296</v>
      </c>
    </row>
    <row r="748">
      <c r="A748" t="str">
        <v>PROG</v>
      </c>
      <c r="B748" t="str">
        <v>ZAFRUBUD</v>
      </c>
      <c r="C748" t="str">
        <v>REPS</v>
      </c>
      <c r="D748" t="str">
        <v>ZAFRUBUD</v>
      </c>
      <c r="F748" t="str">
        <v>002075125819773     00002339250002</v>
      </c>
      <c r="G748" t="str">
        <v>NOTE</v>
      </c>
      <c r="H748" t="str">
        <v>ZAFRUBUD</v>
      </c>
      <c r="J748">
        <v>2127050033</v>
      </c>
      <c r="L748" t="str">
        <v>CST_IROHIT</v>
      </c>
      <c r="M748">
        <v>44634</v>
      </c>
      <c r="N748">
        <v>0.47857638888889</v>
      </c>
      <c r="R748" t="str">
        <v>C</v>
      </c>
      <c r="W748" t="str">
        <v>SP1K930180</v>
      </c>
    </row>
    <row r="749">
      <c r="A749" t="str">
        <v>PROG</v>
      </c>
      <c r="B749" t="str">
        <v>ZFI_REMITT_FORMS</v>
      </c>
      <c r="C749" t="str">
        <v>REPS</v>
      </c>
      <c r="D749" t="str">
        <v>ZFI_REMITT_FORMS</v>
      </c>
      <c r="E749" t="str">
        <v>PU</v>
      </c>
      <c r="F749" t="str">
        <v>CALL_SMARTFORM</v>
      </c>
      <c r="G749" t="str">
        <v>MOD</v>
      </c>
      <c r="H749" t="str">
        <v>ZFI_REMITT_ADVICE_EMAIL</v>
      </c>
      <c r="K749" t="str">
        <v>E</v>
      </c>
      <c r="L749" t="str">
        <v>CST_SOURYA</v>
      </c>
      <c r="M749">
        <v>46134</v>
      </c>
      <c r="N749">
        <v>0.23505787037037</v>
      </c>
      <c r="W749" t="str">
        <v>S01K929363</v>
      </c>
    </row>
    <row r="750">
      <c r="A750" t="str">
        <v>PROG</v>
      </c>
      <c r="B750" t="str">
        <v>ZFLS_VAT_REPORT</v>
      </c>
      <c r="C750" t="str">
        <v>DYNP</v>
      </c>
      <c r="D750" t="str">
        <v>ZFLS_VAT_REPORT                         0100</v>
      </c>
      <c r="E750" t="str">
        <v>DYNP</v>
      </c>
      <c r="G750" t="str">
        <v>ALL</v>
      </c>
      <c r="H750" t="str">
        <v>ZFLS_VAT_REPORT</v>
      </c>
      <c r="K750" t="str">
        <v>E</v>
      </c>
      <c r="L750" t="str">
        <v>IARUMUGAM</v>
      </c>
      <c r="M750">
        <v>46163</v>
      </c>
      <c r="N750">
        <v>0.48046296296296</v>
      </c>
    </row>
    <row r="751">
      <c r="A751" t="str">
        <v>PROG</v>
      </c>
      <c r="B751" t="str">
        <v>ZJH_BASIS_TRANSPORTLOG</v>
      </c>
      <c r="C751" t="str">
        <v>REPT</v>
      </c>
      <c r="D751" t="str">
        <v>ZJH_BASIS_TRANSPORTLOG</v>
      </c>
      <c r="E751" t="str">
        <v>XXXX</v>
      </c>
      <c r="G751" t="str">
        <v>ALL</v>
      </c>
      <c r="H751" t="str">
        <v>ZJH_BASIS_TRANSPORTLOG</v>
      </c>
      <c r="K751" t="str">
        <v>D</v>
      </c>
      <c r="L751" t="str">
        <v>HESS</v>
      </c>
      <c r="M751">
        <v>42829</v>
      </c>
      <c r="N751">
        <v>0.64503472222222</v>
      </c>
    </row>
    <row r="752">
      <c r="A752" t="str">
        <v>PROG</v>
      </c>
      <c r="B752" t="str">
        <v>ZKOREKPV_LEDAT</v>
      </c>
      <c r="C752" t="str">
        <v>REPS</v>
      </c>
      <c r="D752" t="str">
        <v>ZKOREKPV_LEDAT</v>
      </c>
      <c r="F752" t="str">
        <v>002075125919773     00005804170003</v>
      </c>
      <c r="G752" t="str">
        <v>NOTE</v>
      </c>
      <c r="H752" t="str">
        <v>ZKOREKPV_LEDAT</v>
      </c>
      <c r="J752">
        <v>611480022</v>
      </c>
      <c r="L752" t="str">
        <v>CST_IROHIT</v>
      </c>
      <c r="M752">
        <v>44679</v>
      </c>
      <c r="N752">
        <v>0.36457175925926</v>
      </c>
      <c r="R752" t="str">
        <v>C</v>
      </c>
      <c r="W752" t="str">
        <v>SP1K932148</v>
      </c>
    </row>
    <row r="753">
      <c r="A753" t="str">
        <v>PROG</v>
      </c>
      <c r="B753" t="str">
        <v>ZKORVETV</v>
      </c>
      <c r="C753" t="str">
        <v>REPS</v>
      </c>
      <c r="D753" t="str">
        <v>ZKORVETV</v>
      </c>
      <c r="F753" t="str">
        <v>002075125919773     00005804170003</v>
      </c>
      <c r="G753" t="str">
        <v>NOTE</v>
      </c>
      <c r="H753" t="str">
        <v>ZKORVETV</v>
      </c>
      <c r="J753">
        <v>611480022</v>
      </c>
      <c r="L753" t="str">
        <v>CST_IROHIT</v>
      </c>
      <c r="M753">
        <v>44679</v>
      </c>
      <c r="N753">
        <v>0.36457175925926</v>
      </c>
      <c r="R753" t="str">
        <v>C</v>
      </c>
      <c r="W753" t="str">
        <v>SP1K932148</v>
      </c>
    </row>
    <row r="754">
      <c r="A754" t="str">
        <v>PROG</v>
      </c>
      <c r="B754" t="str">
        <v>ZMDGC_BAPI_0116_IDENTITY</v>
      </c>
      <c r="C754" t="str">
        <v>PROG</v>
      </c>
      <c r="D754" t="str">
        <v>ZMDGC_BAPI_0116_IDENTITY</v>
      </c>
      <c r="G754" t="str">
        <v>ALL</v>
      </c>
      <c r="L754" t="str">
        <v>NSHAIK</v>
      </c>
      <c r="M754">
        <v>46020</v>
      </c>
      <c r="N754">
        <v>0.44171296296296</v>
      </c>
      <c r="S754" t="str">
        <v>X</v>
      </c>
      <c r="W754" t="str">
        <v>SP1K961296</v>
      </c>
    </row>
    <row r="755">
      <c r="A755" t="str">
        <v>PROG</v>
      </c>
      <c r="B755" t="str">
        <v>ZMDGC_FLOWFORCE_STATUS</v>
      </c>
      <c r="C755" t="str">
        <v>REPT</v>
      </c>
      <c r="D755" t="str">
        <v>ZMDGC_FLOWFORCE_STATUS</v>
      </c>
      <c r="E755" t="str">
        <v>XXXX</v>
      </c>
      <c r="G755" t="str">
        <v>ALL</v>
      </c>
      <c r="H755" t="str">
        <v>ZMDGC_FLOWFORCE_STATUS</v>
      </c>
      <c r="K755" t="str">
        <v>E</v>
      </c>
      <c r="L755" t="str">
        <v>NSHAIK</v>
      </c>
      <c r="M755">
        <v>46020</v>
      </c>
      <c r="N755">
        <v>0.47803240740741</v>
      </c>
      <c r="W755" t="str">
        <v>SP1K961296</v>
      </c>
    </row>
    <row r="756">
      <c r="A756" t="str">
        <v>PROG</v>
      </c>
      <c r="B756" t="str">
        <v>ZMDGM0316</v>
      </c>
      <c r="C756" t="str">
        <v>PROG</v>
      </c>
      <c r="D756" t="str">
        <v>ZMDGM0316</v>
      </c>
      <c r="G756" t="str">
        <v>ALL</v>
      </c>
      <c r="L756" t="str">
        <v>NSHAIK</v>
      </c>
      <c r="M756">
        <v>46020</v>
      </c>
      <c r="N756">
        <v>0.32631944444444</v>
      </c>
      <c r="S756" t="str">
        <v>X</v>
      </c>
      <c r="W756" t="str">
        <v>SP1K961296</v>
      </c>
    </row>
    <row r="757">
      <c r="A757" t="str">
        <v>PROG</v>
      </c>
      <c r="B757" t="str">
        <v>ZMDG_ADJUST_KEY_MAPPINGS</v>
      </c>
      <c r="C757" t="str">
        <v>REPT</v>
      </c>
      <c r="D757" t="str">
        <v>ZMDG_ADJUST_KEY_MAPPINGS</v>
      </c>
      <c r="E757" t="str">
        <v>XXXX</v>
      </c>
      <c r="G757" t="str">
        <v>ALL</v>
      </c>
      <c r="H757" t="str">
        <v>ZMDG_ADJUST_KEY_MAPPINGS</v>
      </c>
      <c r="K757" t="str">
        <v>E</v>
      </c>
      <c r="L757" t="str">
        <v>NSHAIK</v>
      </c>
      <c r="M757">
        <v>46020</v>
      </c>
      <c r="N757">
        <v>0.48113425925926</v>
      </c>
      <c r="W757" t="str">
        <v>SP1K961296</v>
      </c>
    </row>
    <row r="758">
      <c r="A758" t="str">
        <v>PROG</v>
      </c>
      <c r="B758" t="str">
        <v>ZMDG_BP_ROLES_MAINTAIN</v>
      </c>
      <c r="C758" t="str">
        <v>REPT</v>
      </c>
      <c r="D758" t="str">
        <v>ZMDG_BP_ROLES_MAINTAIN</v>
      </c>
      <c r="E758" t="str">
        <v>XXXX</v>
      </c>
      <c r="G758" t="str">
        <v>ALL</v>
      </c>
      <c r="H758" t="str">
        <v>ZMDG_BP_ROLES_MAINTAIN</v>
      </c>
      <c r="K758" t="str">
        <v>E</v>
      </c>
      <c r="L758" t="str">
        <v>NSHAIK</v>
      </c>
      <c r="M758">
        <v>46020</v>
      </c>
      <c r="N758">
        <v>0.48253472222222</v>
      </c>
      <c r="W758" t="str">
        <v>SP1K961296</v>
      </c>
    </row>
    <row r="759">
      <c r="A759" t="str">
        <v>PROG</v>
      </c>
      <c r="B759" t="str">
        <v>ZMDG_CR_DELETION</v>
      </c>
      <c r="C759" t="str">
        <v>REPT</v>
      </c>
      <c r="D759" t="str">
        <v>ZMDG_CR_DELETION</v>
      </c>
      <c r="E759" t="str">
        <v>XXXX</v>
      </c>
      <c r="G759" t="str">
        <v>ALL</v>
      </c>
      <c r="H759" t="str">
        <v>ZMDG_CR_DELETION</v>
      </c>
      <c r="K759" t="str">
        <v>E</v>
      </c>
      <c r="L759" t="str">
        <v>NSHAIK</v>
      </c>
      <c r="M759">
        <v>46020</v>
      </c>
      <c r="N759">
        <v>0.50246527777778</v>
      </c>
      <c r="W759" t="str">
        <v>SP1K961296</v>
      </c>
    </row>
    <row r="760">
      <c r="A760" t="str">
        <v>PROG</v>
      </c>
      <c r="B760" t="str">
        <v>ZMDG_DELETE_INDUSTRY_CODE</v>
      </c>
      <c r="C760" t="str">
        <v>REPT</v>
      </c>
      <c r="D760" t="str">
        <v>ZMDG_DELETE_INDUSTRY_CODE</v>
      </c>
      <c r="E760" t="str">
        <v>XXXX</v>
      </c>
      <c r="G760" t="str">
        <v>ALL</v>
      </c>
      <c r="H760" t="str">
        <v>ZMDG_DELETE_INDUSTRY_CODE</v>
      </c>
      <c r="K760" t="str">
        <v>E</v>
      </c>
      <c r="L760" t="str">
        <v>NSHAIK</v>
      </c>
      <c r="M760">
        <v>46020</v>
      </c>
      <c r="N760">
        <v>0.50405092592593</v>
      </c>
      <c r="W760" t="str">
        <v>SP1K961296</v>
      </c>
    </row>
    <row r="761">
      <c r="A761" t="str">
        <v>PROG</v>
      </c>
      <c r="B761" t="str">
        <v>ZMDG_PARENT_CHILD_SYNC</v>
      </c>
      <c r="C761" t="str">
        <v>REPT</v>
      </c>
      <c r="D761" t="str">
        <v>ZMDG_PARENT_CHILD_SYNC</v>
      </c>
      <c r="E761" t="str">
        <v>XXXX</v>
      </c>
      <c r="G761" t="str">
        <v>ALL</v>
      </c>
      <c r="H761" t="str">
        <v>ZMDG_PARENT_CHILD_SYNC</v>
      </c>
      <c r="K761" t="str">
        <v>E</v>
      </c>
      <c r="L761" t="str">
        <v>NSHAIK</v>
      </c>
      <c r="M761">
        <v>46020</v>
      </c>
      <c r="N761">
        <v>0.50591435185185</v>
      </c>
      <c r="W761" t="str">
        <v>SP1K961296</v>
      </c>
    </row>
    <row r="762">
      <c r="A762" t="str">
        <v>PROG</v>
      </c>
      <c r="B762" t="str">
        <v>ZMDG_SEND_EMAIL</v>
      </c>
      <c r="C762" t="str">
        <v>REPT</v>
      </c>
      <c r="D762" t="str">
        <v>ZMDG_SEND_EMAIL</v>
      </c>
      <c r="E762" t="str">
        <v>XXXX</v>
      </c>
      <c r="G762" t="str">
        <v>ALL</v>
      </c>
      <c r="H762" t="str">
        <v>ZMDG_SEND_EMAIL</v>
      </c>
      <c r="K762" t="str">
        <v>E</v>
      </c>
      <c r="L762" t="str">
        <v>NSHAIK</v>
      </c>
      <c r="M762">
        <v>46020</v>
      </c>
      <c r="N762">
        <v>0.50679398148148</v>
      </c>
      <c r="W762" t="str">
        <v>SP1K961296</v>
      </c>
    </row>
    <row r="763">
      <c r="A763" t="str">
        <v>PROG</v>
      </c>
      <c r="B763" t="str">
        <v>ZMDG_TAX_DOC_CREATE</v>
      </c>
      <c r="C763" t="str">
        <v>REPT</v>
      </c>
      <c r="D763" t="str">
        <v>ZMDG_TAX_DOC_CREATE</v>
      </c>
      <c r="E763" t="str">
        <v>XXXX</v>
      </c>
      <c r="G763" t="str">
        <v>ALL</v>
      </c>
      <c r="H763" t="str">
        <v>ZMDG_TAX_DOC_CREATE</v>
      </c>
      <c r="K763" t="str">
        <v>E</v>
      </c>
      <c r="L763" t="str">
        <v>NSHAIK</v>
      </c>
      <c r="M763">
        <v>46020</v>
      </c>
      <c r="N763">
        <v>0.50880787037037</v>
      </c>
      <c r="W763" t="str">
        <v>SP1K961296</v>
      </c>
    </row>
    <row r="764">
      <c r="A764" t="str">
        <v>PROG</v>
      </c>
      <c r="B764" t="str">
        <v>ZMDG_VEN_CHG</v>
      </c>
      <c r="C764" t="str">
        <v>REPT</v>
      </c>
      <c r="D764" t="str">
        <v>ZMDG_VEN_CHG</v>
      </c>
      <c r="E764" t="str">
        <v>XXXX</v>
      </c>
      <c r="G764" t="str">
        <v>ALL</v>
      </c>
      <c r="H764" t="str">
        <v>ZMDG_VEN_CHG</v>
      </c>
      <c r="K764" t="str">
        <v>D</v>
      </c>
      <c r="L764" t="str">
        <v>NSHAIK</v>
      </c>
      <c r="M764">
        <v>46020</v>
      </c>
      <c r="N764">
        <v>0.5118287037037</v>
      </c>
      <c r="W764" t="str">
        <v>SP1K961296</v>
      </c>
    </row>
    <row r="765">
      <c r="A765" t="str">
        <v>PROG</v>
      </c>
      <c r="B765" t="str">
        <v>ZMDG_VEN_RELATIONSHIP</v>
      </c>
      <c r="C765" t="str">
        <v>REPT</v>
      </c>
      <c r="D765" t="str">
        <v>ZMDG_VEN_RELATIONSHIP</v>
      </c>
      <c r="E765" t="str">
        <v>XXXX</v>
      </c>
      <c r="G765" t="str">
        <v>ALL</v>
      </c>
      <c r="H765" t="str">
        <v>ZMDG_VEN_RELATIONSHIP</v>
      </c>
      <c r="K765" t="str">
        <v>E</v>
      </c>
      <c r="L765" t="str">
        <v>NSHAIK</v>
      </c>
      <c r="M765">
        <v>46020</v>
      </c>
      <c r="N765">
        <v>0.51369212962963</v>
      </c>
      <c r="W765" t="str">
        <v>SP1K961296</v>
      </c>
    </row>
    <row r="766">
      <c r="A766" t="str">
        <v>PROG</v>
      </c>
      <c r="B766" t="str">
        <v>ZMM_INVENTORY_STOCK_INTERFACE</v>
      </c>
      <c r="C766" t="str">
        <v>REPT</v>
      </c>
      <c r="D766" t="str">
        <v>ZMM_INVENTORY_STOCK_INTERFACE</v>
      </c>
      <c r="G766" t="str">
        <v>ALL</v>
      </c>
      <c r="H766" t="str">
        <v>ZMM_INVENTORY_STOCK_INTERFACE</v>
      </c>
      <c r="K766" t="str">
        <v>E</v>
      </c>
      <c r="L766">
        <v>50095444</v>
      </c>
      <c r="M766">
        <v>44165</v>
      </c>
      <c r="N766">
        <v>0.49020833333333</v>
      </c>
      <c r="W766" t="str">
        <v>S01K910308</v>
      </c>
    </row>
    <row r="767">
      <c r="A767" t="str">
        <v>PROG</v>
      </c>
      <c r="B767" t="str">
        <v>ZMM_VENDOR_UPLOAD</v>
      </c>
      <c r="C767" t="str">
        <v>REPT</v>
      </c>
      <c r="D767" t="str">
        <v>ZMM_VENDOR_UPLOAD</v>
      </c>
      <c r="E767" t="str">
        <v>XXXX</v>
      </c>
      <c r="G767" t="str">
        <v>ALL</v>
      </c>
      <c r="H767" t="str">
        <v>ZMM_VENDOR_UPLOAD</v>
      </c>
      <c r="K767" t="str">
        <v>E</v>
      </c>
      <c r="L767" t="str">
        <v>NSHAIK</v>
      </c>
      <c r="M767">
        <v>46020</v>
      </c>
      <c r="N767">
        <v>0.51517361111111</v>
      </c>
      <c r="W767" t="str">
        <v>SP1K961296</v>
      </c>
    </row>
    <row r="768">
      <c r="A768" t="str">
        <v>PROG</v>
      </c>
      <c r="B768" t="str">
        <v>ZOPT_COA_UPLCFG_REPORTF01</v>
      </c>
      <c r="C768" t="str">
        <v>REPS</v>
      </c>
      <c r="D768" t="str">
        <v>ZOPT_COA_UPLCFG_REPORTF01</v>
      </c>
      <c r="E768" t="str">
        <v>PU</v>
      </c>
      <c r="F768" t="str">
        <v>INITIALIZATION</v>
      </c>
      <c r="G768" t="str">
        <v>MOD</v>
      </c>
      <c r="H768" t="str">
        <v>ZOPT_COA_UPLOAD_REPORT</v>
      </c>
      <c r="K768" t="str">
        <v>E</v>
      </c>
      <c r="L768" t="str">
        <v>CST_DDIENES</v>
      </c>
      <c r="M768">
        <v>43998</v>
      </c>
      <c r="N768">
        <v>0.50986111111111</v>
      </c>
      <c r="W768" t="str">
        <v>SP1K911052</v>
      </c>
    </row>
    <row r="769">
      <c r="A769" t="str">
        <v>PROG</v>
      </c>
      <c r="B769" t="str">
        <v>ZOTCC_CUSTOMER_MASTER</v>
      </c>
      <c r="C769" t="str">
        <v>REPS</v>
      </c>
      <c r="D769" t="str">
        <v>ZOTCC_CUSTOMER_MASTER</v>
      </c>
      <c r="E769" t="str">
        <v>PE</v>
      </c>
      <c r="F769" t="str">
        <v>START-OF-SELECTION</v>
      </c>
      <c r="G769" t="str">
        <v>MOD</v>
      </c>
      <c r="H769" t="str">
        <v>ZOTCC_CUSTOMER_MASTER</v>
      </c>
      <c r="K769" t="str">
        <v>E</v>
      </c>
      <c r="L769" t="str">
        <v>CST_UKHANNA</v>
      </c>
      <c r="M769">
        <v>43721</v>
      </c>
      <c r="N769">
        <v>0.52564814814815</v>
      </c>
      <c r="W769" t="str">
        <v>X01K900707</v>
      </c>
    </row>
    <row r="770">
      <c r="A770" t="str">
        <v>PROG</v>
      </c>
      <c r="B770" t="str">
        <v>ZOTC_CUSTOMER_MASTER_F01</v>
      </c>
      <c r="C770" t="str">
        <v>REPS</v>
      </c>
      <c r="D770" t="str">
        <v>ZOTC_CUSTOMER_MASTER_F01</v>
      </c>
      <c r="E770" t="str">
        <v>PA</v>
      </c>
      <c r="F770" t="str">
        <v>U&lt;-UPDATE_CNT_JOBLOG</v>
      </c>
      <c r="G770" t="str">
        <v>MOD</v>
      </c>
      <c r="H770" t="str">
        <v>ZOTCC_CUSTOMER_MASTER</v>
      </c>
      <c r="K770" t="str">
        <v>E</v>
      </c>
      <c r="L770" t="str">
        <v>CST_UKHANNA</v>
      </c>
      <c r="M770">
        <v>43721</v>
      </c>
      <c r="N770">
        <v>0.52865740740741</v>
      </c>
      <c r="W770" t="str">
        <v>X01K900707</v>
      </c>
    </row>
    <row r="771">
      <c r="A771" t="str">
        <v>PROG</v>
      </c>
      <c r="B771" t="str">
        <v>ZOTC_CUSTOMER_MASTER_TOP</v>
      </c>
      <c r="C771" t="str">
        <v>REPS</v>
      </c>
      <c r="D771" t="str">
        <v>ZOTC_CUSTOMER_MASTER_TOP</v>
      </c>
      <c r="E771" t="str">
        <v>PN</v>
      </c>
      <c r="F771" t="str">
        <v>N-&gt;ZOTC_CUSTOMER_MASTER_TOP</v>
      </c>
      <c r="G771" t="str">
        <v>MOD</v>
      </c>
      <c r="H771" t="str">
        <v>ZOTCC_CUSTOMER_MASTER</v>
      </c>
      <c r="K771" t="str">
        <v>E</v>
      </c>
      <c r="L771" t="str">
        <v>CST_UKHANNA</v>
      </c>
      <c r="M771">
        <v>43718</v>
      </c>
      <c r="N771">
        <v>0.66513888888889</v>
      </c>
      <c r="W771" t="str">
        <v>X01K900707</v>
      </c>
    </row>
    <row r="772">
      <c r="A772" t="str">
        <v>PROG</v>
      </c>
      <c r="B772" t="str">
        <v>ZPO_KZAZU_SET</v>
      </c>
      <c r="C772" t="str">
        <v>REPS</v>
      </c>
      <c r="D772" t="str">
        <v>ZPO_KZAZU_SET</v>
      </c>
      <c r="F772" t="str">
        <v>002075125819773     00010462560001</v>
      </c>
      <c r="G772" t="str">
        <v>NOTE</v>
      </c>
      <c r="J772">
        <v>1509390008</v>
      </c>
      <c r="L772" t="str">
        <v>CST_IROHIT</v>
      </c>
      <c r="M772">
        <v>44599</v>
      </c>
      <c r="N772">
        <v>0.44296296296296</v>
      </c>
      <c r="R772" t="str">
        <v>A</v>
      </c>
      <c r="W772" t="str">
        <v>SP1K928637</v>
      </c>
    </row>
    <row r="773">
      <c r="A773" t="str">
        <v>PROG</v>
      </c>
      <c r="B773" t="str">
        <v>ZPPR_INVENTORY_RPT1_IMP</v>
      </c>
      <c r="C773" t="str">
        <v>REPS</v>
      </c>
      <c r="D773" t="str">
        <v>ZPPR_INVENTORY_RPT1_IMP</v>
      </c>
      <c r="E773" t="str">
        <v>PU</v>
      </c>
      <c r="F773" t="str">
        <v>F_SET_COMPONENTS</v>
      </c>
      <c r="G773" t="str">
        <v>MOD</v>
      </c>
      <c r="H773" t="str">
        <v>ZPPR_INVENTORY_ANALYSIS_RPT1</v>
      </c>
      <c r="K773" t="str">
        <v>E</v>
      </c>
      <c r="L773" t="str">
        <v>CST_SOURYA</v>
      </c>
      <c r="M773">
        <v>46199</v>
      </c>
      <c r="N773">
        <v>0.16983796296296</v>
      </c>
      <c r="W773" t="str">
        <v>S01K928200</v>
      </c>
    </row>
    <row r="774">
      <c r="A774" t="str">
        <v>PROG</v>
      </c>
      <c r="B774" t="str">
        <v>ZPTMR_PLANNEDORDER_01</v>
      </c>
      <c r="C774" t="str">
        <v>DYNP</v>
      </c>
      <c r="D774" t="str">
        <v>ZPTMR_PLANNEDORDER_01                   9002</v>
      </c>
      <c r="E774" t="str">
        <v>DYNP</v>
      </c>
      <c r="G774" t="str">
        <v>ALL</v>
      </c>
      <c r="H774" t="str">
        <v>ZPTMR_PLANNEDORDER_01</v>
      </c>
      <c r="K774" t="str">
        <v>E</v>
      </c>
      <c r="L774">
        <v>50117741</v>
      </c>
      <c r="M774">
        <v>45097</v>
      </c>
      <c r="N774">
        <v>0.7702662037037</v>
      </c>
    </row>
    <row r="775">
      <c r="A775" t="str">
        <v>PROG</v>
      </c>
      <c r="B775" t="str">
        <v>ZPTPR_MASS_PO_CONFIRMATION</v>
      </c>
      <c r="C775" t="str">
        <v>REPT</v>
      </c>
      <c r="D775" t="str">
        <v>ZPTPR_MASS_PO_CONFIRMATION</v>
      </c>
      <c r="G775" t="str">
        <v>ALL</v>
      </c>
      <c r="H775" t="str">
        <v>ZPTPR_MASS_PO_CONFIRMATION</v>
      </c>
      <c r="K775" t="str">
        <v>E</v>
      </c>
      <c r="L775">
        <v>50083766</v>
      </c>
      <c r="M775">
        <v>44347</v>
      </c>
      <c r="N775">
        <v>0.30717592592593</v>
      </c>
      <c r="W775" t="str">
        <v>S01K911500</v>
      </c>
    </row>
    <row r="776">
      <c r="A776" t="str">
        <v>PROG</v>
      </c>
      <c r="B776" t="str">
        <v>ZPTPR_POFORM_F03</v>
      </c>
      <c r="C776" t="str">
        <v>REPS</v>
      </c>
      <c r="D776" t="str">
        <v>ZPTPR_POFORM_F03</v>
      </c>
      <c r="E776" t="str">
        <v>PN</v>
      </c>
      <c r="F776" t="str">
        <v>N-&gt;ZPTPR_POFORM_F03</v>
      </c>
      <c r="G776" t="str">
        <v>MOD</v>
      </c>
      <c r="K776" t="str">
        <v>E</v>
      </c>
      <c r="L776" t="str">
        <v>CST_SOURYA</v>
      </c>
      <c r="M776">
        <v>46168</v>
      </c>
      <c r="N776">
        <v>0.12045138888889</v>
      </c>
      <c r="W776" t="str">
        <v>S01K928552</v>
      </c>
    </row>
    <row r="777">
      <c r="A777" t="str">
        <v>PROG</v>
      </c>
      <c r="B777" t="str">
        <v>ZRARR_ACCRUALS_ORDER_REPORT</v>
      </c>
      <c r="C777" t="str">
        <v>REPT</v>
      </c>
      <c r="D777" t="str">
        <v>ZRARR_ACCRUALS_ORDER_REPORT</v>
      </c>
      <c r="G777" t="str">
        <v>ALL</v>
      </c>
      <c r="L777">
        <v>50095444</v>
      </c>
      <c r="M777">
        <v>44358</v>
      </c>
      <c r="N777">
        <v>0.45030092592593</v>
      </c>
      <c r="P777" t="str">
        <v>R</v>
      </c>
      <c r="S777" t="str">
        <v>X</v>
      </c>
      <c r="W777" t="str">
        <v>S01K911868</v>
      </c>
    </row>
    <row r="778">
      <c r="A778" t="str">
        <v>PROG</v>
      </c>
      <c r="B778" t="str">
        <v>ZRP_MDG_VEND_MIG</v>
      </c>
      <c r="C778" t="str">
        <v>REPT</v>
      </c>
      <c r="D778" t="str">
        <v>ZRP_MDG_VEND_MIG</v>
      </c>
      <c r="E778" t="str">
        <v>XXXX</v>
      </c>
      <c r="G778" t="str">
        <v>ALL</v>
      </c>
      <c r="H778" t="str">
        <v>ZRP_MDG_VEND_MIG</v>
      </c>
      <c r="K778" t="str">
        <v>E</v>
      </c>
      <c r="L778" t="str">
        <v>NSHAIK</v>
      </c>
      <c r="M778">
        <v>46020</v>
      </c>
      <c r="N778">
        <v>0.51707175925926</v>
      </c>
      <c r="W778" t="str">
        <v>SP1K961296</v>
      </c>
    </row>
    <row r="779">
      <c r="A779" t="str">
        <v>PROG</v>
      </c>
      <c r="B779" t="str">
        <v>ZRTRR1008_LCA_SAVINGS_REPORT</v>
      </c>
      <c r="C779" t="str">
        <v>REPT</v>
      </c>
      <c r="D779" t="str">
        <v>ZRTRR1008_LCA_SAVINGS_REPORT</v>
      </c>
      <c r="G779" t="str">
        <v>ALL</v>
      </c>
      <c r="H779" t="str">
        <v>ZRTRR1008_LCA_SAVINGS_REPORT</v>
      </c>
      <c r="K779" t="str">
        <v>E</v>
      </c>
      <c r="L779" t="str">
        <v>SSUDARSHAN</v>
      </c>
      <c r="M779">
        <v>45183</v>
      </c>
      <c r="N779">
        <v>0.2721875</v>
      </c>
      <c r="W779" t="str">
        <v>S01K918279</v>
      </c>
    </row>
    <row r="780">
      <c r="A780" t="str">
        <v>PROG</v>
      </c>
      <c r="B780" t="str">
        <v>ZRTR_OSMI_DISPLAY</v>
      </c>
      <c r="C780" t="str">
        <v>REPT</v>
      </c>
      <c r="D780" t="str">
        <v>ZRTR_OSMI_DISPLAY</v>
      </c>
      <c r="G780" t="str">
        <v>ALL</v>
      </c>
      <c r="H780" t="str">
        <v>ZRTR_OSMI_DISPLAY</v>
      </c>
      <c r="K780" t="str">
        <v>E</v>
      </c>
      <c r="L780" t="str">
        <v>NSHAIK</v>
      </c>
      <c r="M780">
        <v>45923</v>
      </c>
      <c r="N780">
        <v>0.25626157407407</v>
      </c>
      <c r="W780" t="str">
        <v>S01K926358</v>
      </c>
    </row>
    <row r="781">
      <c r="A781" t="str">
        <v>PROG</v>
      </c>
      <c r="B781" t="str">
        <v>ZSAP_KSRCP_DB_INSERT</v>
      </c>
      <c r="C781" t="str">
        <v>REPS</v>
      </c>
      <c r="D781" t="str">
        <v>ZSAP_KSRCP_DB_INSERT</v>
      </c>
      <c r="F781" t="str">
        <v>002075125919773     00004592810004</v>
      </c>
      <c r="G781" t="str">
        <v>NOTE</v>
      </c>
      <c r="H781" t="str">
        <v>ZSAP_KSRCP_DB_INSERT</v>
      </c>
      <c r="J781">
        <v>27276390004</v>
      </c>
      <c r="L781" t="str">
        <v>CDELACRUZ</v>
      </c>
      <c r="M781">
        <v>45339</v>
      </c>
      <c r="N781">
        <v>0.45196759259259</v>
      </c>
      <c r="R781" t="str">
        <v>M</v>
      </c>
      <c r="W781" t="str">
        <v>P01K900070</v>
      </c>
    </row>
    <row r="782">
      <c r="A782" t="str">
        <v>PROG</v>
      </c>
      <c r="B782" t="str">
        <v>ZSDR_CUSTMATINFO_UPLOAD</v>
      </c>
      <c r="C782" t="str">
        <v>REPT</v>
      </c>
      <c r="D782" t="str">
        <v>ZSDR_CUSTMATINFO_UPLOAD</v>
      </c>
      <c r="G782" t="str">
        <v>ALL</v>
      </c>
      <c r="H782" t="str">
        <v>ZSDR_CUSTMATINFO_UPLOAD</v>
      </c>
      <c r="K782" t="str">
        <v>E</v>
      </c>
      <c r="L782" t="str">
        <v>CST_UKHANNA</v>
      </c>
      <c r="M782">
        <v>43707</v>
      </c>
      <c r="N782">
        <v>0.57152777777778</v>
      </c>
      <c r="W782" t="str">
        <v>X01K900529</v>
      </c>
    </row>
    <row r="783">
      <c r="A783" t="str">
        <v>PROG</v>
      </c>
      <c r="B783" t="str">
        <v>ZSDR_CUSTMATINFO_UPLOADF01</v>
      </c>
      <c r="C783" t="str">
        <v>REPS</v>
      </c>
      <c r="D783" t="str">
        <v>ZSDR_CUSTMATINFO_UPLOADF01</v>
      </c>
      <c r="E783" t="str">
        <v>PU</v>
      </c>
      <c r="F783" t="str">
        <v>FORMAT_DATA</v>
      </c>
      <c r="G783" t="str">
        <v>MOD</v>
      </c>
      <c r="H783" t="str">
        <v>ZSDR_CUSTMATINFO_UPLOAD</v>
      </c>
      <c r="K783" t="str">
        <v>E</v>
      </c>
      <c r="L783" t="str">
        <v>CST_UKHANNA</v>
      </c>
      <c r="M783">
        <v>43711</v>
      </c>
      <c r="N783">
        <v>0.55789351851852</v>
      </c>
      <c r="W783" t="str">
        <v>X01K900529</v>
      </c>
    </row>
    <row r="784">
      <c r="A784" t="str">
        <v>PROG</v>
      </c>
      <c r="B784" t="str">
        <v>ZSDR_CUSTMATINFO_UPLOADF01</v>
      </c>
      <c r="C784" t="str">
        <v>REPS</v>
      </c>
      <c r="D784" t="str">
        <v>ZSDR_CUSTMATINFO_UPLOADF01</v>
      </c>
      <c r="E784" t="str">
        <v>PU</v>
      </c>
      <c r="F784" t="str">
        <v>PROCESS_RECORDS</v>
      </c>
      <c r="G784" t="str">
        <v>MOD</v>
      </c>
      <c r="H784" t="str">
        <v>ZSDR_CUSTMATINFO_UPLOAD</v>
      </c>
      <c r="K784" t="str">
        <v>E</v>
      </c>
      <c r="L784" t="str">
        <v>CST_UKHANNA</v>
      </c>
      <c r="M784">
        <v>43711</v>
      </c>
      <c r="N784">
        <v>0.55789351851852</v>
      </c>
      <c r="W784" t="str">
        <v>X01K900529</v>
      </c>
    </row>
    <row r="785">
      <c r="A785" t="str">
        <v>PROG</v>
      </c>
      <c r="B785" t="str">
        <v>ZSDR_CUSTMATINFO_UPLOADF01</v>
      </c>
      <c r="C785" t="str">
        <v>REPS</v>
      </c>
      <c r="D785" t="str">
        <v>ZSDR_CUSTMATINFO_UPLOADF01</v>
      </c>
      <c r="E785" t="str">
        <v>PU</v>
      </c>
      <c r="F785" t="str">
        <v>VALIDATE_DATA</v>
      </c>
      <c r="G785" t="str">
        <v>MOD</v>
      </c>
      <c r="H785" t="str">
        <v>ZSDR_CUSTMATINFO_UPLOAD</v>
      </c>
      <c r="K785" t="str">
        <v>E</v>
      </c>
      <c r="L785" t="str">
        <v>CST_UKHANNA</v>
      </c>
      <c r="M785">
        <v>43711</v>
      </c>
      <c r="N785">
        <v>0.55789351851852</v>
      </c>
      <c r="W785" t="str">
        <v>X01K900529</v>
      </c>
    </row>
    <row r="786">
      <c r="A786" t="str">
        <v>PROG</v>
      </c>
      <c r="B786" t="str">
        <v>ZSDR_CUSTMATINFO_UPLOAD_TOP</v>
      </c>
      <c r="C786" t="str">
        <v>REPS</v>
      </c>
      <c r="D786" t="str">
        <v>ZSDR_CUSTMATINFO_UPLOAD_TOP</v>
      </c>
      <c r="E786" t="str">
        <v>PN</v>
      </c>
      <c r="F786" t="str">
        <v>N-&gt;ZSDR_CUSTMATINFO_UPLOAD_TOP</v>
      </c>
      <c r="G786" t="str">
        <v>MOD</v>
      </c>
      <c r="H786" t="str">
        <v>ZSDR_CUSTMATINFO_UPLOAD</v>
      </c>
      <c r="K786" t="str">
        <v>E</v>
      </c>
      <c r="L786" t="str">
        <v>CST_UKHANNA</v>
      </c>
      <c r="M786">
        <v>43709</v>
      </c>
      <c r="N786">
        <v>0.55732638888889</v>
      </c>
      <c r="W786" t="str">
        <v>X01K900529</v>
      </c>
    </row>
    <row r="787">
      <c r="A787" t="str">
        <v>PROG</v>
      </c>
      <c r="B787" t="str">
        <v>ZSDR_PEGGING</v>
      </c>
      <c r="C787" t="str">
        <v>REPT</v>
      </c>
      <c r="D787" t="str">
        <v>ZSDR_PEGGING</v>
      </c>
      <c r="G787" t="str">
        <v>ALL</v>
      </c>
      <c r="H787" t="str">
        <v>ZSDR_PEGGING</v>
      </c>
      <c r="K787" t="str">
        <v>E</v>
      </c>
      <c r="L787" t="str">
        <v>CST_SOURYA</v>
      </c>
      <c r="M787">
        <v>46123</v>
      </c>
      <c r="N787">
        <v>0.68758101851852</v>
      </c>
      <c r="W787" t="str">
        <v>S01K929276</v>
      </c>
    </row>
    <row r="788">
      <c r="A788" t="str">
        <v>PROG</v>
      </c>
      <c r="B788" t="str">
        <v>ZXFYTF03</v>
      </c>
      <c r="C788" t="str">
        <v>REPS</v>
      </c>
      <c r="D788" t="str">
        <v>ZXFYTF03</v>
      </c>
      <c r="E788" t="str">
        <v>PA</v>
      </c>
      <c r="F788" t="str">
        <v>U&lt;-IS_INVOICE_TTV_OVERRIDE</v>
      </c>
      <c r="G788" t="str">
        <v>MOD</v>
      </c>
      <c r="H788" t="str">
        <v>SAPLXFYT</v>
      </c>
      <c r="K788" t="str">
        <v>E</v>
      </c>
      <c r="L788" t="str">
        <v>JVITER</v>
      </c>
      <c r="M788">
        <v>44192</v>
      </c>
      <c r="N788">
        <v>0.94451388888889</v>
      </c>
      <c r="W788" t="str">
        <v>SP1K917395</v>
      </c>
    </row>
    <row r="789">
      <c r="A789" t="str">
        <v>PROG</v>
      </c>
      <c r="B789" t="str">
        <v>ZXFYTU03</v>
      </c>
      <c r="C789" t="str">
        <v>REPS</v>
      </c>
      <c r="D789" t="str">
        <v>ZXFYTU03</v>
      </c>
      <c r="E789" t="str">
        <v>PN</v>
      </c>
      <c r="F789" t="str">
        <v>N-&gt;ZXFYTU03</v>
      </c>
      <c r="G789" t="str">
        <v>MOD</v>
      </c>
      <c r="H789" t="str">
        <v>SAPLXFYT</v>
      </c>
      <c r="K789" t="str">
        <v>E</v>
      </c>
      <c r="L789" t="str">
        <v>JVITER</v>
      </c>
      <c r="M789">
        <v>44192</v>
      </c>
      <c r="N789">
        <v>0.93291666666667</v>
      </c>
      <c r="W789" t="str">
        <v>SP1K917395</v>
      </c>
    </row>
    <row r="790">
      <c r="A790" t="str">
        <v>PROG</v>
      </c>
      <c r="B790" t="str">
        <v>ZXKKEU11</v>
      </c>
      <c r="C790" t="str">
        <v>REPS</v>
      </c>
      <c r="D790" t="str">
        <v>ZXKKEU11</v>
      </c>
      <c r="E790" t="str">
        <v>PN</v>
      </c>
      <c r="F790" t="str">
        <v>N-&gt;ZXKKEU11</v>
      </c>
      <c r="G790" t="str">
        <v>MOD</v>
      </c>
      <c r="H790" t="str">
        <v>SAPLXKKE</v>
      </c>
      <c r="K790" t="str">
        <v>E</v>
      </c>
      <c r="L790" t="str">
        <v>CST_VMADESWA</v>
      </c>
      <c r="M790">
        <v>46161</v>
      </c>
      <c r="N790">
        <v>0.42673611111111</v>
      </c>
      <c r="W790" t="str">
        <v>S01K928161</v>
      </c>
    </row>
    <row r="791">
      <c r="A791" t="str">
        <v>PROG</v>
      </c>
      <c r="B791" t="str">
        <v>ZXM06U36</v>
      </c>
      <c r="C791" t="str">
        <v>REPS</v>
      </c>
      <c r="D791" t="str">
        <v>ZXM06U36</v>
      </c>
      <c r="E791" t="str">
        <v>PN</v>
      </c>
      <c r="F791" t="str">
        <v>N-&gt;ZXM06U36</v>
      </c>
      <c r="G791" t="str">
        <v>MOD</v>
      </c>
      <c r="H791" t="str">
        <v>SAPLXM06</v>
      </c>
      <c r="K791" t="str">
        <v>E</v>
      </c>
      <c r="L791">
        <v>10184419</v>
      </c>
      <c r="M791">
        <v>45933</v>
      </c>
      <c r="N791">
        <v>0.50141203703704</v>
      </c>
      <c r="W791" t="str">
        <v>SP1K958877</v>
      </c>
    </row>
    <row r="792">
      <c r="A792" t="str">
        <v>PROG</v>
      </c>
      <c r="B792" t="str">
        <v>ZXM06U37</v>
      </c>
      <c r="C792" t="str">
        <v>REPS</v>
      </c>
      <c r="D792" t="str">
        <v>ZXM06U37</v>
      </c>
      <c r="E792" t="str">
        <v>PN</v>
      </c>
      <c r="F792" t="str">
        <v>N-&gt;ZXM06U37</v>
      </c>
      <c r="G792" t="str">
        <v>MOD</v>
      </c>
      <c r="H792" t="str">
        <v>SAPLXM06</v>
      </c>
      <c r="K792" t="str">
        <v>E</v>
      </c>
      <c r="L792" t="str">
        <v>CST_RHIMAJA</v>
      </c>
      <c r="M792">
        <v>44469</v>
      </c>
      <c r="N792">
        <v>0.46142361111111</v>
      </c>
      <c r="W792" t="str">
        <v>SP1K923854</v>
      </c>
    </row>
    <row r="793">
      <c r="A793" t="str">
        <v>PROG</v>
      </c>
      <c r="B793" t="str">
        <v>ZXM06ZZZ</v>
      </c>
      <c r="C793" t="str">
        <v>REPS</v>
      </c>
      <c r="D793" t="str">
        <v>ZXM06ZZZ</v>
      </c>
      <c r="E793" t="str">
        <v>PN</v>
      </c>
      <c r="F793" t="str">
        <v>N-&gt;ZXM06ZZZ</v>
      </c>
      <c r="G793" t="str">
        <v>MOD</v>
      </c>
      <c r="H793" t="str">
        <v>ZXM06ZZZ</v>
      </c>
      <c r="K793" t="str">
        <v>E</v>
      </c>
      <c r="L793" t="str">
        <v>CST_SURBHI</v>
      </c>
      <c r="M793">
        <v>43852</v>
      </c>
      <c r="N793">
        <v>0.3971875</v>
      </c>
      <c r="W793" t="str">
        <v>SP1K902649</v>
      </c>
    </row>
    <row r="794">
      <c r="A794" t="str">
        <v>PROG</v>
      </c>
      <c r="B794" t="str">
        <v>ZXTRKU02</v>
      </c>
      <c r="C794" t="str">
        <v>REPS</v>
      </c>
      <c r="D794" t="str">
        <v>ZXTRKU02</v>
      </c>
      <c r="E794" t="str">
        <v>PN</v>
      </c>
      <c r="F794" t="str">
        <v>N-&gt;ZXTRKU02</v>
      </c>
      <c r="G794" t="str">
        <v>MOD</v>
      </c>
      <c r="H794" t="str">
        <v>SAPLXTRK</v>
      </c>
      <c r="K794" t="str">
        <v>E</v>
      </c>
      <c r="L794">
        <v>50067378</v>
      </c>
      <c r="M794">
        <v>45972</v>
      </c>
      <c r="N794">
        <v>0.83605324074074</v>
      </c>
      <c r="W794" t="str">
        <v>S01K926098</v>
      </c>
    </row>
    <row r="795">
      <c r="A795" t="str">
        <v>PROG</v>
      </c>
      <c r="B795" t="str">
        <v>ZXV05U06</v>
      </c>
      <c r="C795" t="str">
        <v>REPS</v>
      </c>
      <c r="D795" t="str">
        <v>ZXV05U06</v>
      </c>
      <c r="F795" t="str">
        <v>002075125819773     00002332850004</v>
      </c>
      <c r="G795" t="str">
        <v>NOTE</v>
      </c>
      <c r="H795" t="str">
        <v>SAPLXV05</v>
      </c>
      <c r="J795">
        <v>385010019</v>
      </c>
      <c r="L795">
        <v>50118183</v>
      </c>
      <c r="M795">
        <v>44736</v>
      </c>
      <c r="N795">
        <v>0.22398148148148</v>
      </c>
      <c r="R795" t="str">
        <v>C</v>
      </c>
      <c r="W795" t="str">
        <v>SP1K933523</v>
      </c>
    </row>
    <row r="796">
      <c r="A796" t="str">
        <v>PROG</v>
      </c>
      <c r="B796" t="str">
        <v>ZXVEDTOP</v>
      </c>
      <c r="C796" t="str">
        <v>REPS</v>
      </c>
      <c r="D796" t="str">
        <v>ZXVEDTOP</v>
      </c>
      <c r="E796" t="str">
        <v>PN</v>
      </c>
      <c r="F796" t="str">
        <v>N-&gt;ZXVEDTOP</v>
      </c>
      <c r="G796" t="str">
        <v>MOD</v>
      </c>
      <c r="H796" t="str">
        <v>SAPLXVED</v>
      </c>
      <c r="K796" t="str">
        <v>E</v>
      </c>
      <c r="L796" t="str">
        <v>CST_VRAGHAV</v>
      </c>
      <c r="M796">
        <v>43755</v>
      </c>
      <c r="N796">
        <v>0.43069444444444</v>
      </c>
    </row>
    <row r="797">
      <c r="A797" t="str">
        <v>PROG</v>
      </c>
      <c r="B797" t="str">
        <v>Z_BATCH_CONVERSION</v>
      </c>
      <c r="C797" t="str">
        <v>REPS</v>
      </c>
      <c r="D797" t="str">
        <v>Z_BATCH_CONVERSION</v>
      </c>
      <c r="E797" t="str">
        <v>PE</v>
      </c>
      <c r="F797" t="str">
        <v>START-OF-SELECTION</v>
      </c>
      <c r="G797" t="str">
        <v>MOD</v>
      </c>
      <c r="H797" t="str">
        <v>Z_BATCH_CONVERSION</v>
      </c>
      <c r="K797" t="str">
        <v>E</v>
      </c>
      <c r="L797" t="str">
        <v>CST_UKHANNA</v>
      </c>
      <c r="M797">
        <v>43725</v>
      </c>
      <c r="N797">
        <v>0.39766203703704</v>
      </c>
      <c r="W797" t="str">
        <v>X01K900802</v>
      </c>
    </row>
    <row r="798">
      <c r="A798" t="str">
        <v>PROG</v>
      </c>
      <c r="B798" t="str">
        <v>Z_BATCH_CONVERSION_F01</v>
      </c>
      <c r="C798" t="str">
        <v>REPS</v>
      </c>
      <c r="D798" t="str">
        <v>Z_BATCH_CONVERSION_F01</v>
      </c>
      <c r="E798" t="str">
        <v>PU</v>
      </c>
      <c r="F798" t="str">
        <v>CREATE_ENTRIES</v>
      </c>
      <c r="G798" t="str">
        <v>MOD</v>
      </c>
      <c r="H798" t="str">
        <v>Z_BATCH_CONVERSION</v>
      </c>
      <c r="K798" t="str">
        <v>E</v>
      </c>
      <c r="L798" t="str">
        <v>CST_UKHANNA</v>
      </c>
      <c r="M798">
        <v>43725</v>
      </c>
      <c r="N798">
        <v>0.400625</v>
      </c>
      <c r="W798" t="str">
        <v>X01K900802</v>
      </c>
    </row>
    <row r="799">
      <c r="A799" t="str">
        <v>PROG</v>
      </c>
      <c r="B799" t="str">
        <v>Z_CREATE_LONG_TEXT</v>
      </c>
      <c r="C799" t="str">
        <v>REPT</v>
      </c>
      <c r="D799" t="str">
        <v>Z_CREATE_LONG_TEXT</v>
      </c>
      <c r="G799" t="str">
        <v>ALL</v>
      </c>
      <c r="H799" t="str">
        <v>Z_CREATE_LONG_TEXT</v>
      </c>
      <c r="K799" t="str">
        <v>E</v>
      </c>
      <c r="L799" t="str">
        <v>CST_PPHANEEN</v>
      </c>
      <c r="M799">
        <v>43689</v>
      </c>
      <c r="N799">
        <v>0.32666666666667</v>
      </c>
      <c r="W799" t="str">
        <v>X01K900315</v>
      </c>
    </row>
    <row r="800">
      <c r="A800" t="str">
        <v>PROG</v>
      </c>
      <c r="B800" t="str">
        <v>Z_CREATE_LONG_TEXT_SEL</v>
      </c>
      <c r="C800" t="str">
        <v>REPS</v>
      </c>
      <c r="D800" t="str">
        <v>Z_CREATE_LONG_TEXT_SEL</v>
      </c>
      <c r="E800" t="str">
        <v>PN</v>
      </c>
      <c r="F800" t="str">
        <v>N-&gt;Z_CREATE_LONG_TEXT_SEL</v>
      </c>
      <c r="G800" t="str">
        <v>MOD</v>
      </c>
      <c r="H800" t="str">
        <v>Z_CREATE_LONG_TEXT</v>
      </c>
      <c r="K800" t="str">
        <v>E</v>
      </c>
      <c r="L800" t="str">
        <v>CST_PPHANEEN</v>
      </c>
      <c r="M800">
        <v>43689</v>
      </c>
      <c r="N800">
        <v>0.32539351851852</v>
      </c>
      <c r="W800" t="str">
        <v>X01K900315</v>
      </c>
    </row>
    <row r="801">
      <c r="A801" t="str">
        <v>PROG</v>
      </c>
      <c r="B801" t="str">
        <v>Z_CREATE_LONG_TEXT_SUB</v>
      </c>
      <c r="C801" t="str">
        <v>REPS</v>
      </c>
      <c r="D801" t="str">
        <v>Z_CREATE_LONG_TEXT_SUB</v>
      </c>
      <c r="E801" t="str">
        <v>DUMY</v>
      </c>
      <c r="G801" t="str">
        <v>ALL</v>
      </c>
      <c r="H801" t="str">
        <v>Z_CREATE_LONG_TEXT</v>
      </c>
      <c r="K801" t="str">
        <v>E</v>
      </c>
      <c r="L801" t="str">
        <v>CST_PPHANEEN</v>
      </c>
      <c r="M801">
        <v>43690</v>
      </c>
      <c r="N801">
        <v>0.31030092592593</v>
      </c>
      <c r="W801" t="str">
        <v>X01K900315</v>
      </c>
    </row>
    <row r="802">
      <c r="A802" t="str">
        <v>PROG</v>
      </c>
      <c r="B802" t="str">
        <v>Z_CREATE_LONG_TEXT_TOP</v>
      </c>
      <c r="C802" t="str">
        <v>REPS</v>
      </c>
      <c r="D802" t="str">
        <v>Z_CREATE_LONG_TEXT_TOP</v>
      </c>
      <c r="E802" t="str">
        <v>PN</v>
      </c>
      <c r="F802" t="str">
        <v>N-&gt;Z_CREATE_LONG_TEXT_TOP</v>
      </c>
      <c r="G802" t="str">
        <v>MOD</v>
      </c>
      <c r="H802" t="str">
        <v>Z_CREATE_LONG_TEXT</v>
      </c>
      <c r="K802" t="str">
        <v>E</v>
      </c>
      <c r="L802" t="str">
        <v>CST_PPHANEEN</v>
      </c>
      <c r="M802">
        <v>43690</v>
      </c>
      <c r="N802">
        <v>0.26070601851852</v>
      </c>
      <c r="W802" t="str">
        <v>X01K900315</v>
      </c>
    </row>
    <row r="803">
      <c r="A803" t="str">
        <v>PROG</v>
      </c>
      <c r="B803" t="str">
        <v>Z_PRICING_COND_UPLOAD_F01</v>
      </c>
      <c r="C803" t="str">
        <v>REPS</v>
      </c>
      <c r="D803" t="str">
        <v>Z_PRICING_COND_UPLOAD_F01</v>
      </c>
      <c r="E803" t="str">
        <v>PU</v>
      </c>
      <c r="F803" t="str">
        <v>CHECK_FILENAME_EXIST</v>
      </c>
      <c r="G803" t="str">
        <v>MOD</v>
      </c>
      <c r="H803" t="str">
        <v>Z_PRICING_CONDITIONS_UPLOAD</v>
      </c>
      <c r="K803" t="str">
        <v>E</v>
      </c>
      <c r="L803" t="str">
        <v>PPHANEENDRA</v>
      </c>
      <c r="M803">
        <v>43647</v>
      </c>
      <c r="N803">
        <v>0.315</v>
      </c>
      <c r="W803" t="str">
        <v>FLSK900734</v>
      </c>
    </row>
    <row r="804">
      <c r="A804" t="str">
        <v>PROG</v>
      </c>
      <c r="B804" t="str">
        <v>Z_PURCHASING_INFO_REC_SUB</v>
      </c>
      <c r="C804" t="str">
        <v>REPS</v>
      </c>
      <c r="D804" t="str">
        <v>Z_PURCHASING_INFO_REC_SUB</v>
      </c>
      <c r="E804" t="str">
        <v>PU</v>
      </c>
      <c r="F804" t="str">
        <v>CALL_METHODS</v>
      </c>
      <c r="G804" t="str">
        <v>MOD</v>
      </c>
      <c r="H804" t="str">
        <v>Z_REUSE_PURCHASING_INFO_REC</v>
      </c>
      <c r="K804" t="str">
        <v>E</v>
      </c>
      <c r="L804" t="str">
        <v>CST_UKHANNA</v>
      </c>
      <c r="M804">
        <v>43721</v>
      </c>
      <c r="N804">
        <v>0.51643518518519</v>
      </c>
      <c r="W804" t="str">
        <v>X01K900707</v>
      </c>
    </row>
    <row r="805">
      <c r="A805" t="str">
        <v>PROG</v>
      </c>
      <c r="B805" t="str">
        <v>Z_PURCHASING_INFO_REC_SUB</v>
      </c>
      <c r="C805" t="str">
        <v>REPS</v>
      </c>
      <c r="D805" t="str">
        <v>Z_PURCHASING_INFO_REC_SUB</v>
      </c>
      <c r="E805" t="str">
        <v>PU</v>
      </c>
      <c r="F805" t="str">
        <v>SPLIT_FILE</v>
      </c>
      <c r="G805" t="str">
        <v>MOD</v>
      </c>
      <c r="H805" t="str">
        <v>Z_REUSE_PURCHASING_INFO_REC</v>
      </c>
      <c r="K805" t="str">
        <v>E</v>
      </c>
      <c r="L805" t="str">
        <v>CST_UKHANNA</v>
      </c>
      <c r="M805">
        <v>43721</v>
      </c>
      <c r="N805">
        <v>0.51643518518519</v>
      </c>
      <c r="W805" t="str">
        <v>X01K900707</v>
      </c>
    </row>
    <row r="806">
      <c r="A806" t="str">
        <v>PROG</v>
      </c>
      <c r="B806" t="str">
        <v>Z_PURCHASING_INFO_REC_TOP</v>
      </c>
      <c r="C806" t="str">
        <v>REPS</v>
      </c>
      <c r="D806" t="str">
        <v>Z_PURCHASING_INFO_REC_TOP</v>
      </c>
      <c r="E806" t="str">
        <v>PN</v>
      </c>
      <c r="F806" t="str">
        <v>N-&gt;Z_PURCHASING_INFO_REC_TOP</v>
      </c>
      <c r="G806" t="str">
        <v>MOD</v>
      </c>
      <c r="H806" t="str">
        <v>Z_REUSE_PURCHASING_INFO_REC</v>
      </c>
      <c r="K806" t="str">
        <v>E</v>
      </c>
      <c r="L806" t="str">
        <v>CST_UKHANNA</v>
      </c>
      <c r="M806">
        <v>43713</v>
      </c>
      <c r="N806">
        <v>0.33498842592593</v>
      </c>
      <c r="W806" t="str">
        <v>X01K900529</v>
      </c>
    </row>
    <row r="807">
      <c r="A807" t="str">
        <v>PROG</v>
      </c>
      <c r="B807" t="str">
        <v>Z_REUSE_CUSTOMER_MASTER_S4</v>
      </c>
      <c r="C807" t="str">
        <v>REPS</v>
      </c>
      <c r="D807" t="str">
        <v>Z_REUSE_CUSTOMER_MASTER_S4</v>
      </c>
      <c r="E807" t="str">
        <v>PE</v>
      </c>
      <c r="F807" t="str">
        <v>START-OF-SELECTION</v>
      </c>
      <c r="G807" t="str">
        <v>MOD</v>
      </c>
      <c r="H807" t="str">
        <v>Z_REUSE_CUSTOMER_MASTER_S4</v>
      </c>
      <c r="K807" t="str">
        <v>E</v>
      </c>
      <c r="L807" t="str">
        <v>CST_UKHANNA</v>
      </c>
      <c r="M807">
        <v>43726</v>
      </c>
      <c r="N807">
        <v>0.40706018518519</v>
      </c>
      <c r="W807" t="str">
        <v>X01K900707</v>
      </c>
    </row>
    <row r="808">
      <c r="A808" t="str">
        <v>PROG</v>
      </c>
      <c r="B808" t="str">
        <v>Z_REUSE_CUSTOMER_MASTER_S4_TOP</v>
      </c>
      <c r="C808" t="str">
        <v>REPS</v>
      </c>
      <c r="D808" t="str">
        <v>Z_REUSE_CUSTOMER_MASTER_S4_TOP</v>
      </c>
      <c r="E808" t="str">
        <v>PN</v>
      </c>
      <c r="F808" t="str">
        <v>N-&gt;Z_REUSE_CUSTOMER_MASTER_S4_TOP</v>
      </c>
      <c r="G808" t="str">
        <v>MOD</v>
      </c>
      <c r="H808" t="str">
        <v>Z_REUSE_CUSTOMER_MASTER_S4</v>
      </c>
      <c r="K808" t="str">
        <v>E</v>
      </c>
      <c r="L808" t="str">
        <v>CST_UKHANNA</v>
      </c>
      <c r="M808">
        <v>43726</v>
      </c>
      <c r="N808">
        <v>0.40501157407407</v>
      </c>
      <c r="W808" t="str">
        <v>X01K900802</v>
      </c>
    </row>
    <row r="809">
      <c r="A809" t="str">
        <v>PROG</v>
      </c>
      <c r="B809" t="str">
        <v>Z_REUSE_CUST_MASTER_S4_FORMS</v>
      </c>
      <c r="C809" t="str">
        <v>REPS</v>
      </c>
      <c r="D809" t="str">
        <v>Z_REUSE_CUST_MASTER_S4_FORMS</v>
      </c>
      <c r="E809" t="str">
        <v>PA</v>
      </c>
      <c r="F809" t="str">
        <v>U&lt;-UPDATE_CNT_JOBLOG</v>
      </c>
      <c r="G809" t="str">
        <v>MOD</v>
      </c>
      <c r="H809" t="str">
        <v>Z_REUSE_CUSTOMER_MASTER_S4</v>
      </c>
      <c r="K809" t="str">
        <v>E</v>
      </c>
      <c r="L809" t="str">
        <v>CST_UKHANNA</v>
      </c>
      <c r="M809">
        <v>43726</v>
      </c>
      <c r="N809">
        <v>0.41950231481481</v>
      </c>
      <c r="W809" t="str">
        <v>X01K900802</v>
      </c>
    </row>
    <row r="810">
      <c r="A810" t="str">
        <v>PROG</v>
      </c>
      <c r="B810" t="str">
        <v>Z_REUSE_INVENTORY_BAL_DEF</v>
      </c>
      <c r="C810" t="str">
        <v>REPS</v>
      </c>
      <c r="D810" t="str">
        <v>Z_REUSE_INVENTORY_BAL_DEF</v>
      </c>
      <c r="E810" t="str">
        <v>PN</v>
      </c>
      <c r="F810" t="str">
        <v>N-&gt;Z_REUSE_INVENTORY_BAL_DEF</v>
      </c>
      <c r="G810" t="str">
        <v>MOD</v>
      </c>
      <c r="H810" t="str">
        <v>Z_REUSE_INVENTORY_BAL_S4H</v>
      </c>
      <c r="K810" t="str">
        <v>E</v>
      </c>
      <c r="L810" t="str">
        <v>CST_UKHANNA</v>
      </c>
      <c r="M810">
        <v>43727</v>
      </c>
      <c r="N810">
        <v>0.46184027777778</v>
      </c>
    </row>
    <row r="811">
      <c r="A811" t="str">
        <v>PROG</v>
      </c>
      <c r="B811" t="str">
        <v>Z_REUSE_INVENTORY_BAL_F01</v>
      </c>
      <c r="C811" t="str">
        <v>REPS</v>
      </c>
      <c r="D811" t="str">
        <v>Z_REUSE_INVENTORY_BAL_F01</v>
      </c>
      <c r="E811" t="str">
        <v>DUMY</v>
      </c>
      <c r="G811" t="str">
        <v>ALL</v>
      </c>
      <c r="H811" t="str">
        <v>Z_REUSE_INVENTORY_BAL_S4H</v>
      </c>
      <c r="K811" t="str">
        <v>E</v>
      </c>
      <c r="L811" t="str">
        <v>CST_UKHANNA</v>
      </c>
      <c r="M811">
        <v>43721</v>
      </c>
      <c r="N811">
        <v>0.51884259259259</v>
      </c>
      <c r="W811" t="str">
        <v>X01K900707</v>
      </c>
    </row>
    <row r="812">
      <c r="A812" t="str">
        <v>PROG</v>
      </c>
      <c r="B812" t="str">
        <v>Z_REUSE_INVENTORY_BAL_S4H</v>
      </c>
      <c r="C812" t="str">
        <v>REPS</v>
      </c>
      <c r="D812" t="str">
        <v>Z_REUSE_INVENTORY_BAL_S4H</v>
      </c>
      <c r="E812" t="str">
        <v>DUMY</v>
      </c>
      <c r="G812" t="str">
        <v>ALL</v>
      </c>
      <c r="H812" t="str">
        <v>Z_REUSE_INVENTORY_BAL_S4H</v>
      </c>
      <c r="K812" t="str">
        <v>E</v>
      </c>
      <c r="L812" t="str">
        <v>CST_UKHANNA</v>
      </c>
      <c r="M812">
        <v>43721</v>
      </c>
      <c r="N812">
        <v>0.51925925925926</v>
      </c>
      <c r="W812" t="str">
        <v>X01K900707</v>
      </c>
    </row>
    <row r="813">
      <c r="A813" t="str">
        <v>PROG</v>
      </c>
      <c r="B813" t="str">
        <v>Z_REUSE_INVENTORY_BAL_S4H</v>
      </c>
      <c r="C813" t="str">
        <v>REPT</v>
      </c>
      <c r="D813" t="str">
        <v>Z_REUSE_INVENTORY_BAL_S4H</v>
      </c>
      <c r="G813" t="str">
        <v>ALL</v>
      </c>
      <c r="H813" t="str">
        <v>Z_REUSE_INVENTORY_BAL_S4H</v>
      </c>
      <c r="K813" t="str">
        <v>E</v>
      </c>
      <c r="L813" t="str">
        <v>CST_UKHANNA</v>
      </c>
      <c r="M813">
        <v>43706</v>
      </c>
      <c r="N813">
        <v>0.29763888888889</v>
      </c>
      <c r="W813" t="str">
        <v>X01K900529</v>
      </c>
    </row>
    <row r="814">
      <c r="A814" t="str">
        <v>PROG</v>
      </c>
      <c r="B814" t="str">
        <v>Z_REUSE_INVENTORY_BAL_TOP</v>
      </c>
      <c r="C814" t="str">
        <v>REPS</v>
      </c>
      <c r="D814" t="str">
        <v>Z_REUSE_INVENTORY_BAL_TOP</v>
      </c>
      <c r="E814" t="str">
        <v>PN</v>
      </c>
      <c r="F814" t="str">
        <v>N-&gt;Z_REUSE_INVENTORY_BAL_TOP</v>
      </c>
      <c r="G814" t="str">
        <v>MOD</v>
      </c>
      <c r="H814" t="str">
        <v>Z_REUSE_INVENTORY_BAL_S4H</v>
      </c>
      <c r="K814" t="str">
        <v>E</v>
      </c>
      <c r="L814" t="str">
        <v>CST_UKHANNA</v>
      </c>
      <c r="M814">
        <v>43709</v>
      </c>
      <c r="N814">
        <v>0.56289351851852</v>
      </c>
    </row>
    <row r="815">
      <c r="A815" t="str">
        <v>PROG</v>
      </c>
      <c r="B815" t="str">
        <v>Z_REUSE_MATERIAL_MASTER_F01</v>
      </c>
      <c r="C815" t="str">
        <v>REPS</v>
      </c>
      <c r="D815" t="str">
        <v>Z_REUSE_MATERIAL_MASTER_F01</v>
      </c>
      <c r="E815" t="str">
        <v>PU</v>
      </c>
      <c r="F815" t="str">
        <v>CREATE_SALESVIEW</v>
      </c>
      <c r="G815" t="str">
        <v>MOD</v>
      </c>
      <c r="H815" t="str">
        <v>Z_REUSE_MATERIAL_MASTER</v>
      </c>
      <c r="K815" t="str">
        <v>E</v>
      </c>
      <c r="L815" t="str">
        <v>PPHANEENDRA</v>
      </c>
      <c r="M815">
        <v>43647</v>
      </c>
      <c r="N815">
        <v>0.32366898148148</v>
      </c>
      <c r="W815" t="str">
        <v>FLSK900734</v>
      </c>
    </row>
    <row r="816">
      <c r="A816" t="str">
        <v>PROG</v>
      </c>
      <c r="B816" t="str">
        <v>Z_REUSE_MATERIAL_MASTER_S01</v>
      </c>
      <c r="C816" t="str">
        <v>REPS</v>
      </c>
      <c r="D816" t="str">
        <v>Z_REUSE_MATERIAL_MASTER_S01</v>
      </c>
      <c r="E816" t="str">
        <v>PN</v>
      </c>
      <c r="F816" t="str">
        <v>N-&gt;Z_REUSE_MATERIAL_MASTER_S01</v>
      </c>
      <c r="G816" t="str">
        <v>MOD</v>
      </c>
      <c r="H816" t="str">
        <v>Z_REUSE_MATERIAL_MASTER</v>
      </c>
      <c r="K816" t="str">
        <v>E</v>
      </c>
      <c r="L816" t="str">
        <v>CST_PPHANEEN</v>
      </c>
      <c r="M816">
        <v>43706</v>
      </c>
      <c r="N816">
        <v>0.25387731481481</v>
      </c>
      <c r="W816" t="str">
        <v>X01K900315</v>
      </c>
    </row>
    <row r="817">
      <c r="A817" t="str">
        <v>PROG</v>
      </c>
      <c r="B817" t="str">
        <v>Z_REUSE_MATERIAL_MASTER_TOP</v>
      </c>
      <c r="C817" t="str">
        <v>REPS</v>
      </c>
      <c r="D817" t="str">
        <v>Z_REUSE_MATERIAL_MASTER_TOP</v>
      </c>
      <c r="E817" t="str">
        <v>PN</v>
      </c>
      <c r="F817" t="str">
        <v>N-&gt;Z_REUSE_MATERIAL_MASTER_TOP</v>
      </c>
      <c r="G817" t="str">
        <v>MOD</v>
      </c>
      <c r="H817" t="str">
        <v>Z_REUSE_MATERIAL_MASTER</v>
      </c>
      <c r="K817" t="str">
        <v>E</v>
      </c>
      <c r="L817" t="str">
        <v>PPHANEENDRA</v>
      </c>
      <c r="M817">
        <v>43647</v>
      </c>
      <c r="N817">
        <v>0.32436342592593</v>
      </c>
      <c r="W817" t="str">
        <v>FLSK900734</v>
      </c>
    </row>
    <row r="818">
      <c r="A818" t="str">
        <v>PROG</v>
      </c>
      <c r="B818" t="str">
        <v>Z_REUSE_SALESORDER</v>
      </c>
      <c r="C818" t="str">
        <v>REPT</v>
      </c>
      <c r="D818" t="str">
        <v>Z_REUSE_SALESORDER</v>
      </c>
      <c r="G818" t="str">
        <v>ALL</v>
      </c>
      <c r="H818" t="str">
        <v>Z_REUSE_SALESORDER</v>
      </c>
      <c r="K818" t="str">
        <v>E</v>
      </c>
      <c r="L818" t="str">
        <v>LEDODLA</v>
      </c>
      <c r="M818">
        <v>43192</v>
      </c>
      <c r="N818">
        <v>0.32291666666667</v>
      </c>
    </row>
    <row r="819">
      <c r="A819" t="str">
        <v>PROG</v>
      </c>
      <c r="B819" t="str">
        <v>Z_REUSE_SOURCELIST_SUB</v>
      </c>
      <c r="C819" t="str">
        <v>REPS</v>
      </c>
      <c r="D819" t="str">
        <v>Z_REUSE_SOURCELIST_SUB</v>
      </c>
      <c r="E819" t="str">
        <v>PU</v>
      </c>
      <c r="F819" t="str">
        <v>CONVERT_DATA</v>
      </c>
      <c r="G819" t="str">
        <v>MOD</v>
      </c>
      <c r="H819" t="str">
        <v>Z_REUSE_SOURCELIST</v>
      </c>
      <c r="K819" t="str">
        <v>E</v>
      </c>
      <c r="L819" t="str">
        <v>CST_UKHANNA</v>
      </c>
      <c r="M819">
        <v>43721</v>
      </c>
      <c r="N819">
        <v>0.4946412037037</v>
      </c>
    </row>
    <row r="820">
      <c r="A820" t="str">
        <v>PROG</v>
      </c>
      <c r="B820" t="str">
        <v>Z_REUSE_SOURCELIST_SUB</v>
      </c>
      <c r="C820" t="str">
        <v>REPS</v>
      </c>
      <c r="D820" t="str">
        <v>Z_REUSE_SOURCELIST_SUB</v>
      </c>
      <c r="E820" t="str">
        <v>PU</v>
      </c>
      <c r="F820" t="str">
        <v>SPLIT_INPUT</v>
      </c>
      <c r="G820" t="str">
        <v>MOD</v>
      </c>
      <c r="H820" t="str">
        <v>Z_REUSE_SOURCELIST</v>
      </c>
      <c r="K820" t="str">
        <v>E</v>
      </c>
      <c r="L820" t="str">
        <v>CST_UKHANNA</v>
      </c>
      <c r="M820">
        <v>43721</v>
      </c>
      <c r="N820">
        <v>0.4946412037037</v>
      </c>
    </row>
    <row r="821">
      <c r="A821" t="str">
        <v>PROG</v>
      </c>
      <c r="B821" t="str">
        <v>Z_REUSE_SOURCELIST_TOP</v>
      </c>
      <c r="C821" t="str">
        <v>REPS</v>
      </c>
      <c r="D821" t="str">
        <v>Z_REUSE_SOURCELIST_TOP</v>
      </c>
      <c r="E821" t="str">
        <v>PN</v>
      </c>
      <c r="F821" t="str">
        <v>N-&gt;Z_REUSE_SOURCELIST_TOP</v>
      </c>
      <c r="G821" t="str">
        <v>MOD</v>
      </c>
      <c r="H821" t="str">
        <v>Z_REUSE_SOURCELIST</v>
      </c>
      <c r="K821" t="str">
        <v>E</v>
      </c>
      <c r="L821" t="str">
        <v>CST_UKHANNA</v>
      </c>
      <c r="M821">
        <v>43712</v>
      </c>
      <c r="N821">
        <v>0.44871527777778</v>
      </c>
      <c r="W821" t="str">
        <v>X01K900529</v>
      </c>
    </row>
    <row r="822">
      <c r="A822" t="str">
        <v>PROG</v>
      </c>
      <c r="B822" t="str">
        <v>Z_SFIN_KACOR21_NON_ACT</v>
      </c>
      <c r="C822" t="str">
        <v>REPS</v>
      </c>
      <c r="D822" t="str">
        <v>Z_SFIN_KACOR21_NON_ACT</v>
      </c>
      <c r="F822" t="str">
        <v>002075125819773     00002841300003</v>
      </c>
      <c r="G822" t="str">
        <v>NOTE</v>
      </c>
      <c r="H822" t="str">
        <v>Z_SFIN_KACOR21_NON_ACT</v>
      </c>
      <c r="J822">
        <v>23068020005</v>
      </c>
      <c r="L822">
        <v>50079896</v>
      </c>
      <c r="M822">
        <v>44406</v>
      </c>
      <c r="N822">
        <v>0.4178125</v>
      </c>
      <c r="R822" t="str">
        <v>C</v>
      </c>
      <c r="W822" t="str">
        <v>S01K912576</v>
      </c>
    </row>
    <row r="823">
      <c r="A823" t="str">
        <v>SFPF</v>
      </c>
      <c r="B823" t="str">
        <v>ZFI_AR_FINANCE_INVOICE</v>
      </c>
      <c r="C823" t="str">
        <v>SFPF</v>
      </c>
      <c r="D823" t="str">
        <v>ZFI_AR_FINANCE_INVOICE</v>
      </c>
      <c r="G823" t="str">
        <v>ALL</v>
      </c>
      <c r="L823">
        <v>50095444</v>
      </c>
      <c r="M823">
        <v>44166</v>
      </c>
      <c r="N823">
        <v>0.4653587962963</v>
      </c>
      <c r="S823" t="str">
        <v>X</v>
      </c>
      <c r="W823" t="str">
        <v>S01K910304</v>
      </c>
    </row>
    <row r="824">
      <c r="A824" t="str">
        <v>SFPF</v>
      </c>
      <c r="B824" t="str">
        <v>ZLEXF_GOODS_RECEIPT_01</v>
      </c>
      <c r="C824" t="str">
        <v>SFPF</v>
      </c>
      <c r="D824" t="str">
        <v>ZLEXF_GOODS_RECEIPT_01</v>
      </c>
      <c r="G824" t="str">
        <v>ALL</v>
      </c>
      <c r="L824">
        <v>50118299</v>
      </c>
      <c r="M824">
        <v>45139</v>
      </c>
      <c r="N824">
        <v>0.6078125</v>
      </c>
      <c r="S824" t="str">
        <v>X</v>
      </c>
      <c r="W824" t="str">
        <v>S01K917226</v>
      </c>
    </row>
    <row r="825">
      <c r="A825" t="str">
        <v>SFPF</v>
      </c>
      <c r="B825" t="str">
        <v>ZLEX_AF_DELIVERY_ADVICE_01</v>
      </c>
      <c r="C825" t="str">
        <v>SFPF</v>
      </c>
      <c r="D825" t="str">
        <v>ZLEX_AF_DELIVERY_ADVICE_01</v>
      </c>
      <c r="G825" t="str">
        <v>ALL</v>
      </c>
      <c r="L825">
        <v>50118299</v>
      </c>
      <c r="M825">
        <v>44815</v>
      </c>
      <c r="N825">
        <v>0.7702662037037</v>
      </c>
      <c r="S825" t="str">
        <v>X</v>
      </c>
      <c r="W825" t="str">
        <v>S01K914424</v>
      </c>
    </row>
    <row r="826">
      <c r="A826" t="str">
        <v>SFPF</v>
      </c>
      <c r="B826" t="str">
        <v>ZLEX_AF_DELIVERY_NOTE_A</v>
      </c>
      <c r="C826" t="str">
        <v>SFPF</v>
      </c>
      <c r="D826" t="str">
        <v>ZLEX_AF_DELIVERY_NOTE_A</v>
      </c>
      <c r="G826" t="str">
        <v>ALL</v>
      </c>
      <c r="L826" t="str">
        <v>JAR</v>
      </c>
      <c r="M826">
        <v>46216</v>
      </c>
      <c r="N826">
        <v>0.22707175925926</v>
      </c>
      <c r="S826" t="str">
        <v>X</v>
      </c>
      <c r="W826" t="str">
        <v>S01K930025</v>
      </c>
    </row>
    <row r="827">
      <c r="A827" t="str">
        <v>SFPF</v>
      </c>
      <c r="B827" t="str">
        <v>ZOTCF_AF_PRO_FORMA_INVOICE</v>
      </c>
      <c r="C827" t="str">
        <v>SFPF</v>
      </c>
      <c r="D827" t="str">
        <v>ZOTCF_AF_PRO_FORMA_INVOICE</v>
      </c>
      <c r="G827" t="str">
        <v>ALL</v>
      </c>
      <c r="L827" t="str">
        <v>CST_SWBHAL</v>
      </c>
      <c r="M827">
        <v>43748</v>
      </c>
      <c r="N827">
        <v>0.3666087962963</v>
      </c>
      <c r="S827" t="str">
        <v>X</v>
      </c>
    </row>
    <row r="828">
      <c r="A828" t="str">
        <v>SFPF</v>
      </c>
      <c r="B828" t="str">
        <v>ZOTCF_AF_SAUDI_INVOICE_A</v>
      </c>
      <c r="C828" t="str">
        <v>SFPF</v>
      </c>
      <c r="D828" t="str">
        <v>ZOTCF_AF_SAUDI_INVOICE_A</v>
      </c>
      <c r="G828" t="str">
        <v>ALL</v>
      </c>
      <c r="L828" t="str">
        <v>SDHANAPAL</v>
      </c>
      <c r="M828">
        <v>45211</v>
      </c>
      <c r="N828">
        <v>0.13436342592593</v>
      </c>
      <c r="S828" t="str">
        <v>X</v>
      </c>
      <c r="W828" t="str">
        <v>S01K918473</v>
      </c>
    </row>
    <row r="829">
      <c r="A829" t="str">
        <v>SFPF</v>
      </c>
      <c r="B829" t="str">
        <v>ZOTCF_AF_STANDARD_INVOICE_02</v>
      </c>
      <c r="C829" t="str">
        <v>SFPF</v>
      </c>
      <c r="D829" t="str">
        <v>ZOTCF_AF_STANDARD_INVOICE_02</v>
      </c>
      <c r="G829" t="str">
        <v>ALL</v>
      </c>
      <c r="L829" t="str">
        <v>CST_SWBHAL</v>
      </c>
      <c r="M829">
        <v>43754</v>
      </c>
      <c r="N829">
        <v>0.63440972222222</v>
      </c>
      <c r="S829" t="str">
        <v>X</v>
      </c>
    </row>
    <row r="830">
      <c r="A830" t="str">
        <v>SFPF</v>
      </c>
      <c r="B830" t="str">
        <v>ZOTCF_AF_STANDARD_INVOICE_A</v>
      </c>
      <c r="C830" t="str">
        <v>SFPF</v>
      </c>
      <c r="D830" t="str">
        <v>ZOTCF_AF_STANDARD_INVOICE_A</v>
      </c>
      <c r="G830" t="str">
        <v>ALL</v>
      </c>
      <c r="L830" t="str">
        <v>CST_MANORANJ</v>
      </c>
      <c r="M830">
        <v>45946</v>
      </c>
      <c r="N830">
        <v>0.79710648148148</v>
      </c>
      <c r="S830" t="str">
        <v>X</v>
      </c>
      <c r="W830" t="str">
        <v>S01K926686</v>
      </c>
    </row>
    <row r="831">
      <c r="A831" t="str">
        <v>SFPF</v>
      </c>
      <c r="B831" t="str">
        <v>ZPTMF_AF_QUALNOTQ3_02</v>
      </c>
      <c r="C831" t="str">
        <v>SFPF</v>
      </c>
      <c r="D831" t="str">
        <v>ZPTMF_AF_QUALNOTQ3_02</v>
      </c>
      <c r="G831" t="str">
        <v>ALL</v>
      </c>
      <c r="L831" t="str">
        <v>CST_SHRUDASH</v>
      </c>
      <c r="M831">
        <v>43749</v>
      </c>
      <c r="N831">
        <v>0.50002314814815</v>
      </c>
      <c r="S831" t="str">
        <v>X</v>
      </c>
      <c r="W831" t="str">
        <v>SP1K902392</v>
      </c>
    </row>
    <row r="832">
      <c r="A832" t="str">
        <v>SFPF</v>
      </c>
      <c r="B832" t="str">
        <v>ZPTMF_COVERSHEET_01</v>
      </c>
      <c r="C832" t="str">
        <v>SFPF</v>
      </c>
      <c r="D832" t="str">
        <v>ZPTMF_COVERSHEET_01</v>
      </c>
      <c r="G832" t="str">
        <v>ALL</v>
      </c>
      <c r="L832" t="str">
        <v>IARUMUGAM</v>
      </c>
      <c r="M832">
        <v>46086</v>
      </c>
      <c r="N832">
        <v>0.2119212962963</v>
      </c>
      <c r="S832" t="str">
        <v>X</v>
      </c>
      <c r="W832" t="str">
        <v>S01K928515</v>
      </c>
    </row>
    <row r="833">
      <c r="A833" t="str">
        <v>SFPF</v>
      </c>
      <c r="B833" t="str">
        <v>ZPTMF_COVERSHEET_01_A</v>
      </c>
      <c r="C833" t="str">
        <v>SFPF</v>
      </c>
      <c r="D833" t="str">
        <v>ZPTMF_COVERSHEET_01_A</v>
      </c>
      <c r="G833" t="str">
        <v>ALL</v>
      </c>
      <c r="L833" t="str">
        <v>IARUMUGAM</v>
      </c>
      <c r="M833">
        <v>46086</v>
      </c>
      <c r="N833">
        <v>0.22702546296296</v>
      </c>
      <c r="S833" t="str">
        <v>X</v>
      </c>
      <c r="W833" t="str">
        <v>S01K928515</v>
      </c>
    </row>
    <row r="834">
      <c r="A834" t="str">
        <v>SFPF</v>
      </c>
      <c r="B834" t="str">
        <v>ZPTPF_AF_DELIVERY_NOTE_01</v>
      </c>
      <c r="C834" t="str">
        <v>SFPF</v>
      </c>
      <c r="D834" t="str">
        <v>ZPTPF_AF_DELIVERY_NOTE_01</v>
      </c>
      <c r="G834" t="str">
        <v>ALL</v>
      </c>
      <c r="L834">
        <v>50083766</v>
      </c>
      <c r="M834">
        <v>44161</v>
      </c>
      <c r="N834">
        <v>0.47042824074074</v>
      </c>
      <c r="S834" t="str">
        <v>X</v>
      </c>
    </row>
    <row r="835">
      <c r="A835" t="str">
        <v>SFPF</v>
      </c>
      <c r="B835" t="str">
        <v>ZSTRF_QUO_A</v>
      </c>
      <c r="C835" t="str">
        <v>SFPF</v>
      </c>
      <c r="D835" t="str">
        <v>ZSTRF_QUO_A</v>
      </c>
      <c r="G835" t="str">
        <v>ALL</v>
      </c>
      <c r="L835" t="str">
        <v>CST_HKOPPULA</v>
      </c>
      <c r="M835">
        <v>45862</v>
      </c>
      <c r="N835">
        <v>0.58287037037037</v>
      </c>
      <c r="S835" t="str">
        <v>X</v>
      </c>
      <c r="W835" t="str">
        <v>S01K925255</v>
      </c>
    </row>
    <row r="836">
      <c r="A836" t="str">
        <v>SFPF</v>
      </c>
      <c r="B836" t="str">
        <v>ZWMF_AF_OUT_HU_LABEL_01</v>
      </c>
      <c r="C836" t="str">
        <v>SFPF</v>
      </c>
      <c r="D836" t="str">
        <v>ZWMF_AF_OUT_HU_LABEL_01</v>
      </c>
      <c r="G836" t="str">
        <v>ALL</v>
      </c>
      <c r="L836" t="str">
        <v>CST_ARAJASEK</v>
      </c>
      <c r="M836">
        <v>46120</v>
      </c>
      <c r="N836">
        <v>0.4184375</v>
      </c>
      <c r="S836" t="str">
        <v>X</v>
      </c>
      <c r="W836" t="str">
        <v>S01K928590</v>
      </c>
    </row>
    <row r="837">
      <c r="A837" t="str">
        <v>SFPF</v>
      </c>
      <c r="B837" t="str">
        <v>Z_WO_PUTAWAY_SINGLE</v>
      </c>
      <c r="C837" t="str">
        <v>SFPF</v>
      </c>
      <c r="D837" t="str">
        <v>Z_WO_PUTAWAY_SINGLE</v>
      </c>
      <c r="G837" t="str">
        <v>ALL</v>
      </c>
      <c r="L837" t="str">
        <v>CST_ACHAUHAN</v>
      </c>
      <c r="M837">
        <v>43749</v>
      </c>
      <c r="N837">
        <v>0.47724537037037</v>
      </c>
      <c r="S837" t="str">
        <v>X</v>
      </c>
    </row>
    <row r="838">
      <c r="A838" t="str">
        <v>SFPI</v>
      </c>
      <c r="B838" t="str">
        <v>ZFI_AR_FINANCE_INVOICE_I</v>
      </c>
      <c r="C838" t="str">
        <v>SFPI</v>
      </c>
      <c r="D838" t="str">
        <v>ZFI_AR_FINANCE_INVOICE_I</v>
      </c>
      <c r="G838" t="str">
        <v>ALL</v>
      </c>
      <c r="L838">
        <v>50118299</v>
      </c>
      <c r="M838">
        <v>46150</v>
      </c>
      <c r="N838">
        <v>0.17423611111111</v>
      </c>
      <c r="S838" t="str">
        <v>X</v>
      </c>
      <c r="W838" t="str">
        <v>S01K929410</v>
      </c>
    </row>
    <row r="839">
      <c r="A839" t="str">
        <v>SFPI</v>
      </c>
      <c r="B839" t="str">
        <v>ZLEXI_DDT_FORM</v>
      </c>
      <c r="C839" t="str">
        <v>SFPI</v>
      </c>
      <c r="D839" t="str">
        <v>ZLEXI_DDT_FORM</v>
      </c>
      <c r="G839" t="str">
        <v>ALL</v>
      </c>
      <c r="L839" t="str">
        <v>CST_SIVASANK</v>
      </c>
      <c r="M839">
        <v>45722</v>
      </c>
      <c r="N839">
        <v>0.69894675925926</v>
      </c>
      <c r="S839" t="str">
        <v>X</v>
      </c>
      <c r="W839" t="str">
        <v>S01K924056</v>
      </c>
    </row>
    <row r="840">
      <c r="A840" t="str">
        <v>SFPI</v>
      </c>
      <c r="B840" t="str">
        <v>ZLEX_I_AF_IMCOUNT_01</v>
      </c>
      <c r="C840" t="str">
        <v>SFPI</v>
      </c>
      <c r="D840" t="str">
        <v>ZLEX_I_AF_IMCOUNT_01</v>
      </c>
      <c r="G840" t="str">
        <v>ALL</v>
      </c>
      <c r="L840">
        <v>50117741</v>
      </c>
      <c r="M840">
        <v>45454</v>
      </c>
      <c r="N840">
        <v>0.36975694444444</v>
      </c>
      <c r="S840" t="str">
        <v>X</v>
      </c>
      <c r="W840" t="str">
        <v>S01K921141</v>
      </c>
    </row>
    <row r="841">
      <c r="A841" t="str">
        <v>SFPI</v>
      </c>
      <c r="B841" t="str">
        <v>ZPTPI_AF_PURCHASEORDER_01</v>
      </c>
      <c r="C841" t="str">
        <v>SFPI</v>
      </c>
      <c r="D841" t="str">
        <v>ZPTPI_AF_PURCHASEORDER_01</v>
      </c>
      <c r="G841" t="str">
        <v>ALL</v>
      </c>
      <c r="L841" t="str">
        <v>CST_HKOPPULA</v>
      </c>
      <c r="M841">
        <v>45733</v>
      </c>
      <c r="N841">
        <v>0.08438657407407</v>
      </c>
      <c r="S841" t="str">
        <v>X</v>
      </c>
      <c r="W841" t="str">
        <v>S01K924196</v>
      </c>
    </row>
    <row r="842">
      <c r="A842" t="str">
        <v>SHLP</v>
      </c>
      <c r="B842" t="str">
        <v>ZHMDGS_COMMODITY</v>
      </c>
      <c r="C842" t="str">
        <v>SHLD</v>
      </c>
      <c r="D842" t="str">
        <v>ZHMDGS_COMMODITY</v>
      </c>
      <c r="G842" t="str">
        <v>ALL</v>
      </c>
      <c r="K842" t="str">
        <v>E</v>
      </c>
      <c r="L842" t="str">
        <v>NSHAIK</v>
      </c>
      <c r="M842">
        <v>46032</v>
      </c>
      <c r="N842">
        <v>0.14251157407407</v>
      </c>
      <c r="S842" t="str">
        <v>X</v>
      </c>
      <c r="W842" t="str">
        <v>SP1K960967</v>
      </c>
    </row>
    <row r="843">
      <c r="A843" t="str">
        <v>SHLP</v>
      </c>
      <c r="B843" t="str">
        <v>ZHMDGS_COMMODITY_L2</v>
      </c>
      <c r="C843" t="str">
        <v>SHLD</v>
      </c>
      <c r="D843" t="str">
        <v>ZHMDGS_COMMODITY_L2</v>
      </c>
      <c r="G843" t="str">
        <v>ALL</v>
      </c>
      <c r="K843" t="str">
        <v>E</v>
      </c>
      <c r="L843" t="str">
        <v>NSHAIK</v>
      </c>
      <c r="M843">
        <v>46032</v>
      </c>
      <c r="N843">
        <v>0.15217592592593</v>
      </c>
      <c r="S843" t="str">
        <v>X</v>
      </c>
      <c r="W843" t="str">
        <v>SP1K960967</v>
      </c>
    </row>
    <row r="844">
      <c r="A844" t="str">
        <v>SHLP</v>
      </c>
      <c r="B844" t="str">
        <v>ZHMDGS_ERPINST</v>
      </c>
      <c r="C844" t="str">
        <v>SHLD</v>
      </c>
      <c r="D844" t="str">
        <v>ZHMDGS_ERPINST</v>
      </c>
      <c r="G844" t="str">
        <v>ALL</v>
      </c>
      <c r="K844" t="str">
        <v>E</v>
      </c>
      <c r="L844" t="str">
        <v>NSHAIK</v>
      </c>
      <c r="M844">
        <v>46032</v>
      </c>
      <c r="N844">
        <v>0.15244212962963</v>
      </c>
      <c r="S844" t="str">
        <v>X</v>
      </c>
      <c r="W844" t="str">
        <v>SP1K960967</v>
      </c>
    </row>
    <row r="845">
      <c r="A845" t="str">
        <v>SHLP</v>
      </c>
      <c r="B845" t="str">
        <v>ZHMDGS_PARTNER</v>
      </c>
      <c r="C845" t="str">
        <v>SHLD</v>
      </c>
      <c r="D845" t="str">
        <v>ZHMDGS_PARTNER</v>
      </c>
      <c r="G845" t="str">
        <v>ALL</v>
      </c>
      <c r="K845" t="str">
        <v>E</v>
      </c>
      <c r="L845" t="str">
        <v>NSHAIK</v>
      </c>
      <c r="M845">
        <v>46032</v>
      </c>
      <c r="N845">
        <v>0.15262731481481</v>
      </c>
      <c r="S845" t="str">
        <v>X</v>
      </c>
      <c r="W845" t="str">
        <v>SP1K960967</v>
      </c>
    </row>
    <row r="846">
      <c r="A846" t="str">
        <v>SHLP</v>
      </c>
      <c r="B846" t="str">
        <v>ZHMDGS_RUCODE</v>
      </c>
      <c r="C846" t="str">
        <v>SHLD</v>
      </c>
      <c r="D846" t="str">
        <v>ZHMDGS_RUCODE</v>
      </c>
      <c r="G846" t="str">
        <v>ALL</v>
      </c>
      <c r="K846" t="str">
        <v>E</v>
      </c>
      <c r="L846" t="str">
        <v>NSHAIK</v>
      </c>
      <c r="M846">
        <v>46032</v>
      </c>
      <c r="N846">
        <v>0.15288194444444</v>
      </c>
      <c r="S846" t="str">
        <v>X</v>
      </c>
      <c r="W846" t="str">
        <v>SP1K960967</v>
      </c>
    </row>
    <row r="847">
      <c r="A847" t="str">
        <v>SHLP</v>
      </c>
      <c r="B847" t="str">
        <v>ZSH_MDG_DOCUMENTTYPE</v>
      </c>
      <c r="C847" t="str">
        <v>SHLD</v>
      </c>
      <c r="D847" t="str">
        <v>ZSH_MDG_DOCUMENTTYPE</v>
      </c>
      <c r="G847" t="str">
        <v>ALL</v>
      </c>
      <c r="K847" t="str">
        <v>E</v>
      </c>
      <c r="L847" t="str">
        <v>NSHAIK</v>
      </c>
      <c r="M847">
        <v>46013</v>
      </c>
      <c r="N847">
        <v>0.20217592592593</v>
      </c>
      <c r="S847" t="str">
        <v>X</v>
      </c>
      <c r="W847" t="str">
        <v>SP1K961121</v>
      </c>
    </row>
    <row r="848">
      <c r="A848" t="str">
        <v>SHLP</v>
      </c>
      <c r="B848" t="str">
        <v>ZSH_MDG_VENDORTYPE</v>
      </c>
      <c r="C848" t="str">
        <v>SHLD</v>
      </c>
      <c r="D848" t="str">
        <v>ZSH_MDG_VENDORTYPE</v>
      </c>
      <c r="G848" t="str">
        <v>ALL</v>
      </c>
      <c r="K848" t="str">
        <v>E</v>
      </c>
      <c r="L848" t="str">
        <v>NSHAIK</v>
      </c>
      <c r="M848">
        <v>46013</v>
      </c>
      <c r="N848">
        <v>0.20283564814815</v>
      </c>
      <c r="S848" t="str">
        <v>X</v>
      </c>
      <c r="W848" t="str">
        <v>SP1K961121</v>
      </c>
    </row>
    <row r="849">
      <c r="A849" t="str">
        <v>SHLP</v>
      </c>
      <c r="B849" t="str">
        <v>ZTMDGS_SQEMAN_SHLP</v>
      </c>
      <c r="C849" t="str">
        <v>SHLD</v>
      </c>
      <c r="D849" t="str">
        <v>ZTMDGS_SQEMAN_SHLP</v>
      </c>
      <c r="G849" t="str">
        <v>ALL</v>
      </c>
      <c r="K849" t="str">
        <v>E</v>
      </c>
      <c r="L849" t="str">
        <v>NSHAIK</v>
      </c>
      <c r="M849">
        <v>46013</v>
      </c>
      <c r="N849">
        <v>0.37844907407407</v>
      </c>
      <c r="S849" t="str">
        <v>X</v>
      </c>
      <c r="W849" t="str">
        <v>SP1K961121</v>
      </c>
    </row>
    <row r="850">
      <c r="A850" t="str">
        <v>SHLP</v>
      </c>
      <c r="B850" t="str">
        <v>ZTMDGS_SUPMAN_SHLP</v>
      </c>
      <c r="C850" t="str">
        <v>SHLD</v>
      </c>
      <c r="D850" t="str">
        <v>ZTMDGS_SUPMAN_SHLP</v>
      </c>
      <c r="G850" t="str">
        <v>ALL</v>
      </c>
      <c r="K850" t="str">
        <v>E</v>
      </c>
      <c r="L850" t="str">
        <v>NSHAIK</v>
      </c>
      <c r="M850">
        <v>46013</v>
      </c>
      <c r="N850">
        <v>0.37946759259259</v>
      </c>
      <c r="S850" t="str">
        <v>X</v>
      </c>
      <c r="W850" t="str">
        <v>SP1K961121</v>
      </c>
    </row>
    <row r="851">
      <c r="A851" t="str">
        <v>SHLP</v>
      </c>
      <c r="B851" t="str">
        <v>ZV_CYCLE</v>
      </c>
      <c r="C851" t="str">
        <v>SHLD</v>
      </c>
      <c r="D851" t="str">
        <v>ZV_CYCLE</v>
      </c>
      <c r="G851" t="str">
        <v>ALL</v>
      </c>
      <c r="K851" t="str">
        <v>E</v>
      </c>
      <c r="L851" t="str">
        <v>ALWALARA</v>
      </c>
      <c r="M851">
        <v>42382</v>
      </c>
      <c r="N851">
        <v>0.05884259259259</v>
      </c>
      <c r="S851" t="str">
        <v>X</v>
      </c>
      <c r="W851" t="str">
        <v>RS2K900004</v>
      </c>
    </row>
    <row r="852">
      <c r="A852" t="str">
        <v>SMTG</v>
      </c>
      <c r="B852" t="str">
        <v>ZZ1_SD_SLS_DEFAULT_EMAIL_TEMPL</v>
      </c>
      <c r="C852" t="str">
        <v>SMTG</v>
      </c>
      <c r="D852" t="str">
        <v>ZZ1_SD_SLS_DEFAULT_EMAIL_TEMPL</v>
      </c>
      <c r="G852" t="str">
        <v>ALL</v>
      </c>
      <c r="L852">
        <v>50118299</v>
      </c>
      <c r="M852">
        <v>45203</v>
      </c>
      <c r="N852">
        <v>0.53502314814815</v>
      </c>
      <c r="S852" t="str">
        <v>X</v>
      </c>
      <c r="W852" t="str">
        <v>S01K918936</v>
      </c>
    </row>
    <row r="853">
      <c r="A853" t="str">
        <v>SOBJ</v>
      </c>
      <c r="B853" t="str">
        <v>ZMDGC0116</v>
      </c>
      <c r="C853" t="str">
        <v>SOBJ</v>
      </c>
      <c r="D853" t="str">
        <v>ZMDGC0116</v>
      </c>
      <c r="G853" t="str">
        <v>ALL</v>
      </c>
      <c r="L853" t="str">
        <v>NSHAIK</v>
      </c>
      <c r="M853">
        <v>46020</v>
      </c>
      <c r="N853">
        <v>0.44171296296296</v>
      </c>
      <c r="S853" t="str">
        <v>X</v>
      </c>
      <c r="W853" t="str">
        <v>SP1K961296</v>
      </c>
    </row>
    <row r="854">
      <c r="A854" t="str">
        <v>SOBJ</v>
      </c>
      <c r="B854" t="str">
        <v>ZMDGM0316</v>
      </c>
      <c r="C854" t="str">
        <v>SOBJ</v>
      </c>
      <c r="D854" t="str">
        <v>ZMDGM0316</v>
      </c>
      <c r="G854" t="str">
        <v>ALL</v>
      </c>
      <c r="L854" t="str">
        <v>NSHAIK</v>
      </c>
      <c r="M854">
        <v>46020</v>
      </c>
      <c r="N854">
        <v>0.32631944444444</v>
      </c>
      <c r="S854" t="str">
        <v>X</v>
      </c>
      <c r="W854" t="str">
        <v>SP1K961296</v>
      </c>
    </row>
    <row r="855">
      <c r="A855" t="str">
        <v>SSFO</v>
      </c>
      <c r="B855" t="str">
        <v>ZFI_REMITTANCE_ADICE_FORM</v>
      </c>
      <c r="C855" t="str">
        <v>SSFO</v>
      </c>
      <c r="D855" t="str">
        <v>ZFI_REMITTANCE_ADICE_FORM</v>
      </c>
      <c r="G855" t="str">
        <v>ALL</v>
      </c>
      <c r="L855">
        <v>50118299</v>
      </c>
      <c r="M855">
        <v>45706</v>
      </c>
      <c r="N855">
        <v>0.23068287037037</v>
      </c>
      <c r="S855" t="str">
        <v>X</v>
      </c>
      <c r="W855" t="str">
        <v>S01K923896</v>
      </c>
    </row>
    <row r="856">
      <c r="A856" t="str">
        <v>SXCI</v>
      </c>
      <c r="B856" t="str">
        <v>ZFIEB_CHANGE_BS_DATA</v>
      </c>
      <c r="C856" t="str">
        <v>SXCI</v>
      </c>
      <c r="D856" t="str">
        <v>ZFIEB_CHANGE_BS_DATA</v>
      </c>
      <c r="G856" t="str">
        <v>ALL</v>
      </c>
      <c r="L856">
        <v>50116387</v>
      </c>
      <c r="M856">
        <v>45574</v>
      </c>
      <c r="N856">
        <v>0.31790509259259</v>
      </c>
      <c r="S856" t="str">
        <v>X</v>
      </c>
      <c r="W856" t="str">
        <v>SP1K950286</v>
      </c>
    </row>
    <row r="857">
      <c r="A857" t="str">
        <v>TABL</v>
      </c>
      <c r="B857" t="str">
        <v>MYTAX_CMDS_EI_C_DATA</v>
      </c>
      <c r="C857" t="str">
        <v>TABD</v>
      </c>
      <c r="D857" t="str">
        <v>MYTAX_CMDS_EI_C_DATA</v>
      </c>
      <c r="F857" t="str">
        <v>002075125819773     00015685040002</v>
      </c>
      <c r="G857" t="str">
        <v>NOTE</v>
      </c>
      <c r="H857" t="str">
        <v>STRU</v>
      </c>
      <c r="J857">
        <v>34461000014</v>
      </c>
      <c r="L857" t="str">
        <v>RAKGUNDA</v>
      </c>
      <c r="M857">
        <v>45546</v>
      </c>
      <c r="N857">
        <v>0.5016087962963</v>
      </c>
      <c r="R857" t="str">
        <v>A</v>
      </c>
      <c r="W857" t="str">
        <v>SP1K949728</v>
      </c>
    </row>
    <row r="858">
      <c r="A858" t="str">
        <v>TABL</v>
      </c>
      <c r="B858" t="str">
        <v>MYTAX_CMDS_EI_C_DATA_XFLAG</v>
      </c>
      <c r="C858" t="str">
        <v>TABD</v>
      </c>
      <c r="D858" t="str">
        <v>MYTAX_CMDS_EI_C_DATA_XFLAG</v>
      </c>
      <c r="F858" t="str">
        <v>002075125819773     00015685040002</v>
      </c>
      <c r="G858" t="str">
        <v>NOTE</v>
      </c>
      <c r="H858" t="str">
        <v>STRU</v>
      </c>
      <c r="J858">
        <v>34461000014</v>
      </c>
      <c r="L858" t="str">
        <v>RAKGUNDA</v>
      </c>
      <c r="M858">
        <v>45546</v>
      </c>
      <c r="N858">
        <v>0.5016087962963</v>
      </c>
      <c r="R858" t="str">
        <v>A</v>
      </c>
      <c r="W858" t="str">
        <v>SP1K949728</v>
      </c>
    </row>
    <row r="859">
      <c r="A859" t="str">
        <v>TABL</v>
      </c>
      <c r="B859" t="str">
        <v>MYTAX_VMDS_EI_C_DATA</v>
      </c>
      <c r="C859" t="str">
        <v>TABD</v>
      </c>
      <c r="D859" t="str">
        <v>MYTAX_VMDS_EI_C_DATA</v>
      </c>
      <c r="F859" t="str">
        <v>002075125819773     00015685040002</v>
      </c>
      <c r="G859" t="str">
        <v>NOTE</v>
      </c>
      <c r="H859" t="str">
        <v>STRU</v>
      </c>
      <c r="J859">
        <v>34461000014</v>
      </c>
      <c r="L859" t="str">
        <v>RAKGUNDA</v>
      </c>
      <c r="M859">
        <v>45546</v>
      </c>
      <c r="N859">
        <v>0.5016087962963</v>
      </c>
      <c r="R859" t="str">
        <v>A</v>
      </c>
      <c r="W859" t="str">
        <v>SP1K949728</v>
      </c>
    </row>
    <row r="860">
      <c r="A860" t="str">
        <v>TABL</v>
      </c>
      <c r="B860" t="str">
        <v>MYTAX_VMDS_EI_C_DATA_XFLAG</v>
      </c>
      <c r="C860" t="str">
        <v>TABD</v>
      </c>
      <c r="D860" t="str">
        <v>MYTAX_VMDS_EI_C_DATA_XFLAG</v>
      </c>
      <c r="F860" t="str">
        <v>002075125819773     00015685040002</v>
      </c>
      <c r="G860" t="str">
        <v>NOTE</v>
      </c>
      <c r="H860" t="str">
        <v>STRU</v>
      </c>
      <c r="J860">
        <v>34461000014</v>
      </c>
      <c r="L860" t="str">
        <v>RAKGUNDA</v>
      </c>
      <c r="M860">
        <v>45546</v>
      </c>
      <c r="N860">
        <v>0.5016087962963</v>
      </c>
      <c r="R860" t="str">
        <v>A</v>
      </c>
      <c r="W860" t="str">
        <v>SP1K949728</v>
      </c>
    </row>
    <row r="861">
      <c r="A861" t="str">
        <v>TABL</v>
      </c>
      <c r="B861" t="str">
        <v>ZBPA_S</v>
      </c>
      <c r="C861" t="str">
        <v>TABD</v>
      </c>
      <c r="D861" t="str">
        <v>ZBPA_S</v>
      </c>
      <c r="G861" t="str">
        <v>ALL</v>
      </c>
      <c r="H861" t="str">
        <v>STRU</v>
      </c>
      <c r="K861" t="str">
        <v>E</v>
      </c>
      <c r="L861" t="str">
        <v>NSHAIK</v>
      </c>
      <c r="M861">
        <v>46020</v>
      </c>
      <c r="N861">
        <v>0.45928240740741</v>
      </c>
      <c r="S861" t="str">
        <v>X</v>
      </c>
      <c r="W861" t="str">
        <v>SP1K961294</v>
      </c>
    </row>
    <row r="862">
      <c r="A862" t="str">
        <v>TABL</v>
      </c>
      <c r="B862" t="str">
        <v>ZBP_CHANGE_LOG_OUTPUT</v>
      </c>
      <c r="C862" t="str">
        <v>TABD</v>
      </c>
      <c r="D862" t="str">
        <v>ZBP_CHANGE_LOG_OUTPUT</v>
      </c>
      <c r="G862" t="str">
        <v>ALL</v>
      </c>
      <c r="H862" t="str">
        <v>STRU</v>
      </c>
      <c r="K862" t="str">
        <v>E</v>
      </c>
      <c r="L862" t="str">
        <v>NSHAIK</v>
      </c>
      <c r="M862">
        <v>46032</v>
      </c>
      <c r="N862">
        <v>0.125</v>
      </c>
      <c r="S862" t="str">
        <v>X</v>
      </c>
      <c r="W862" t="str">
        <v>SP1K960967</v>
      </c>
    </row>
    <row r="863">
      <c r="A863" t="str">
        <v>TABL</v>
      </c>
      <c r="B863" t="str">
        <v>ZBSTC00006JUQTN</v>
      </c>
      <c r="C863" t="str">
        <v>TABD</v>
      </c>
      <c r="D863" t="str">
        <v>ZBSTC00006JUQTN</v>
      </c>
      <c r="G863" t="str">
        <v>ALL</v>
      </c>
      <c r="H863" t="str">
        <v>STRU</v>
      </c>
      <c r="K863" t="str">
        <v>E</v>
      </c>
      <c r="L863" t="str">
        <v>NIM</v>
      </c>
      <c r="M863">
        <v>46070</v>
      </c>
      <c r="N863">
        <v>0.37931712962963</v>
      </c>
      <c r="S863" t="str">
        <v>X</v>
      </c>
      <c r="W863" t="str">
        <v>SP1K962363</v>
      </c>
    </row>
    <row r="864">
      <c r="A864" t="str">
        <v>TABL</v>
      </c>
      <c r="B864" t="str">
        <v>ZBSTC00006JUQTNX</v>
      </c>
      <c r="C864" t="str">
        <v>TABD</v>
      </c>
      <c r="D864" t="str">
        <v>ZBSTC00006JUQTNX</v>
      </c>
      <c r="G864" t="str">
        <v>ALL</v>
      </c>
      <c r="H864" t="str">
        <v>STRU</v>
      </c>
      <c r="K864" t="str">
        <v>E</v>
      </c>
      <c r="L864" t="str">
        <v>NIM</v>
      </c>
      <c r="M864">
        <v>46070</v>
      </c>
      <c r="N864">
        <v>0.5631712962963</v>
      </c>
      <c r="S864" t="str">
        <v>X</v>
      </c>
      <c r="W864" t="str">
        <v>SP1K962363</v>
      </c>
    </row>
    <row r="865">
      <c r="A865" t="str">
        <v>TABL</v>
      </c>
      <c r="B865" t="str">
        <v>ZCO_MBEWH_NEW</v>
      </c>
      <c r="C865" t="str">
        <v>TABD</v>
      </c>
      <c r="D865" t="str">
        <v>ZCO_MBEWH_NEW</v>
      </c>
      <c r="G865" t="str">
        <v>ALL</v>
      </c>
      <c r="H865" t="str">
        <v>TABL</v>
      </c>
      <c r="K865" t="str">
        <v>E</v>
      </c>
      <c r="L865">
        <v>50117741</v>
      </c>
      <c r="M865">
        <v>45715</v>
      </c>
      <c r="N865">
        <v>0.82583333333333</v>
      </c>
      <c r="S865" t="str">
        <v>X</v>
      </c>
      <c r="W865" t="str">
        <v>S01K923597</v>
      </c>
    </row>
    <row r="866">
      <c r="A866" t="str">
        <v>TABL</v>
      </c>
      <c r="B866" t="str">
        <v>ZDELV_HDR_CUSTOM_FIELDS</v>
      </c>
      <c r="C866" t="str">
        <v>TABD</v>
      </c>
      <c r="D866" t="str">
        <v>ZDELV_HDR_CUSTOM_FIELDS</v>
      </c>
      <c r="G866" t="str">
        <v>ALL</v>
      </c>
      <c r="H866" t="str">
        <v>STRU</v>
      </c>
      <c r="K866" t="str">
        <v>E</v>
      </c>
      <c r="L866">
        <v>50116557</v>
      </c>
      <c r="M866">
        <v>45099</v>
      </c>
      <c r="N866">
        <v>0.8196875</v>
      </c>
      <c r="S866" t="str">
        <v>X</v>
      </c>
      <c r="W866" t="str">
        <v>S01K916738</v>
      </c>
    </row>
    <row r="867">
      <c r="A867" t="str">
        <v>TABL</v>
      </c>
      <c r="B867" t="str">
        <v>ZDOA_CONTROL</v>
      </c>
      <c r="C867" t="str">
        <v>TABD</v>
      </c>
      <c r="D867" t="str">
        <v>ZDOA_CONTROL</v>
      </c>
      <c r="G867" t="str">
        <v>ALL</v>
      </c>
      <c r="H867" t="str">
        <v>TABL</v>
      </c>
      <c r="K867" t="str">
        <v>E</v>
      </c>
      <c r="L867" t="str">
        <v>CJAMES</v>
      </c>
      <c r="M867">
        <v>44053</v>
      </c>
      <c r="N867">
        <v>0.41766203703704</v>
      </c>
      <c r="S867" t="str">
        <v>X</v>
      </c>
      <c r="W867" t="str">
        <v>SP1K911052</v>
      </c>
    </row>
    <row r="868">
      <c r="A868" t="str">
        <v>TABL</v>
      </c>
      <c r="B868" t="str">
        <v>ZFINS_CFIN_S_KEY_MAPPING_STATE</v>
      </c>
      <c r="C868" t="str">
        <v>TABD</v>
      </c>
      <c r="D868" t="str">
        <v>ZFINS_CFIN_S_KEY_MAPPING_STATE</v>
      </c>
      <c r="G868" t="str">
        <v>ALL</v>
      </c>
      <c r="H868" t="str">
        <v>STRU</v>
      </c>
      <c r="K868" t="str">
        <v>E</v>
      </c>
      <c r="L868" t="str">
        <v>NSHAIK</v>
      </c>
      <c r="M868">
        <v>46032</v>
      </c>
      <c r="N868">
        <v>0.12517361111111</v>
      </c>
      <c r="S868" t="str">
        <v>X</v>
      </c>
      <c r="W868" t="str">
        <v>SP1K960967</v>
      </c>
    </row>
    <row r="869">
      <c r="A869" t="str">
        <v>TABL</v>
      </c>
      <c r="B869" t="str">
        <v>ZFINS_CFIN_S_KEY_MAP_STATE_DES</v>
      </c>
      <c r="C869" t="str">
        <v>TABD</v>
      </c>
      <c r="D869" t="str">
        <v>ZFINS_CFIN_S_KEY_MAP_STATE_DES</v>
      </c>
      <c r="G869" t="str">
        <v>ALL</v>
      </c>
      <c r="H869" t="str">
        <v>STRU</v>
      </c>
      <c r="K869" t="str">
        <v>E</v>
      </c>
      <c r="L869" t="str">
        <v>NSHAIK</v>
      </c>
      <c r="M869">
        <v>46032</v>
      </c>
      <c r="N869">
        <v>0.1253587962963</v>
      </c>
      <c r="S869" t="str">
        <v>X</v>
      </c>
      <c r="W869" t="str">
        <v>SP1K960967</v>
      </c>
    </row>
    <row r="870">
      <c r="A870" t="str">
        <v>TABL</v>
      </c>
      <c r="B870" t="str">
        <v>ZFINS_CFIN_S_KM_STATE_OUT_DESC</v>
      </c>
      <c r="C870" t="str">
        <v>TABD</v>
      </c>
      <c r="D870" t="str">
        <v>ZFINS_CFIN_S_KM_STATE_OUT_DESC</v>
      </c>
      <c r="G870" t="str">
        <v>ALL</v>
      </c>
      <c r="H870" t="str">
        <v>STRU</v>
      </c>
      <c r="K870" t="str">
        <v>E</v>
      </c>
      <c r="L870" t="str">
        <v>NSHAIK</v>
      </c>
      <c r="M870">
        <v>46032</v>
      </c>
      <c r="N870">
        <v>0.12554398148148</v>
      </c>
      <c r="S870" t="str">
        <v>X</v>
      </c>
      <c r="W870" t="str">
        <v>SP1K960967</v>
      </c>
    </row>
    <row r="871">
      <c r="A871" t="str">
        <v>TABL</v>
      </c>
      <c r="B871" t="str">
        <v>ZFIS_K1K9</v>
      </c>
      <c r="C871" t="str">
        <v>TABD</v>
      </c>
      <c r="D871" t="str">
        <v>ZFIS_K1K9</v>
      </c>
      <c r="G871" t="str">
        <v>ALL</v>
      </c>
      <c r="H871" t="str">
        <v>STRU</v>
      </c>
      <c r="K871" t="str">
        <v>E</v>
      </c>
      <c r="L871" t="str">
        <v>SUDG</v>
      </c>
      <c r="M871">
        <v>46044</v>
      </c>
      <c r="N871">
        <v>0.36902777777778</v>
      </c>
      <c r="S871" t="str">
        <v>X</v>
      </c>
      <c r="W871" t="str">
        <v>S01K928065</v>
      </c>
    </row>
    <row r="872">
      <c r="A872" t="str">
        <v>TABL</v>
      </c>
      <c r="B872" t="str">
        <v>ZFI_CITI_OLOG</v>
      </c>
      <c r="C872" t="str">
        <v>TABD</v>
      </c>
      <c r="D872" t="str">
        <v>ZFI_CITI_OLOG</v>
      </c>
      <c r="G872" t="str">
        <v>ALL</v>
      </c>
      <c r="H872" t="str">
        <v>TABL</v>
      </c>
      <c r="K872" t="str">
        <v>E</v>
      </c>
      <c r="L872">
        <v>10148148</v>
      </c>
      <c r="M872">
        <v>43532</v>
      </c>
      <c r="N872">
        <v>0.68228009259259</v>
      </c>
      <c r="S872" t="str">
        <v>X</v>
      </c>
      <c r="W872" t="str">
        <v>X01K900013</v>
      </c>
    </row>
    <row r="873">
      <c r="A873" t="str">
        <v>TABL</v>
      </c>
      <c r="B873" t="str">
        <v>ZFLS_FI_TAX_ITEM_DETAILS</v>
      </c>
      <c r="C873" t="str">
        <v>TABD</v>
      </c>
      <c r="D873" t="str">
        <v>ZFLS_FI_TAX_ITEM_DETAILS</v>
      </c>
      <c r="G873" t="str">
        <v>ALL</v>
      </c>
      <c r="H873" t="str">
        <v>STRU</v>
      </c>
      <c r="K873" t="str">
        <v>E</v>
      </c>
      <c r="L873" t="str">
        <v>NIM</v>
      </c>
      <c r="M873">
        <v>45524</v>
      </c>
      <c r="N873">
        <v>0.47224537037037</v>
      </c>
      <c r="S873" t="str">
        <v>X</v>
      </c>
      <c r="W873" t="str">
        <v>S01K922349</v>
      </c>
    </row>
    <row r="874">
      <c r="A874" t="str">
        <v>TABL</v>
      </c>
      <c r="B874" t="str">
        <v>ZFLS_IDT_TAX_DATA</v>
      </c>
      <c r="C874" t="str">
        <v>TABD</v>
      </c>
      <c r="D874" t="str">
        <v>ZFLS_IDT_TAX_DATA</v>
      </c>
      <c r="G874" t="str">
        <v>ALL</v>
      </c>
      <c r="H874" t="str">
        <v>STRU</v>
      </c>
      <c r="K874" t="str">
        <v>E</v>
      </c>
      <c r="L874" t="str">
        <v>JVITER</v>
      </c>
      <c r="M874">
        <v>44781</v>
      </c>
      <c r="N874">
        <v>0.73528935185185</v>
      </c>
      <c r="S874" t="str">
        <v>X</v>
      </c>
      <c r="W874" t="str">
        <v>S01K914309</v>
      </c>
    </row>
    <row r="875">
      <c r="A875" t="str">
        <v>TABL</v>
      </c>
      <c r="B875" t="str">
        <v>ZFLS_US_IDT_TAX_DATA</v>
      </c>
      <c r="C875" t="str">
        <v>TABD</v>
      </c>
      <c r="D875" t="str">
        <v>ZFLS_US_IDT_TAX_DATA</v>
      </c>
      <c r="G875" t="str">
        <v>ALL</v>
      </c>
      <c r="H875" t="str">
        <v>STRU</v>
      </c>
      <c r="L875" t="str">
        <v>JVITER</v>
      </c>
      <c r="M875">
        <v>44831</v>
      </c>
      <c r="N875">
        <v>0.00991898148148</v>
      </c>
      <c r="S875" t="str">
        <v>X</v>
      </c>
      <c r="W875" t="str">
        <v>S01K914420</v>
      </c>
    </row>
    <row r="876">
      <c r="A876" t="str">
        <v>TABL</v>
      </c>
      <c r="B876" t="str">
        <v>ZIT_USER</v>
      </c>
      <c r="C876" t="str">
        <v>TABD</v>
      </c>
      <c r="D876" t="str">
        <v>ZIT_USER</v>
      </c>
      <c r="G876" t="str">
        <v>ALL</v>
      </c>
      <c r="H876" t="str">
        <v>TABL</v>
      </c>
      <c r="K876" t="str">
        <v>D</v>
      </c>
      <c r="L876" t="str">
        <v>HESS</v>
      </c>
      <c r="M876">
        <v>42829</v>
      </c>
      <c r="N876">
        <v>0.72903935185185</v>
      </c>
      <c r="S876" t="str">
        <v>X</v>
      </c>
    </row>
    <row r="877">
      <c r="A877" t="str">
        <v>TABL</v>
      </c>
      <c r="B877" t="str">
        <v>ZIT_USER</v>
      </c>
      <c r="C877" t="str">
        <v>TABT</v>
      </c>
      <c r="D877" t="str">
        <v>ZIT_USER</v>
      </c>
      <c r="G877" t="str">
        <v>ALL</v>
      </c>
      <c r="H877" t="str">
        <v>TABL</v>
      </c>
      <c r="L877" t="str">
        <v>HESS</v>
      </c>
      <c r="M877">
        <v>42829</v>
      </c>
      <c r="N877">
        <v>0.72922453703704</v>
      </c>
      <c r="S877" t="str">
        <v>X</v>
      </c>
    </row>
    <row r="878">
      <c r="A878" t="str">
        <v>TABL</v>
      </c>
      <c r="B878" t="str">
        <v>ZJH_MAIL</v>
      </c>
      <c r="C878" t="str">
        <v>TABD</v>
      </c>
      <c r="D878" t="str">
        <v>ZJH_MAIL</v>
      </c>
      <c r="G878" t="str">
        <v>ALL</v>
      </c>
      <c r="H878" t="str">
        <v>TABL</v>
      </c>
      <c r="K878" t="str">
        <v>D</v>
      </c>
      <c r="L878" t="str">
        <v>HESS</v>
      </c>
      <c r="M878">
        <v>42829</v>
      </c>
      <c r="N878">
        <v>0.73320601851852</v>
      </c>
      <c r="S878" t="str">
        <v>X</v>
      </c>
    </row>
    <row r="879">
      <c r="A879" t="str">
        <v>TABL</v>
      </c>
      <c r="B879" t="str">
        <v>ZKOMPAZ</v>
      </c>
      <c r="C879" t="str">
        <v>TABD</v>
      </c>
      <c r="D879" t="str">
        <v>ZKOMPAZ</v>
      </c>
      <c r="G879" t="str">
        <v>ALL</v>
      </c>
      <c r="H879" t="str">
        <v>STRU</v>
      </c>
      <c r="K879" t="str">
        <v>E</v>
      </c>
      <c r="L879" t="str">
        <v>CST_SOURYA</v>
      </c>
      <c r="M879">
        <v>46042</v>
      </c>
      <c r="N879">
        <v>0.39787037037037</v>
      </c>
      <c r="S879" t="str">
        <v>X</v>
      </c>
      <c r="W879" t="str">
        <v>S01K927400</v>
      </c>
    </row>
    <row r="880">
      <c r="A880" t="str">
        <v>TABL</v>
      </c>
      <c r="B880" t="str">
        <v>ZLEX_COMMON_LINE_ITEM</v>
      </c>
      <c r="C880" t="str">
        <v>TABD</v>
      </c>
      <c r="D880" t="str">
        <v>ZLEX_COMMON_LINE_ITEM</v>
      </c>
      <c r="G880" t="str">
        <v>ALL</v>
      </c>
      <c r="H880" t="str">
        <v>STRU</v>
      </c>
      <c r="K880" t="str">
        <v>E</v>
      </c>
      <c r="L880" t="str">
        <v>NSHAIK</v>
      </c>
      <c r="M880">
        <v>45527</v>
      </c>
      <c r="N880">
        <v>0.50385416666667</v>
      </c>
      <c r="S880" t="str">
        <v>X</v>
      </c>
      <c r="W880" t="str">
        <v>S01K922386</v>
      </c>
    </row>
    <row r="881">
      <c r="A881" t="str">
        <v>TABL</v>
      </c>
      <c r="B881" t="str">
        <v>ZMDGC_ADDRNO</v>
      </c>
      <c r="C881" t="str">
        <v>TABD</v>
      </c>
      <c r="D881" t="str">
        <v>ZMDGC_ADDRNO</v>
      </c>
      <c r="G881" t="str">
        <v>ALL</v>
      </c>
      <c r="H881" t="str">
        <v>STRU</v>
      </c>
      <c r="K881" t="str">
        <v>E</v>
      </c>
      <c r="L881" t="str">
        <v>NSHAIK</v>
      </c>
      <c r="M881">
        <v>46020</v>
      </c>
      <c r="N881">
        <v>0.28438657407407</v>
      </c>
      <c r="S881" t="str">
        <v>X</v>
      </c>
      <c r="W881" t="str">
        <v>SP1K961294</v>
      </c>
    </row>
    <row r="882">
      <c r="A882" t="str">
        <v>TABL</v>
      </c>
      <c r="B882" t="str">
        <v>ZMDGC_BAPIBUS1006_ID_DETAILS</v>
      </c>
      <c r="C882" t="str">
        <v>TABD</v>
      </c>
      <c r="D882" t="str">
        <v>ZMDGC_BAPIBUS1006_ID_DETAILS</v>
      </c>
      <c r="G882" t="str">
        <v>ALL</v>
      </c>
      <c r="H882" t="str">
        <v>STRU</v>
      </c>
      <c r="K882" t="str">
        <v>E</v>
      </c>
      <c r="L882" t="str">
        <v>NSHAIK</v>
      </c>
      <c r="M882">
        <v>46020</v>
      </c>
      <c r="N882">
        <v>0.29521990740741</v>
      </c>
      <c r="S882" t="str">
        <v>X</v>
      </c>
      <c r="W882" t="str">
        <v>SP1K961294</v>
      </c>
    </row>
    <row r="883">
      <c r="A883" t="str">
        <v>TABL</v>
      </c>
      <c r="B883" t="str">
        <v>ZMDGC_ENRI_FLDS</v>
      </c>
      <c r="C883" t="str">
        <v>TABD</v>
      </c>
      <c r="D883" t="str">
        <v>ZMDGC_ENRI_FLDS</v>
      </c>
      <c r="G883" t="str">
        <v>ALL</v>
      </c>
      <c r="H883" t="str">
        <v>TABL</v>
      </c>
      <c r="K883" t="str">
        <v>E</v>
      </c>
      <c r="L883" t="str">
        <v>NSHAIK</v>
      </c>
      <c r="M883">
        <v>46013</v>
      </c>
      <c r="N883">
        <v>0.39969907407407</v>
      </c>
      <c r="S883" t="str">
        <v>X</v>
      </c>
      <c r="W883" t="str">
        <v>SP1K961121</v>
      </c>
    </row>
    <row r="884">
      <c r="A884" t="str">
        <v>TABL</v>
      </c>
      <c r="B884" t="str">
        <v>ZMDGS_INT_LOG</v>
      </c>
      <c r="C884" t="str">
        <v>TABD</v>
      </c>
      <c r="D884" t="str">
        <v>ZMDGS_INT_LOG</v>
      </c>
      <c r="G884" t="str">
        <v>ALL</v>
      </c>
      <c r="H884" t="str">
        <v>TABL</v>
      </c>
      <c r="K884" t="str">
        <v>E</v>
      </c>
      <c r="L884" t="str">
        <v>NSHAIK</v>
      </c>
      <c r="M884">
        <v>46013</v>
      </c>
      <c r="N884">
        <v>0.37998842592593</v>
      </c>
      <c r="S884" t="str">
        <v>X</v>
      </c>
      <c r="W884" t="str">
        <v>SP1K961121</v>
      </c>
    </row>
    <row r="885">
      <c r="A885" t="str">
        <v>TABL</v>
      </c>
      <c r="B885" t="str">
        <v>ZMDG_TAX_CREATE_DATA</v>
      </c>
      <c r="C885" t="str">
        <v>TABD</v>
      </c>
      <c r="D885" t="str">
        <v>ZMDG_TAX_CREATE_DATA</v>
      </c>
      <c r="G885" t="str">
        <v>ALL</v>
      </c>
      <c r="H885" t="str">
        <v>STRU</v>
      </c>
      <c r="K885" t="str">
        <v>E</v>
      </c>
      <c r="L885" t="str">
        <v>NSHAIK</v>
      </c>
      <c r="M885">
        <v>46020</v>
      </c>
      <c r="N885">
        <v>0.29753472222222</v>
      </c>
      <c r="S885" t="str">
        <v>X</v>
      </c>
      <c r="W885" t="str">
        <v>SP1K961294</v>
      </c>
    </row>
    <row r="886">
      <c r="A886" t="str">
        <v>TABL</v>
      </c>
      <c r="B886" t="str">
        <v>ZMM_RMNIWE10</v>
      </c>
      <c r="C886" t="str">
        <v>TABD</v>
      </c>
      <c r="D886" t="str">
        <v>ZMM_RMNIWE10</v>
      </c>
      <c r="G886" t="str">
        <v>ALL</v>
      </c>
      <c r="H886" t="str">
        <v>STRU</v>
      </c>
      <c r="K886" t="str">
        <v>E</v>
      </c>
      <c r="L886">
        <v>50117741</v>
      </c>
      <c r="M886">
        <v>45650</v>
      </c>
      <c r="N886">
        <v>0.76864583333333</v>
      </c>
      <c r="S886" t="str">
        <v>X</v>
      </c>
      <c r="W886" t="str">
        <v>S01K923597</v>
      </c>
    </row>
    <row r="887">
      <c r="A887" t="str">
        <v>TABL</v>
      </c>
      <c r="B887" t="str">
        <v>ZORDER_HEADER_STR</v>
      </c>
      <c r="C887" t="str">
        <v>TABD</v>
      </c>
      <c r="D887" t="str">
        <v>ZORDER_HEADER_STR</v>
      </c>
      <c r="G887" t="str">
        <v>ALL</v>
      </c>
      <c r="H887" t="str">
        <v>STRU</v>
      </c>
      <c r="K887" t="str">
        <v>E</v>
      </c>
      <c r="L887" t="str">
        <v>CST_CGEORGE</v>
      </c>
      <c r="M887">
        <v>46155</v>
      </c>
      <c r="N887">
        <v>0.20625</v>
      </c>
      <c r="S887" t="str">
        <v>X</v>
      </c>
      <c r="W887" t="str">
        <v>S01K929536</v>
      </c>
    </row>
    <row r="888">
      <c r="A888" t="str">
        <v>TABL</v>
      </c>
      <c r="B888" t="str">
        <v>ZOTC_MRP_EXCP</v>
      </c>
      <c r="C888" t="str">
        <v>TABD</v>
      </c>
      <c r="D888" t="str">
        <v>ZOTC_MRP_EXCP</v>
      </c>
      <c r="G888" t="str">
        <v>ALL</v>
      </c>
      <c r="H888" t="str">
        <v>STRU</v>
      </c>
      <c r="K888" t="str">
        <v>E</v>
      </c>
      <c r="L888">
        <v>50117143</v>
      </c>
      <c r="M888">
        <v>45063</v>
      </c>
      <c r="N888">
        <v>0.31685185185185</v>
      </c>
      <c r="S888" t="str">
        <v>X</v>
      </c>
      <c r="W888" t="str">
        <v>S01K916044</v>
      </c>
    </row>
    <row r="889">
      <c r="A889" t="str">
        <v>TABL</v>
      </c>
      <c r="B889" t="str">
        <v>ZOTC_MULTI_BOM_ATP_01</v>
      </c>
      <c r="C889" t="str">
        <v>TABD</v>
      </c>
      <c r="D889" t="str">
        <v>ZOTC_MULTI_BOM_ATP_01</v>
      </c>
      <c r="G889" t="str">
        <v>ALL</v>
      </c>
      <c r="H889" t="str">
        <v>STRU</v>
      </c>
      <c r="L889">
        <v>50118299</v>
      </c>
      <c r="M889">
        <v>46210</v>
      </c>
      <c r="N889">
        <v>0.46935185185185</v>
      </c>
      <c r="S889" t="str">
        <v>X</v>
      </c>
      <c r="W889" t="str">
        <v>S01K930133</v>
      </c>
    </row>
    <row r="890">
      <c r="A890" t="str">
        <v>TABL</v>
      </c>
      <c r="B890" t="str">
        <v>ZPP_INVENTORY_ANALYSIS</v>
      </c>
      <c r="C890" t="str">
        <v>TABD</v>
      </c>
      <c r="D890" t="str">
        <v>ZPP_INVENTORY_ANALYSIS</v>
      </c>
      <c r="G890" t="str">
        <v>ALL</v>
      </c>
      <c r="H890" t="str">
        <v>STRU</v>
      </c>
      <c r="K890" t="str">
        <v>E</v>
      </c>
      <c r="L890" t="str">
        <v>CST_SOURYA</v>
      </c>
      <c r="M890">
        <v>46199</v>
      </c>
      <c r="N890">
        <v>0.16759259259259</v>
      </c>
      <c r="S890" t="str">
        <v>X</v>
      </c>
      <c r="W890" t="str">
        <v>S01K928200</v>
      </c>
    </row>
    <row r="891">
      <c r="A891" t="str">
        <v>TABL</v>
      </c>
      <c r="B891" t="str">
        <v>ZPRMS_STATE</v>
      </c>
      <c r="C891" t="str">
        <v>TABD</v>
      </c>
      <c r="D891" t="str">
        <v>ZPRMS_STATE</v>
      </c>
      <c r="G891" t="str">
        <v>ALL</v>
      </c>
      <c r="H891" t="str">
        <v>TABL</v>
      </c>
      <c r="K891" t="str">
        <v>E</v>
      </c>
      <c r="L891" t="str">
        <v>NSHAIK</v>
      </c>
      <c r="M891">
        <v>46013</v>
      </c>
      <c r="N891">
        <v>0.38040509259259</v>
      </c>
      <c r="S891" t="str">
        <v>X</v>
      </c>
      <c r="W891" t="str">
        <v>SP1K961121</v>
      </c>
    </row>
    <row r="892">
      <c r="A892" t="str">
        <v>TABL</v>
      </c>
      <c r="B892" t="str">
        <v>ZPTM_COVERSHEET_01</v>
      </c>
      <c r="C892" t="str">
        <v>TABD</v>
      </c>
      <c r="D892" t="str">
        <v>ZPTM_COVERSHEET_01</v>
      </c>
      <c r="G892" t="str">
        <v>ALL</v>
      </c>
      <c r="H892" t="str">
        <v>STRU</v>
      </c>
      <c r="K892" t="str">
        <v>E</v>
      </c>
      <c r="L892" t="str">
        <v>IARUMUGAM</v>
      </c>
      <c r="M892">
        <v>46084</v>
      </c>
      <c r="N892">
        <v>0.26858796296296</v>
      </c>
      <c r="S892" t="str">
        <v>X</v>
      </c>
      <c r="W892" t="str">
        <v>S01K928515</v>
      </c>
    </row>
    <row r="893">
      <c r="A893" t="str">
        <v>TABL</v>
      </c>
      <c r="B893" t="str">
        <v>ZPTM_CPQ_MULTILEVEL_BOM</v>
      </c>
      <c r="C893" t="str">
        <v>TABD</v>
      </c>
      <c r="D893" t="str">
        <v>ZPTM_CPQ_MULTILEVEL_BOM</v>
      </c>
      <c r="G893" t="str">
        <v>ALL</v>
      </c>
      <c r="H893" t="str">
        <v>STRU</v>
      </c>
      <c r="K893" t="str">
        <v>E</v>
      </c>
      <c r="L893" t="str">
        <v>SSUDARSHAN</v>
      </c>
      <c r="M893">
        <v>45841</v>
      </c>
      <c r="N893">
        <v>0.28618055555556</v>
      </c>
      <c r="S893" t="str">
        <v>X</v>
      </c>
      <c r="W893" t="str">
        <v>S01K925185</v>
      </c>
    </row>
    <row r="894">
      <c r="A894" t="str">
        <v>TABL</v>
      </c>
      <c r="B894" t="str">
        <v>ZPTM_FLOWPART_OUTPUT_S</v>
      </c>
      <c r="C894" t="str">
        <v>TABD</v>
      </c>
      <c r="D894" t="str">
        <v>ZPTM_FLOWPART_OUTPUT_S</v>
      </c>
      <c r="G894" t="str">
        <v>ALL</v>
      </c>
      <c r="H894" t="str">
        <v>STRU</v>
      </c>
      <c r="K894" t="str">
        <v>E</v>
      </c>
      <c r="L894" t="str">
        <v>SSUDARSHAN</v>
      </c>
      <c r="M894">
        <v>45748</v>
      </c>
      <c r="N894">
        <v>0.37005787037037</v>
      </c>
      <c r="S894" t="str">
        <v>X</v>
      </c>
      <c r="W894" t="str">
        <v>S01K924335</v>
      </c>
    </row>
    <row r="895">
      <c r="A895" t="str">
        <v>TABL</v>
      </c>
      <c r="B895" t="str">
        <v>ZPTM_INSP_PLAN</v>
      </c>
      <c r="C895" t="str">
        <v>TABD</v>
      </c>
      <c r="D895" t="str">
        <v>ZPTM_INSP_PLAN</v>
      </c>
      <c r="G895" t="str">
        <v>ALL</v>
      </c>
      <c r="H895" t="str">
        <v>TABL</v>
      </c>
      <c r="K895" t="str">
        <v>E</v>
      </c>
      <c r="L895">
        <v>50116387</v>
      </c>
      <c r="M895">
        <v>45145</v>
      </c>
      <c r="N895">
        <v>0.64270833333333</v>
      </c>
      <c r="S895" t="str">
        <v>X</v>
      </c>
      <c r="W895" t="str">
        <v>S01K917348</v>
      </c>
    </row>
    <row r="896">
      <c r="A896" t="str">
        <v>TABL</v>
      </c>
      <c r="B896" t="str">
        <v>ZPTM_QA_MGR_CERT</v>
      </c>
      <c r="C896" t="str">
        <v>TABT</v>
      </c>
      <c r="D896" t="str">
        <v>ZPTM_QA_MGR_CERT</v>
      </c>
      <c r="G896" t="str">
        <v>ALL</v>
      </c>
      <c r="H896" t="str">
        <v>TABL</v>
      </c>
      <c r="L896">
        <v>50116387</v>
      </c>
      <c r="M896">
        <v>45245</v>
      </c>
      <c r="N896">
        <v>0.57090277777778</v>
      </c>
      <c r="S896" t="str">
        <v>X</v>
      </c>
      <c r="W896" t="str">
        <v>S01K919889</v>
      </c>
    </row>
    <row r="897">
      <c r="A897" t="str">
        <v>TABL</v>
      </c>
      <c r="B897" t="str">
        <v>ZPTM_QINFORECORD</v>
      </c>
      <c r="C897" t="str">
        <v>TABD</v>
      </c>
      <c r="D897" t="str">
        <v>ZPTM_QINFORECORD</v>
      </c>
      <c r="G897" t="str">
        <v>ALL</v>
      </c>
      <c r="H897" t="str">
        <v>TABL</v>
      </c>
      <c r="K897" t="str">
        <v>E</v>
      </c>
      <c r="L897" t="str">
        <v>NIM</v>
      </c>
      <c r="M897">
        <v>45727</v>
      </c>
      <c r="N897">
        <v>0.35028935185185</v>
      </c>
      <c r="S897" t="str">
        <v>X</v>
      </c>
      <c r="W897" t="str">
        <v>S01K924202</v>
      </c>
    </row>
    <row r="898">
      <c r="A898" t="str">
        <v>TABL</v>
      </c>
      <c r="B898" t="str">
        <v>ZPTP_ASN_RCV_APP</v>
      </c>
      <c r="C898" t="str">
        <v>TABD</v>
      </c>
      <c r="D898" t="str">
        <v>ZPTP_ASN_RCV_APP</v>
      </c>
      <c r="G898" t="str">
        <v>ALL</v>
      </c>
      <c r="H898" t="str">
        <v>TABL</v>
      </c>
      <c r="K898" t="str">
        <v>E</v>
      </c>
      <c r="L898">
        <v>50116557</v>
      </c>
      <c r="M898">
        <v>45099</v>
      </c>
      <c r="N898">
        <v>0.82287037037037</v>
      </c>
      <c r="S898" t="str">
        <v>X</v>
      </c>
      <c r="W898" t="str">
        <v>S01K916738</v>
      </c>
    </row>
    <row r="899">
      <c r="A899" t="str">
        <v>TABL</v>
      </c>
      <c r="B899" t="str">
        <v>ZPTP_ASN_RCV_APP</v>
      </c>
      <c r="C899" t="str">
        <v>TABT</v>
      </c>
      <c r="D899" t="str">
        <v>ZPTP_ASN_RCV_APP</v>
      </c>
      <c r="G899" t="str">
        <v>ALL</v>
      </c>
      <c r="H899" t="str">
        <v>TABL</v>
      </c>
      <c r="L899" t="str">
        <v>FF_FUN_CNFE1</v>
      </c>
      <c r="M899">
        <v>45332</v>
      </c>
      <c r="N899">
        <v>0.23252314814815</v>
      </c>
      <c r="S899" t="str">
        <v>X</v>
      </c>
      <c r="W899" t="str">
        <v>P01K900060</v>
      </c>
    </row>
    <row r="900">
      <c r="A900" t="str">
        <v>TABL</v>
      </c>
      <c r="B900" t="str">
        <v>ZPTP_HEADER_ADD_FIELD</v>
      </c>
      <c r="C900" t="str">
        <v>TABD</v>
      </c>
      <c r="D900" t="str">
        <v>ZPTP_HEADER_ADD_FIELD</v>
      </c>
      <c r="G900" t="str">
        <v>ALL</v>
      </c>
      <c r="H900" t="str">
        <v>STRU</v>
      </c>
      <c r="K900" t="str">
        <v>E</v>
      </c>
      <c r="L900" t="str">
        <v>CST_ACHAUHAN</v>
      </c>
      <c r="M900">
        <v>43749</v>
      </c>
      <c r="N900">
        <v>0.45677083333333</v>
      </c>
      <c r="S900" t="str">
        <v>X</v>
      </c>
    </row>
    <row r="901">
      <c r="A901" t="str">
        <v>TABL</v>
      </c>
      <c r="B901" t="str">
        <v>ZPTP_S_PURCHASE_REQ</v>
      </c>
      <c r="C901" t="str">
        <v>TABD</v>
      </c>
      <c r="D901" t="str">
        <v>ZPTP_S_PURCHASE_REQ</v>
      </c>
      <c r="G901" t="str">
        <v>ALL</v>
      </c>
      <c r="H901" t="str">
        <v>STRU</v>
      </c>
      <c r="K901" t="str">
        <v>E</v>
      </c>
      <c r="L901" t="str">
        <v>CST_RSENTHIL</v>
      </c>
      <c r="M901">
        <v>46071</v>
      </c>
      <c r="N901">
        <v>0.38496527777778</v>
      </c>
      <c r="S901" t="str">
        <v>X</v>
      </c>
      <c r="W901" t="str">
        <v>S01K928401</v>
      </c>
    </row>
    <row r="902">
      <c r="A902" t="str">
        <v>TABL</v>
      </c>
      <c r="B902" t="str">
        <v>ZRAR_ACCRUALS_ORDER_REPORT</v>
      </c>
      <c r="C902" t="str">
        <v>TABD</v>
      </c>
      <c r="D902" t="str">
        <v>ZRAR_ACCRUALS_ORDER_REPORT</v>
      </c>
      <c r="G902" t="str">
        <v>ALL</v>
      </c>
      <c r="H902" t="str">
        <v>STRU</v>
      </c>
      <c r="K902" t="str">
        <v>E</v>
      </c>
      <c r="L902">
        <v>50095444</v>
      </c>
      <c r="M902">
        <v>44200</v>
      </c>
      <c r="N902">
        <v>0.4855787037037</v>
      </c>
      <c r="S902" t="str">
        <v>X</v>
      </c>
      <c r="W902" t="str">
        <v>S01K910688</v>
      </c>
    </row>
    <row r="903">
      <c r="A903" t="str">
        <v>TABL</v>
      </c>
      <c r="B903" t="str">
        <v>ZRFKABL00_GRID</v>
      </c>
      <c r="C903" t="str">
        <v>TABD</v>
      </c>
      <c r="D903" t="str">
        <v>ZRFKABL00_GRID</v>
      </c>
      <c r="G903" t="str">
        <v>ALL</v>
      </c>
      <c r="H903" t="str">
        <v>STRU</v>
      </c>
      <c r="K903" t="str">
        <v>D</v>
      </c>
      <c r="L903" t="str">
        <v>NSHAIK</v>
      </c>
      <c r="M903">
        <v>46020</v>
      </c>
      <c r="N903">
        <v>0.52912037037037</v>
      </c>
      <c r="S903" t="str">
        <v>X</v>
      </c>
      <c r="W903" t="str">
        <v>SP1K961294</v>
      </c>
    </row>
    <row r="904">
      <c r="A904" t="str">
        <v>TABL</v>
      </c>
      <c r="B904" t="str">
        <v>ZRTR_LCA_SAVINGS_REPORT_S</v>
      </c>
      <c r="C904" t="str">
        <v>TABD</v>
      </c>
      <c r="D904" t="str">
        <v>ZRTR_LCA_SAVINGS_REPORT_S</v>
      </c>
      <c r="G904" t="str">
        <v>ALL</v>
      </c>
      <c r="H904" t="str">
        <v>STRU</v>
      </c>
      <c r="K904" t="str">
        <v>E</v>
      </c>
      <c r="L904" t="str">
        <v>SSUDARSHAN</v>
      </c>
      <c r="M904">
        <v>45183</v>
      </c>
      <c r="N904">
        <v>0.27054398148148</v>
      </c>
      <c r="S904" t="str">
        <v>X</v>
      </c>
      <c r="W904" t="str">
        <v>S01K918279</v>
      </c>
    </row>
    <row r="905">
      <c r="A905" t="str">
        <v>TABL</v>
      </c>
      <c r="B905" t="str">
        <v>ZRTR_LCA_SAVINGS_REPORT_S</v>
      </c>
      <c r="C905" t="str">
        <v>TABD</v>
      </c>
      <c r="D905" t="str">
        <v>ZRTR_LCA_SAVINGS_REPORT_S</v>
      </c>
      <c r="E905" t="str">
        <v>APPD</v>
      </c>
      <c r="F905" t="str">
        <v>ZVBAP_ATP_1</v>
      </c>
      <c r="G905" t="str">
        <v>ALL</v>
      </c>
      <c r="H905" t="str">
        <v>STRU</v>
      </c>
      <c r="L905">
        <v>50117922</v>
      </c>
      <c r="M905">
        <v>45104</v>
      </c>
      <c r="N905">
        <v>0.44375</v>
      </c>
      <c r="W905" t="str">
        <v>S01K916645</v>
      </c>
    </row>
    <row r="906">
      <c r="A906" t="str">
        <v>TABL</v>
      </c>
      <c r="B906" t="str">
        <v>ZSBAPIMDGC0116_ID_DETAILS</v>
      </c>
      <c r="C906" t="str">
        <v>TABD</v>
      </c>
      <c r="D906" t="str">
        <v>ZSBAPIMDGC0116_ID_DETAILS</v>
      </c>
      <c r="G906" t="str">
        <v>ALL</v>
      </c>
      <c r="H906" t="str">
        <v>STRU</v>
      </c>
      <c r="K906" t="str">
        <v>E</v>
      </c>
      <c r="L906" t="str">
        <v>NSHAIK</v>
      </c>
      <c r="M906">
        <v>46020</v>
      </c>
      <c r="N906">
        <v>0.28571759259259</v>
      </c>
      <c r="S906" t="str">
        <v>X</v>
      </c>
      <c r="W906" t="str">
        <v>SP1K961294</v>
      </c>
    </row>
    <row r="907">
      <c r="A907" t="str">
        <v>TABL</v>
      </c>
      <c r="B907" t="str">
        <v>ZSBAPI_MDGC_EXTERNAL_SYSTEM</v>
      </c>
      <c r="C907" t="str">
        <v>TABD</v>
      </c>
      <c r="D907" t="str">
        <v>ZSBAPI_MDGC_EXTERNAL_SYSTEM</v>
      </c>
      <c r="G907" t="str">
        <v>ALL</v>
      </c>
      <c r="H907" t="str">
        <v>STRU</v>
      </c>
      <c r="K907" t="str">
        <v>E</v>
      </c>
      <c r="L907" t="str">
        <v>NSHAIK</v>
      </c>
      <c r="M907">
        <v>46020</v>
      </c>
      <c r="N907">
        <v>0.5294212962963</v>
      </c>
      <c r="S907" t="str">
        <v>X</v>
      </c>
      <c r="W907" t="str">
        <v>SP1K961294</v>
      </c>
    </row>
    <row r="908">
      <c r="A908" t="str">
        <v>TABL</v>
      </c>
      <c r="B908" t="str">
        <v>ZSBAPI_MDGC_IDENT_MASS_PARAMS</v>
      </c>
      <c r="C908" t="str">
        <v>TABD</v>
      </c>
      <c r="D908" t="str">
        <v>ZSBAPI_MDGC_IDENT_MASS_PARAMS</v>
      </c>
      <c r="G908" t="str">
        <v>ALL</v>
      </c>
      <c r="H908" t="str">
        <v>STRU</v>
      </c>
      <c r="K908" t="str">
        <v>E</v>
      </c>
      <c r="L908" t="str">
        <v>NSHAIK</v>
      </c>
      <c r="M908">
        <v>46020</v>
      </c>
      <c r="N908">
        <v>0.28614583333333</v>
      </c>
      <c r="S908" t="str">
        <v>X</v>
      </c>
      <c r="W908" t="str">
        <v>SP1K961294</v>
      </c>
    </row>
    <row r="909">
      <c r="A909" t="str">
        <v>TABL</v>
      </c>
      <c r="B909" t="str">
        <v>ZSCA_STEP_STATS</v>
      </c>
      <c r="C909" t="str">
        <v>TABD</v>
      </c>
      <c r="D909" t="str">
        <v>ZSCA_STEP_STATS</v>
      </c>
      <c r="G909" t="str">
        <v>ALL</v>
      </c>
      <c r="H909" t="str">
        <v>STRU</v>
      </c>
      <c r="K909" t="str">
        <v>E</v>
      </c>
      <c r="L909" t="str">
        <v>ALWALARA</v>
      </c>
      <c r="M909">
        <v>41326</v>
      </c>
      <c r="N909">
        <v>0.21109953703704</v>
      </c>
      <c r="S909" t="str">
        <v>X</v>
      </c>
      <c r="W909" t="str">
        <v>EHRK900111</v>
      </c>
    </row>
    <row r="910">
      <c r="A910" t="str">
        <v>TABL</v>
      </c>
      <c r="B910" t="str">
        <v>ZSCA_TEMP_DATA</v>
      </c>
      <c r="C910" t="str">
        <v>TABD</v>
      </c>
      <c r="D910" t="str">
        <v>ZSCA_TEMP_DATA</v>
      </c>
      <c r="G910" t="str">
        <v>ALL</v>
      </c>
      <c r="H910" t="str">
        <v>STRU</v>
      </c>
      <c r="K910" t="str">
        <v>E</v>
      </c>
      <c r="L910" t="str">
        <v>ALWALARA</v>
      </c>
      <c r="M910">
        <v>42382</v>
      </c>
      <c r="N910">
        <v>0.05805555555556</v>
      </c>
      <c r="S910" t="str">
        <v>X</v>
      </c>
      <c r="W910" t="str">
        <v>RS2K900004</v>
      </c>
    </row>
    <row r="911">
      <c r="A911" t="str">
        <v>TABL</v>
      </c>
      <c r="B911" t="str">
        <v>ZSCR_IM_S</v>
      </c>
      <c r="C911" t="str">
        <v>TABD</v>
      </c>
      <c r="D911" t="str">
        <v>ZSCR_IM_S</v>
      </c>
      <c r="G911" t="str">
        <v>ALL</v>
      </c>
      <c r="H911" t="str">
        <v>STRU</v>
      </c>
      <c r="K911" t="str">
        <v>E</v>
      </c>
      <c r="L911" t="str">
        <v>VKUNNAVAKAM</v>
      </c>
      <c r="M911">
        <v>45279</v>
      </c>
      <c r="N911">
        <v>0.32439814814815</v>
      </c>
      <c r="S911" t="str">
        <v>X</v>
      </c>
      <c r="W911" t="str">
        <v>S01K920359</v>
      </c>
    </row>
    <row r="912">
      <c r="A912" t="str">
        <v>TABL</v>
      </c>
      <c r="B912" t="str">
        <v>ZSCR_MR_S</v>
      </c>
      <c r="C912" t="str">
        <v>TABD</v>
      </c>
      <c r="D912" t="str">
        <v>ZSCR_MR_S</v>
      </c>
      <c r="G912" t="str">
        <v>ALL</v>
      </c>
      <c r="H912" t="str">
        <v>STRU</v>
      </c>
      <c r="K912" t="str">
        <v>E</v>
      </c>
      <c r="L912" t="str">
        <v>JAR</v>
      </c>
      <c r="M912">
        <v>45971</v>
      </c>
      <c r="N912">
        <v>0.37884259259259</v>
      </c>
      <c r="S912" t="str">
        <v>X</v>
      </c>
      <c r="W912" t="str">
        <v>S01K927036</v>
      </c>
    </row>
    <row r="913">
      <c r="A913" t="str">
        <v>TABL</v>
      </c>
      <c r="B913" t="str">
        <v>ZSCR_PO_S</v>
      </c>
      <c r="C913" t="str">
        <v>TABD</v>
      </c>
      <c r="D913" t="str">
        <v>ZSCR_PO_S</v>
      </c>
      <c r="G913" t="str">
        <v>ALL</v>
      </c>
      <c r="H913" t="str">
        <v>STRU</v>
      </c>
      <c r="K913" t="str">
        <v>E</v>
      </c>
      <c r="L913" t="str">
        <v>JAR</v>
      </c>
      <c r="M913">
        <v>45971</v>
      </c>
      <c r="N913">
        <v>0.4066087962963</v>
      </c>
      <c r="S913" t="str">
        <v>X</v>
      </c>
      <c r="W913" t="str">
        <v>S01K927036</v>
      </c>
    </row>
    <row r="914">
      <c r="A914" t="str">
        <v>TABL</v>
      </c>
      <c r="B914" t="str">
        <v>ZSD_ALMAILREC</v>
      </c>
      <c r="C914" t="str">
        <v>TABD</v>
      </c>
      <c r="D914" t="str">
        <v>ZSD_ALMAILREC</v>
      </c>
      <c r="G914" t="str">
        <v>ALL</v>
      </c>
      <c r="H914" t="str">
        <v>TABL</v>
      </c>
      <c r="K914" t="str">
        <v>D</v>
      </c>
      <c r="L914" t="str">
        <v>HESS</v>
      </c>
      <c r="M914">
        <v>42829</v>
      </c>
      <c r="N914">
        <v>0.73351851851852</v>
      </c>
      <c r="S914" t="str">
        <v>X</v>
      </c>
    </row>
    <row r="915">
      <c r="A915" t="str">
        <v>TABL</v>
      </c>
      <c r="B915" t="str">
        <v>ZSD_PEGGING_OUTPUT</v>
      </c>
      <c r="C915" t="str">
        <v>TABD</v>
      </c>
      <c r="D915" t="str">
        <v>ZSD_PEGGING_OUTPUT</v>
      </c>
      <c r="G915" t="str">
        <v>ALL</v>
      </c>
      <c r="H915" t="str">
        <v>STRU</v>
      </c>
      <c r="K915" t="str">
        <v>E</v>
      </c>
      <c r="L915" t="str">
        <v>CST_CHINMAY</v>
      </c>
      <c r="M915">
        <v>45993</v>
      </c>
      <c r="N915">
        <v>0.54952546296296</v>
      </c>
      <c r="S915" t="str">
        <v>X</v>
      </c>
      <c r="W915" t="str">
        <v>S01K927312</v>
      </c>
    </row>
    <row r="916">
      <c r="A916" t="str">
        <v>TABL</v>
      </c>
      <c r="B916" t="str">
        <v>ZSD_PEGGING_OUTPUT_UI</v>
      </c>
      <c r="C916" t="str">
        <v>TABD</v>
      </c>
      <c r="D916" t="str">
        <v>ZSD_PEGGING_OUTPUT_UI</v>
      </c>
      <c r="G916" t="str">
        <v>ALL</v>
      </c>
      <c r="H916" t="str">
        <v>STRU</v>
      </c>
      <c r="K916" t="str">
        <v>E</v>
      </c>
      <c r="L916" t="str">
        <v>APC</v>
      </c>
      <c r="M916">
        <v>43943</v>
      </c>
      <c r="N916">
        <v>0.46040509259259</v>
      </c>
      <c r="S916" t="str">
        <v>X</v>
      </c>
      <c r="W916" t="str">
        <v>S01K907399</v>
      </c>
    </row>
    <row r="917">
      <c r="A917" t="str">
        <v>TABL</v>
      </c>
      <c r="B917" t="str">
        <v>ZSLEX_DDT_ITEM</v>
      </c>
      <c r="C917" t="str">
        <v>TABD</v>
      </c>
      <c r="D917" t="str">
        <v>ZSLEX_DDT_ITEM</v>
      </c>
      <c r="G917" t="str">
        <v>ALL</v>
      </c>
      <c r="H917" t="str">
        <v>STRU</v>
      </c>
      <c r="K917" t="str">
        <v>E</v>
      </c>
      <c r="L917" t="str">
        <v>CST_SIVASANK</v>
      </c>
      <c r="M917">
        <v>45719</v>
      </c>
      <c r="N917">
        <v>0.39417824074074</v>
      </c>
      <c r="S917" t="str">
        <v>X</v>
      </c>
      <c r="W917" t="str">
        <v>S01K924056</v>
      </c>
    </row>
    <row r="918">
      <c r="A918" t="str">
        <v>TABL</v>
      </c>
      <c r="B918" t="str">
        <v>ZSMDGC_FF_STATUS_REPORT</v>
      </c>
      <c r="C918" t="str">
        <v>TABD</v>
      </c>
      <c r="D918" t="str">
        <v>ZSMDGC_FF_STATUS_REPORT</v>
      </c>
      <c r="G918" t="str">
        <v>ALL</v>
      </c>
      <c r="H918" t="str">
        <v>STRU</v>
      </c>
      <c r="K918" t="str">
        <v>E</v>
      </c>
      <c r="L918" t="str">
        <v>NSHAIK</v>
      </c>
      <c r="M918">
        <v>46020</v>
      </c>
      <c r="N918">
        <v>0.52971064814815</v>
      </c>
      <c r="S918" t="str">
        <v>X</v>
      </c>
      <c r="W918" t="str">
        <v>SP1K961294</v>
      </c>
    </row>
    <row r="919">
      <c r="A919" t="str">
        <v>TABL</v>
      </c>
      <c r="B919" t="str">
        <v>ZSMDGC_INFORMATICA_ADDR_FORMAT</v>
      </c>
      <c r="C919" t="str">
        <v>TABD</v>
      </c>
      <c r="D919" t="str">
        <v>ZSMDGC_INFORMATICA_ADDR_FORMAT</v>
      </c>
      <c r="G919" t="str">
        <v>ALL</v>
      </c>
      <c r="H919" t="str">
        <v>STRU</v>
      </c>
      <c r="K919" t="str">
        <v>E</v>
      </c>
      <c r="L919" t="str">
        <v>NSHAIK</v>
      </c>
      <c r="M919">
        <v>46021</v>
      </c>
      <c r="N919">
        <v>0.17679398148148</v>
      </c>
      <c r="S919" t="str">
        <v>X</v>
      </c>
      <c r="W919" t="str">
        <v>SP1K961294</v>
      </c>
    </row>
    <row r="920">
      <c r="A920" t="str">
        <v>TABL</v>
      </c>
      <c r="B920" t="str">
        <v>ZSMDGM_BAPI_MEAN</v>
      </c>
      <c r="C920" t="str">
        <v>TABD</v>
      </c>
      <c r="D920" t="str">
        <v>ZSMDGM_BAPI_MEAN</v>
      </c>
      <c r="G920" t="str">
        <v>ALL</v>
      </c>
      <c r="H920" t="str">
        <v>STRU</v>
      </c>
      <c r="K920" t="str">
        <v>E</v>
      </c>
      <c r="L920" t="str">
        <v>NSHAIK</v>
      </c>
      <c r="M920">
        <v>46020</v>
      </c>
      <c r="N920">
        <v>0.28630787037037</v>
      </c>
      <c r="S920" t="str">
        <v>X</v>
      </c>
      <c r="W920" t="str">
        <v>SP1K961294</v>
      </c>
    </row>
    <row r="921">
      <c r="A921" t="str">
        <v>TABL</v>
      </c>
      <c r="B921" t="str">
        <v>ZSMDGM_MEAN</v>
      </c>
      <c r="C921" t="str">
        <v>TABD</v>
      </c>
      <c r="D921" t="str">
        <v>ZSMDGM_MEAN</v>
      </c>
      <c r="G921" t="str">
        <v>ALL</v>
      </c>
      <c r="H921" t="str">
        <v>STRU</v>
      </c>
      <c r="K921" t="str">
        <v>E</v>
      </c>
      <c r="L921" t="str">
        <v>NSHAIK</v>
      </c>
      <c r="M921">
        <v>46020</v>
      </c>
      <c r="N921">
        <v>0.2865625</v>
      </c>
      <c r="S921" t="str">
        <v>X</v>
      </c>
      <c r="W921" t="str">
        <v>SP1K961294</v>
      </c>
    </row>
    <row r="922">
      <c r="A922" t="str">
        <v>TABL</v>
      </c>
      <c r="B922" t="str">
        <v>ZSMDGS_RELATE</v>
      </c>
      <c r="C922" t="str">
        <v>TABD</v>
      </c>
      <c r="D922" t="str">
        <v>ZSMDGS_RELATE</v>
      </c>
      <c r="G922" t="str">
        <v>ALL</v>
      </c>
      <c r="H922" t="str">
        <v>STRU</v>
      </c>
      <c r="K922" t="str">
        <v>E</v>
      </c>
      <c r="L922" t="str">
        <v>NSHAIK</v>
      </c>
      <c r="M922">
        <v>46020</v>
      </c>
      <c r="N922">
        <v>0.31028935185185</v>
      </c>
      <c r="S922" t="str">
        <v>X</v>
      </c>
      <c r="W922" t="str">
        <v>SP1K961294</v>
      </c>
    </row>
    <row r="923">
      <c r="A923" t="str">
        <v>TABL</v>
      </c>
      <c r="B923" t="str">
        <v>ZSMDG_USMD_S_CREQUEST_POWL</v>
      </c>
      <c r="C923" t="str">
        <v>TABD</v>
      </c>
      <c r="D923" t="str">
        <v>ZSMDG_USMD_S_CREQUEST_POWL</v>
      </c>
      <c r="G923" t="str">
        <v>ALL</v>
      </c>
      <c r="H923" t="str">
        <v>STRU</v>
      </c>
      <c r="K923" t="str">
        <v>E</v>
      </c>
      <c r="L923" t="str">
        <v>NSHAIK</v>
      </c>
      <c r="M923">
        <v>46021</v>
      </c>
      <c r="N923">
        <v>0.18096064814815</v>
      </c>
      <c r="S923" t="str">
        <v>X</v>
      </c>
      <c r="W923" t="str">
        <v>SP1K961294</v>
      </c>
    </row>
    <row r="924">
      <c r="A924" t="str">
        <v>TABL</v>
      </c>
      <c r="B924" t="str">
        <v>ZSPTP_EMAIL_CONF</v>
      </c>
      <c r="C924" t="str">
        <v>TABD</v>
      </c>
      <c r="D924" t="str">
        <v>ZSPTP_EMAIL_CONF</v>
      </c>
      <c r="G924" t="str">
        <v>ALL</v>
      </c>
      <c r="H924" t="str">
        <v>TABL</v>
      </c>
      <c r="K924" t="str">
        <v>E</v>
      </c>
      <c r="L924" t="str">
        <v>CST_IROHIT</v>
      </c>
      <c r="M924">
        <v>44245</v>
      </c>
      <c r="N924">
        <v>0.75229166666667</v>
      </c>
      <c r="S924" t="str">
        <v>X</v>
      </c>
      <c r="W924" t="str">
        <v>S01K911206</v>
      </c>
    </row>
    <row r="925">
      <c r="A925" t="str">
        <v>TABL</v>
      </c>
      <c r="B925" t="str">
        <v>ZSREUSE_VM_HEADER</v>
      </c>
      <c r="C925" t="str">
        <v>TABD</v>
      </c>
      <c r="D925" t="str">
        <v>ZSREUSE_VM_HEADER</v>
      </c>
      <c r="G925" t="str">
        <v>ALL</v>
      </c>
      <c r="H925" t="str">
        <v>STRU</v>
      </c>
      <c r="K925" t="str">
        <v>E</v>
      </c>
      <c r="L925" t="str">
        <v>DDIC_SPDD</v>
      </c>
      <c r="M925">
        <v>45337</v>
      </c>
      <c r="N925">
        <v>0.38913194444444</v>
      </c>
      <c r="S925" t="str">
        <v>X</v>
      </c>
      <c r="W925" t="str">
        <v>P01K900067</v>
      </c>
    </row>
    <row r="926">
      <c r="A926" t="str">
        <v>TABL</v>
      </c>
      <c r="B926" t="str">
        <v>ZSREUSE_VM_HEADER_NEW</v>
      </c>
      <c r="C926" t="str">
        <v>TABD</v>
      </c>
      <c r="D926" t="str">
        <v>ZSREUSE_VM_HEADER_NEW</v>
      </c>
      <c r="G926" t="str">
        <v>ALL</v>
      </c>
      <c r="H926" t="str">
        <v>STRU</v>
      </c>
      <c r="K926" t="str">
        <v>E</v>
      </c>
      <c r="L926" t="str">
        <v>DDIC_SPDD</v>
      </c>
      <c r="M926">
        <v>45337</v>
      </c>
      <c r="N926">
        <v>0.39002314814815</v>
      </c>
      <c r="S926" t="str">
        <v>X</v>
      </c>
      <c r="W926" t="str">
        <v>P01K900067</v>
      </c>
    </row>
    <row r="927">
      <c r="A927" t="str">
        <v>TABL</v>
      </c>
      <c r="B927" t="str">
        <v>ZSTEP_STAT</v>
      </c>
      <c r="C927" t="str">
        <v>TABD</v>
      </c>
      <c r="D927" t="str">
        <v>ZSTEP_STAT</v>
      </c>
      <c r="G927" t="str">
        <v>ALL</v>
      </c>
      <c r="H927" t="str">
        <v>STRU</v>
      </c>
      <c r="K927" t="str">
        <v>E</v>
      </c>
      <c r="L927" t="str">
        <v>ALWALARA</v>
      </c>
      <c r="M927">
        <v>41326</v>
      </c>
      <c r="N927">
        <v>0.20980324074074</v>
      </c>
      <c r="S927" t="str">
        <v>X</v>
      </c>
      <c r="W927" t="str">
        <v>EHRK900111</v>
      </c>
    </row>
    <row r="928">
      <c r="A928" t="str">
        <v>TABL</v>
      </c>
      <c r="B928" t="str">
        <v>ZST_MDG_ADDR1_RANGE</v>
      </c>
      <c r="C928" t="str">
        <v>TABD</v>
      </c>
      <c r="D928" t="str">
        <v>ZST_MDG_ADDR1_RANGE</v>
      </c>
      <c r="G928" t="str">
        <v>ALL</v>
      </c>
      <c r="H928" t="str">
        <v>STRU</v>
      </c>
      <c r="K928" t="str">
        <v>E</v>
      </c>
      <c r="L928" t="str">
        <v>NSHAIK</v>
      </c>
      <c r="M928">
        <v>46020</v>
      </c>
      <c r="N928">
        <v>0.28842592592593</v>
      </c>
      <c r="S928" t="str">
        <v>X</v>
      </c>
      <c r="W928" t="str">
        <v>SP1K961294</v>
      </c>
    </row>
    <row r="929">
      <c r="A929" t="str">
        <v>TABL</v>
      </c>
      <c r="B929" t="str">
        <v>ZST_MDG_ADDR2_RANGE</v>
      </c>
      <c r="C929" t="str">
        <v>TABD</v>
      </c>
      <c r="D929" t="str">
        <v>ZST_MDG_ADDR2_RANGE</v>
      </c>
      <c r="G929" t="str">
        <v>ALL</v>
      </c>
      <c r="H929" t="str">
        <v>STRU</v>
      </c>
      <c r="K929" t="str">
        <v>E</v>
      </c>
      <c r="L929" t="str">
        <v>NSHAIK</v>
      </c>
      <c r="M929">
        <v>46020</v>
      </c>
      <c r="N929">
        <v>0.28916666666667</v>
      </c>
      <c r="S929" t="str">
        <v>X</v>
      </c>
      <c r="W929" t="str">
        <v>SP1K961294</v>
      </c>
    </row>
    <row r="930">
      <c r="A930" t="str">
        <v>TABL</v>
      </c>
      <c r="B930" t="str">
        <v>ZST_MDG_CITY_RANGE</v>
      </c>
      <c r="C930" t="str">
        <v>TABD</v>
      </c>
      <c r="D930" t="str">
        <v>ZST_MDG_CITY_RANGE</v>
      </c>
      <c r="G930" t="str">
        <v>ALL</v>
      </c>
      <c r="H930" t="str">
        <v>STRU</v>
      </c>
      <c r="K930" t="str">
        <v>E</v>
      </c>
      <c r="L930" t="str">
        <v>NSHAIK</v>
      </c>
      <c r="M930">
        <v>46020</v>
      </c>
      <c r="N930">
        <v>0.28987268518519</v>
      </c>
      <c r="S930" t="str">
        <v>X</v>
      </c>
      <c r="W930" t="str">
        <v>SP1K961294</v>
      </c>
    </row>
    <row r="931">
      <c r="A931" t="str">
        <v>TABL</v>
      </c>
      <c r="B931" t="str">
        <v>ZST_MDG_COUNTRY_RANGE</v>
      </c>
      <c r="C931" t="str">
        <v>TABD</v>
      </c>
      <c r="D931" t="str">
        <v>ZST_MDG_COUNTRY_RANGE</v>
      </c>
      <c r="G931" t="str">
        <v>ALL</v>
      </c>
      <c r="H931" t="str">
        <v>STRU</v>
      </c>
      <c r="K931" t="str">
        <v>E</v>
      </c>
      <c r="L931" t="str">
        <v>NSHAIK</v>
      </c>
      <c r="M931">
        <v>46020</v>
      </c>
      <c r="N931">
        <v>0.29023148148148</v>
      </c>
      <c r="S931" t="str">
        <v>X</v>
      </c>
      <c r="W931" t="str">
        <v>SP1K961294</v>
      </c>
    </row>
    <row r="932">
      <c r="A932" t="str">
        <v>TABL</v>
      </c>
      <c r="B932" t="str">
        <v>ZST_MDG_DOCTYPE_RANGE</v>
      </c>
      <c r="C932" t="str">
        <v>TABD</v>
      </c>
      <c r="D932" t="str">
        <v>ZST_MDG_DOCTYPE_RANGE</v>
      </c>
      <c r="G932" t="str">
        <v>ALL</v>
      </c>
      <c r="H932" t="str">
        <v>STRU</v>
      </c>
      <c r="K932" t="str">
        <v>E</v>
      </c>
      <c r="L932" t="str">
        <v>NSHAIK</v>
      </c>
      <c r="M932">
        <v>46020</v>
      </c>
      <c r="N932">
        <v>0.29042824074074</v>
      </c>
      <c r="S932" t="str">
        <v>X</v>
      </c>
      <c r="W932" t="str">
        <v>SP1K961294</v>
      </c>
    </row>
    <row r="933">
      <c r="A933" t="str">
        <v>TABL</v>
      </c>
      <c r="B933" t="str">
        <v>ZST_MDG_SITE_RANGE</v>
      </c>
      <c r="C933" t="str">
        <v>TABD</v>
      </c>
      <c r="D933" t="str">
        <v>ZST_MDG_SITE_RANGE</v>
      </c>
      <c r="G933" t="str">
        <v>ALL</v>
      </c>
      <c r="H933" t="str">
        <v>STRU</v>
      </c>
      <c r="K933" t="str">
        <v>E</v>
      </c>
      <c r="L933" t="str">
        <v>NSHAIK</v>
      </c>
      <c r="M933">
        <v>46020</v>
      </c>
      <c r="N933">
        <v>0.29082175925926</v>
      </c>
      <c r="S933" t="str">
        <v>X</v>
      </c>
      <c r="W933" t="str">
        <v>SP1K961294</v>
      </c>
    </row>
    <row r="934">
      <c r="A934" t="str">
        <v>TABL</v>
      </c>
      <c r="B934" t="str">
        <v>ZST_MDG_STATE_RANGE</v>
      </c>
      <c r="C934" t="str">
        <v>TABD</v>
      </c>
      <c r="D934" t="str">
        <v>ZST_MDG_STATE_RANGE</v>
      </c>
      <c r="G934" t="str">
        <v>ALL</v>
      </c>
      <c r="H934" t="str">
        <v>STRU</v>
      </c>
      <c r="K934" t="str">
        <v>E</v>
      </c>
      <c r="L934" t="str">
        <v>NSHAIK</v>
      </c>
      <c r="M934">
        <v>46020</v>
      </c>
      <c r="N934">
        <v>0.29121527777778</v>
      </c>
      <c r="S934" t="str">
        <v>X</v>
      </c>
      <c r="W934" t="str">
        <v>SP1K961294</v>
      </c>
    </row>
    <row r="935">
      <c r="A935" t="str">
        <v>TABL</v>
      </c>
      <c r="B935" t="str">
        <v>ZST_MDG_VENDORDBA_RANGE</v>
      </c>
      <c r="C935" t="str">
        <v>TABD</v>
      </c>
      <c r="D935" t="str">
        <v>ZST_MDG_VENDORDBA_RANGE</v>
      </c>
      <c r="G935" t="str">
        <v>ALL</v>
      </c>
      <c r="H935" t="str">
        <v>STRU</v>
      </c>
      <c r="K935" t="str">
        <v>E</v>
      </c>
      <c r="L935" t="str">
        <v>NSHAIK</v>
      </c>
      <c r="M935">
        <v>46020</v>
      </c>
      <c r="N935">
        <v>0.29157407407407</v>
      </c>
      <c r="S935" t="str">
        <v>X</v>
      </c>
      <c r="W935" t="str">
        <v>SP1K961294</v>
      </c>
    </row>
    <row r="936">
      <c r="A936" t="str">
        <v>TABL</v>
      </c>
      <c r="B936" t="str">
        <v>ZST_MDG_VENDORNAME_RANGE</v>
      </c>
      <c r="C936" t="str">
        <v>TABD</v>
      </c>
      <c r="D936" t="str">
        <v>ZST_MDG_VENDORNAME_RANGE</v>
      </c>
      <c r="G936" t="str">
        <v>ALL</v>
      </c>
      <c r="H936" t="str">
        <v>STRU</v>
      </c>
      <c r="K936" t="str">
        <v>E</v>
      </c>
      <c r="L936" t="str">
        <v>NSHAIK</v>
      </c>
      <c r="M936">
        <v>46020</v>
      </c>
      <c r="N936">
        <v>0.2919212962963</v>
      </c>
      <c r="S936" t="str">
        <v>X</v>
      </c>
      <c r="W936" t="str">
        <v>SP1K961294</v>
      </c>
    </row>
    <row r="937">
      <c r="A937" t="str">
        <v>TABL</v>
      </c>
      <c r="B937" t="str">
        <v>ZST_MDG_VENDORTAXID_RANGE</v>
      </c>
      <c r="C937" t="str">
        <v>TABD</v>
      </c>
      <c r="D937" t="str">
        <v>ZST_MDG_VENDORTAXID_RANGE</v>
      </c>
      <c r="G937" t="str">
        <v>ALL</v>
      </c>
      <c r="H937" t="str">
        <v>STRU</v>
      </c>
      <c r="K937" t="str">
        <v>E</v>
      </c>
      <c r="L937" t="str">
        <v>NSHAIK</v>
      </c>
      <c r="M937">
        <v>46020</v>
      </c>
      <c r="N937">
        <v>0.29222222222222</v>
      </c>
      <c r="S937" t="str">
        <v>X</v>
      </c>
      <c r="W937" t="str">
        <v>SP1K961294</v>
      </c>
    </row>
    <row r="938">
      <c r="A938" t="str">
        <v>TABL</v>
      </c>
      <c r="B938" t="str">
        <v>ZST_MDG_VENDORTAX_XLSX</v>
      </c>
      <c r="C938" t="str">
        <v>TABD</v>
      </c>
      <c r="D938" t="str">
        <v>ZST_MDG_VENDORTAX_XLSX</v>
      </c>
      <c r="G938" t="str">
        <v>ALL</v>
      </c>
      <c r="H938" t="str">
        <v>STRU</v>
      </c>
      <c r="K938" t="str">
        <v>E</v>
      </c>
      <c r="L938" t="str">
        <v>NSHAIK</v>
      </c>
      <c r="M938">
        <v>46020</v>
      </c>
      <c r="N938">
        <v>0.29259259259259</v>
      </c>
      <c r="S938" t="str">
        <v>X</v>
      </c>
      <c r="W938" t="str">
        <v>SP1K961294</v>
      </c>
    </row>
    <row r="939">
      <c r="A939" t="str">
        <v>TABL</v>
      </c>
      <c r="B939" t="str">
        <v>ZST_MDG_VENDORTYPE_RANGE</v>
      </c>
      <c r="C939" t="str">
        <v>TABD</v>
      </c>
      <c r="D939" t="str">
        <v>ZST_MDG_VENDORTYPE_RANGE</v>
      </c>
      <c r="G939" t="str">
        <v>ALL</v>
      </c>
      <c r="H939" t="str">
        <v>STRU</v>
      </c>
      <c r="K939" t="str">
        <v>E</v>
      </c>
      <c r="L939" t="str">
        <v>NSHAIK</v>
      </c>
      <c r="M939">
        <v>46020</v>
      </c>
      <c r="N939">
        <v>0.2927662037037</v>
      </c>
      <c r="S939" t="str">
        <v>X</v>
      </c>
      <c r="W939" t="str">
        <v>SP1K961294</v>
      </c>
    </row>
    <row r="940">
      <c r="A940" t="str">
        <v>TABL</v>
      </c>
      <c r="B940" t="str">
        <v>ZST_MDG_VENDTAX_DOCUMENT</v>
      </c>
      <c r="C940" t="str">
        <v>TABD</v>
      </c>
      <c r="D940" t="str">
        <v>ZST_MDG_VENDTAX_DOCUMENT</v>
      </c>
      <c r="G940" t="str">
        <v>ALL</v>
      </c>
      <c r="H940" t="str">
        <v>STRU</v>
      </c>
      <c r="K940" t="str">
        <v>E</v>
      </c>
      <c r="L940" t="str">
        <v>NSHAIK</v>
      </c>
      <c r="M940">
        <v>46020</v>
      </c>
      <c r="N940">
        <v>0.29302083333333</v>
      </c>
      <c r="S940" t="str">
        <v>X</v>
      </c>
      <c r="W940" t="str">
        <v>SP1K961294</v>
      </c>
    </row>
    <row r="941">
      <c r="A941" t="str">
        <v>TABL</v>
      </c>
      <c r="B941" t="str">
        <v>ZST_MDG_VENDTAX_SEARCH_CREATE</v>
      </c>
      <c r="C941" t="str">
        <v>TABD</v>
      </c>
      <c r="D941" t="str">
        <v>ZST_MDG_VENDTAX_SEARCH_CREATE</v>
      </c>
      <c r="G941" t="str">
        <v>ALL</v>
      </c>
      <c r="H941" t="str">
        <v>STRU</v>
      </c>
      <c r="K941" t="str">
        <v>E</v>
      </c>
      <c r="L941" t="str">
        <v>NSHAIK</v>
      </c>
      <c r="M941">
        <v>46020</v>
      </c>
      <c r="N941">
        <v>0.53016203703704</v>
      </c>
      <c r="S941" t="str">
        <v>X</v>
      </c>
      <c r="W941" t="str">
        <v>SP1K961294</v>
      </c>
    </row>
    <row r="942">
      <c r="A942" t="str">
        <v>TABL</v>
      </c>
      <c r="B942" t="str">
        <v>ZST_MDG_VTP_ITEM</v>
      </c>
      <c r="C942" t="str">
        <v>TABD</v>
      </c>
      <c r="D942" t="str">
        <v>ZST_MDG_VTP_ITEM</v>
      </c>
      <c r="G942" t="str">
        <v>ALL</v>
      </c>
      <c r="H942" t="str">
        <v>STRU</v>
      </c>
      <c r="K942" t="str">
        <v>E</v>
      </c>
      <c r="L942" t="str">
        <v>NSHAIK</v>
      </c>
      <c r="M942">
        <v>46020</v>
      </c>
      <c r="N942">
        <v>0.53050925925926</v>
      </c>
      <c r="S942" t="str">
        <v>X</v>
      </c>
      <c r="W942" t="str">
        <v>SP1K961294</v>
      </c>
    </row>
    <row r="943">
      <c r="A943" t="str">
        <v>TABL</v>
      </c>
      <c r="B943" t="str">
        <v>ZST_MDG_ZEXPTO_RANGE</v>
      </c>
      <c r="C943" t="str">
        <v>TABD</v>
      </c>
      <c r="D943" t="str">
        <v>ZST_MDG_ZEXPTO_RANGE</v>
      </c>
      <c r="G943" t="str">
        <v>ALL</v>
      </c>
      <c r="H943" t="str">
        <v>STRU</v>
      </c>
      <c r="K943" t="str">
        <v>E</v>
      </c>
      <c r="L943" t="str">
        <v>NSHAIK</v>
      </c>
      <c r="M943">
        <v>46020</v>
      </c>
      <c r="N943">
        <v>0.29403935185185</v>
      </c>
      <c r="S943" t="str">
        <v>X</v>
      </c>
      <c r="W943" t="str">
        <v>SP1K961294</v>
      </c>
    </row>
    <row r="944">
      <c r="A944" t="str">
        <v>TABL</v>
      </c>
      <c r="B944" t="str">
        <v>ZST_MDG_ZIP_RANGE</v>
      </c>
      <c r="C944" t="str">
        <v>TABD</v>
      </c>
      <c r="D944" t="str">
        <v>ZST_MDG_ZIP_RANGE</v>
      </c>
      <c r="G944" t="str">
        <v>ALL</v>
      </c>
      <c r="H944" t="str">
        <v>STRU</v>
      </c>
      <c r="K944" t="str">
        <v>E</v>
      </c>
      <c r="L944" t="str">
        <v>NSHAIK</v>
      </c>
      <c r="M944">
        <v>46020</v>
      </c>
      <c r="N944">
        <v>0.29423611111111</v>
      </c>
      <c r="S944" t="str">
        <v>X</v>
      </c>
      <c r="W944" t="str">
        <v>SP1K961294</v>
      </c>
    </row>
    <row r="945">
      <c r="A945" t="str">
        <v>TABL</v>
      </c>
      <c r="B945" t="str">
        <v>ZST_VBAK_APPEND_SALESREP</v>
      </c>
      <c r="C945" t="str">
        <v>TABD</v>
      </c>
      <c r="D945" t="str">
        <v>ZST_VBAK_APPEND_SALESREP</v>
      </c>
      <c r="G945" t="str">
        <v>ALL</v>
      </c>
      <c r="H945" t="str">
        <v>STRU</v>
      </c>
      <c r="K945" t="str">
        <v>E</v>
      </c>
      <c r="L945" t="str">
        <v>CST_AMINNEMA</v>
      </c>
      <c r="M945">
        <v>43745</v>
      </c>
      <c r="N945">
        <v>0.49072916666667</v>
      </c>
      <c r="S945" t="str">
        <v>X</v>
      </c>
    </row>
    <row r="946">
      <c r="A946" t="str">
        <v>TABL</v>
      </c>
      <c r="B946" t="str">
        <v>ZTA_MDG_DOCUMENT</v>
      </c>
      <c r="C946" t="str">
        <v>TABD</v>
      </c>
      <c r="D946" t="str">
        <v>ZTA_MDG_DOCUMENT</v>
      </c>
      <c r="G946" t="str">
        <v>ALL</v>
      </c>
      <c r="H946" t="str">
        <v>TABL</v>
      </c>
      <c r="K946" t="str">
        <v>E</v>
      </c>
      <c r="L946" t="str">
        <v>NSHAIK</v>
      </c>
      <c r="M946">
        <v>46013</v>
      </c>
      <c r="N946">
        <v>0.20228009259259</v>
      </c>
      <c r="S946" t="str">
        <v>X</v>
      </c>
      <c r="W946" t="str">
        <v>SP1K961121</v>
      </c>
    </row>
    <row r="947">
      <c r="A947" t="str">
        <v>TABL</v>
      </c>
      <c r="B947" t="str">
        <v>ZTA_MDG_VENDORTY</v>
      </c>
      <c r="C947" t="str">
        <v>TABD</v>
      </c>
      <c r="D947" t="str">
        <v>ZTA_MDG_VENDORTY</v>
      </c>
      <c r="G947" t="str">
        <v>ALL</v>
      </c>
      <c r="H947" t="str">
        <v>TABL</v>
      </c>
      <c r="K947" t="str">
        <v>E</v>
      </c>
      <c r="L947" t="str">
        <v>NSHAIK</v>
      </c>
      <c r="M947">
        <v>46013</v>
      </c>
      <c r="N947">
        <v>0.20296296296296</v>
      </c>
      <c r="S947" t="str">
        <v>X</v>
      </c>
      <c r="W947" t="str">
        <v>SP1K961121</v>
      </c>
    </row>
    <row r="948">
      <c r="A948" t="str">
        <v>TABL</v>
      </c>
      <c r="B948" t="str">
        <v>ZTA_MDG_VENDTAX</v>
      </c>
      <c r="C948" t="str">
        <v>TABD</v>
      </c>
      <c r="D948" t="str">
        <v>ZTA_MDG_VENDTAX</v>
      </c>
      <c r="G948" t="str">
        <v>ALL</v>
      </c>
      <c r="H948" t="str">
        <v>TABL</v>
      </c>
      <c r="K948" t="str">
        <v>E</v>
      </c>
      <c r="L948" t="str">
        <v>NSHAIK</v>
      </c>
      <c r="M948">
        <v>46013</v>
      </c>
      <c r="N948">
        <v>0.20393518518519</v>
      </c>
      <c r="S948" t="str">
        <v>X</v>
      </c>
      <c r="W948" t="str">
        <v>SP1K961121</v>
      </c>
    </row>
    <row r="949">
      <c r="A949" t="str">
        <v>TABL</v>
      </c>
      <c r="B949" t="str">
        <v>ZTCA_STEP_STATS</v>
      </c>
      <c r="C949" t="str">
        <v>TABD</v>
      </c>
      <c r="D949" t="str">
        <v>ZTCA_STEP_STATS</v>
      </c>
      <c r="G949" t="str">
        <v>ALL</v>
      </c>
      <c r="H949" t="str">
        <v>TABL</v>
      </c>
      <c r="K949" t="str">
        <v>E</v>
      </c>
      <c r="L949" t="str">
        <v>VKUMARDT</v>
      </c>
      <c r="M949">
        <v>42578</v>
      </c>
      <c r="N949">
        <v>0.22267361111111</v>
      </c>
      <c r="S949" t="str">
        <v>X</v>
      </c>
      <c r="W949" t="str">
        <v>RS2K900367</v>
      </c>
    </row>
    <row r="950">
      <c r="A950" t="str">
        <v>TABL</v>
      </c>
      <c r="B950" t="str">
        <v>ZTMDGC_IDENT</v>
      </c>
      <c r="C950" t="str">
        <v>TABD</v>
      </c>
      <c r="D950" t="str">
        <v>ZTMDGC_IDENT</v>
      </c>
      <c r="G950" t="str">
        <v>ALL</v>
      </c>
      <c r="H950" t="str">
        <v>TABL</v>
      </c>
      <c r="K950" t="str">
        <v>E</v>
      </c>
      <c r="L950" t="str">
        <v>NSHAIK</v>
      </c>
      <c r="M950">
        <v>46013</v>
      </c>
      <c r="N950">
        <v>0.40015046296296</v>
      </c>
      <c r="S950" t="str">
        <v>X</v>
      </c>
      <c r="W950" t="str">
        <v>SP1K961121</v>
      </c>
    </row>
    <row r="951">
      <c r="A951" t="str">
        <v>TABL</v>
      </c>
      <c r="B951" t="str">
        <v>ZTMDGC_SIC</v>
      </c>
      <c r="C951" t="str">
        <v>TABD</v>
      </c>
      <c r="D951" t="str">
        <v>ZTMDGC_SIC</v>
      </c>
      <c r="G951" t="str">
        <v>ALL</v>
      </c>
      <c r="H951" t="str">
        <v>TABL</v>
      </c>
      <c r="K951" t="str">
        <v>E</v>
      </c>
      <c r="L951" t="str">
        <v>NSHAIK</v>
      </c>
      <c r="M951">
        <v>46013</v>
      </c>
      <c r="N951">
        <v>0.4005787037037</v>
      </c>
      <c r="S951" t="str">
        <v>X</v>
      </c>
      <c r="W951" t="str">
        <v>SP1K961121</v>
      </c>
    </row>
    <row r="952">
      <c r="A952" t="str">
        <v>TABL</v>
      </c>
      <c r="B952" t="str">
        <v>ZTMDGC_TRA_QORD</v>
      </c>
      <c r="C952" t="str">
        <v>TABD</v>
      </c>
      <c r="D952" t="str">
        <v>ZTMDGC_TRA_QORD</v>
      </c>
      <c r="G952" t="str">
        <v>ALL</v>
      </c>
      <c r="H952" t="str">
        <v>TABL</v>
      </c>
      <c r="K952" t="str">
        <v>E</v>
      </c>
      <c r="L952" t="str">
        <v>NSHAIK</v>
      </c>
      <c r="M952">
        <v>46020</v>
      </c>
      <c r="N952">
        <v>0.31077546296296</v>
      </c>
      <c r="S952" t="str">
        <v>X</v>
      </c>
      <c r="W952" t="str">
        <v>SP1K961294</v>
      </c>
    </row>
    <row r="953">
      <c r="A953" t="str">
        <v>TABL</v>
      </c>
      <c r="B953" t="str">
        <v>ZTMDGC_UI</v>
      </c>
      <c r="C953" t="str">
        <v>TABD</v>
      </c>
      <c r="D953" t="str">
        <v>ZTMDGC_UI</v>
      </c>
      <c r="G953" t="str">
        <v>ALL</v>
      </c>
      <c r="H953" t="str">
        <v>TABL</v>
      </c>
      <c r="K953" t="str">
        <v>E</v>
      </c>
      <c r="L953" t="str">
        <v>NSHAIK</v>
      </c>
      <c r="M953">
        <v>46013</v>
      </c>
      <c r="N953">
        <v>0.40076388888889</v>
      </c>
      <c r="S953" t="str">
        <v>X</v>
      </c>
      <c r="W953" t="str">
        <v>SP1K961121</v>
      </c>
    </row>
    <row r="954">
      <c r="A954" t="str">
        <v>TABL</v>
      </c>
      <c r="B954" t="str">
        <v>ZTMDGM_IDTYPE</v>
      </c>
      <c r="C954" t="str">
        <v>TABD</v>
      </c>
      <c r="D954" t="str">
        <v>ZTMDGM_IDTYPE</v>
      </c>
      <c r="G954" t="str">
        <v>ALL</v>
      </c>
      <c r="H954" t="str">
        <v>TABL</v>
      </c>
      <c r="K954" t="str">
        <v>E</v>
      </c>
      <c r="L954" t="str">
        <v>NSHAIK</v>
      </c>
      <c r="M954">
        <v>46020</v>
      </c>
      <c r="N954">
        <v>0.29458333333333</v>
      </c>
      <c r="S954" t="str">
        <v>X</v>
      </c>
      <c r="W954" t="str">
        <v>SP1K961294</v>
      </c>
    </row>
    <row r="955">
      <c r="A955" t="str">
        <v>TABL</v>
      </c>
      <c r="B955" t="str">
        <v>ZTMDGS_COML3</v>
      </c>
      <c r="C955" t="str">
        <v>TABD</v>
      </c>
      <c r="D955" t="str">
        <v>ZTMDGS_COML3</v>
      </c>
      <c r="G955" t="str">
        <v>ALL</v>
      </c>
      <c r="H955" t="str">
        <v>TABL</v>
      </c>
      <c r="K955" t="str">
        <v>E</v>
      </c>
      <c r="L955" t="str">
        <v>NSHAIK</v>
      </c>
      <c r="M955">
        <v>46013</v>
      </c>
      <c r="N955">
        <v>0.29699074074074</v>
      </c>
      <c r="S955" t="str">
        <v>X</v>
      </c>
      <c r="W955" t="str">
        <v>SP1K961121</v>
      </c>
    </row>
    <row r="956">
      <c r="A956" t="str">
        <v>TABL</v>
      </c>
      <c r="B956" t="str">
        <v>ZTMDGS_COML3T</v>
      </c>
      <c r="C956" t="str">
        <v>TABD</v>
      </c>
      <c r="D956" t="str">
        <v>ZTMDGS_COML3T</v>
      </c>
      <c r="G956" t="str">
        <v>ALL</v>
      </c>
      <c r="H956" t="str">
        <v>TABL</v>
      </c>
      <c r="K956" t="str">
        <v>E</v>
      </c>
      <c r="L956" t="str">
        <v>NSHAIK</v>
      </c>
      <c r="M956">
        <v>46013</v>
      </c>
      <c r="N956">
        <v>0.29724537037037</v>
      </c>
      <c r="S956" t="str">
        <v>X</v>
      </c>
      <c r="W956" t="str">
        <v>SP1K961121</v>
      </c>
    </row>
    <row r="957">
      <c r="A957" t="str">
        <v>TABL</v>
      </c>
      <c r="B957" t="str">
        <v>ZTMDGS_COML4</v>
      </c>
      <c r="C957" t="str">
        <v>TABD</v>
      </c>
      <c r="D957" t="str">
        <v>ZTMDGS_COML4</v>
      </c>
      <c r="G957" t="str">
        <v>ALL</v>
      </c>
      <c r="H957" t="str">
        <v>TABL</v>
      </c>
      <c r="K957" t="str">
        <v>E</v>
      </c>
      <c r="L957" t="str">
        <v>NSHAIK</v>
      </c>
      <c r="M957">
        <v>46013</v>
      </c>
      <c r="N957">
        <v>0.30008101851852</v>
      </c>
      <c r="S957" t="str">
        <v>X</v>
      </c>
      <c r="W957" t="str">
        <v>SP1K961121</v>
      </c>
    </row>
    <row r="958">
      <c r="A958" t="str">
        <v>TABL</v>
      </c>
      <c r="B958" t="str">
        <v>ZTMDGS_COML4T</v>
      </c>
      <c r="C958" t="str">
        <v>TABD</v>
      </c>
      <c r="D958" t="str">
        <v>ZTMDGS_COML4T</v>
      </c>
      <c r="G958" t="str">
        <v>ALL</v>
      </c>
      <c r="H958" t="str">
        <v>TABL</v>
      </c>
      <c r="K958" t="str">
        <v>E</v>
      </c>
      <c r="L958" t="str">
        <v>NSHAIK</v>
      </c>
      <c r="M958">
        <v>46013</v>
      </c>
      <c r="N958">
        <v>0.30037037037037</v>
      </c>
      <c r="S958" t="str">
        <v>X</v>
      </c>
      <c r="W958" t="str">
        <v>SP1K961121</v>
      </c>
    </row>
    <row r="959">
      <c r="A959" t="str">
        <v>TABL</v>
      </c>
      <c r="B959" t="str">
        <v>ZTMDGS_COMLINK</v>
      </c>
      <c r="C959" t="str">
        <v>TABD</v>
      </c>
      <c r="D959" t="str">
        <v>ZTMDGS_COMLINK</v>
      </c>
      <c r="G959" t="str">
        <v>ALL</v>
      </c>
      <c r="H959" t="str">
        <v>TABL</v>
      </c>
      <c r="K959" t="str">
        <v>E</v>
      </c>
      <c r="L959" t="str">
        <v>NSHAIK</v>
      </c>
      <c r="M959">
        <v>46013</v>
      </c>
      <c r="N959">
        <v>0.30196759259259</v>
      </c>
      <c r="S959" t="str">
        <v>X</v>
      </c>
      <c r="W959" t="str">
        <v>SP1K961121</v>
      </c>
    </row>
    <row r="960">
      <c r="A960" t="str">
        <v>TABL</v>
      </c>
      <c r="B960" t="str">
        <v>ZTMDGS_COMODITY</v>
      </c>
      <c r="C960" t="str">
        <v>TABD</v>
      </c>
      <c r="D960" t="str">
        <v>ZTMDGS_COMODITY</v>
      </c>
      <c r="G960" t="str">
        <v>ALL</v>
      </c>
      <c r="H960" t="str">
        <v>TABL</v>
      </c>
      <c r="K960" t="str">
        <v>E</v>
      </c>
      <c r="L960" t="str">
        <v>NSHAIK</v>
      </c>
      <c r="M960">
        <v>46013</v>
      </c>
      <c r="N960">
        <v>0.30530092592593</v>
      </c>
      <c r="S960" t="str">
        <v>X</v>
      </c>
      <c r="W960" t="str">
        <v>SP1K961121</v>
      </c>
    </row>
    <row r="961">
      <c r="A961" t="str">
        <v>TABL</v>
      </c>
      <c r="B961" t="str">
        <v>ZTMDGS_COMODITYT</v>
      </c>
      <c r="C961" t="str">
        <v>TABD</v>
      </c>
      <c r="D961" t="str">
        <v>ZTMDGS_COMODITYT</v>
      </c>
      <c r="G961" t="str">
        <v>ALL</v>
      </c>
      <c r="H961" t="str">
        <v>TABL</v>
      </c>
      <c r="K961" t="str">
        <v>E</v>
      </c>
      <c r="L961" t="str">
        <v>NSHAIK</v>
      </c>
      <c r="M961">
        <v>46013</v>
      </c>
      <c r="N961">
        <v>0.30615740740741</v>
      </c>
      <c r="S961" t="str">
        <v>X</v>
      </c>
      <c r="W961" t="str">
        <v>SP1K961121</v>
      </c>
    </row>
    <row r="962">
      <c r="A962" t="str">
        <v>TABL</v>
      </c>
      <c r="B962" t="str">
        <v>ZTMDGS_DUNS_API</v>
      </c>
      <c r="C962" t="str">
        <v>TABD</v>
      </c>
      <c r="D962" t="str">
        <v>ZTMDGS_DUNS_API</v>
      </c>
      <c r="G962" t="str">
        <v>ALL</v>
      </c>
      <c r="H962" t="str">
        <v>TABL</v>
      </c>
      <c r="K962" t="str">
        <v>E</v>
      </c>
      <c r="L962" t="str">
        <v>NSHAIK</v>
      </c>
      <c r="M962">
        <v>46013</v>
      </c>
      <c r="N962">
        <v>0.26540509259259</v>
      </c>
      <c r="S962" t="str">
        <v>X</v>
      </c>
      <c r="W962" t="str">
        <v>SP1K961121</v>
      </c>
    </row>
    <row r="963">
      <c r="A963" t="str">
        <v>TABL</v>
      </c>
      <c r="B963" t="str">
        <v>ZTMDGS_ERPINST</v>
      </c>
      <c r="C963" t="str">
        <v>TABD</v>
      </c>
      <c r="D963" t="str">
        <v>ZTMDGS_ERPINST</v>
      </c>
      <c r="G963" t="str">
        <v>ALL</v>
      </c>
      <c r="H963" t="str">
        <v>TABL</v>
      </c>
      <c r="K963" t="str">
        <v>E</v>
      </c>
      <c r="L963" t="str">
        <v>NSHAIK</v>
      </c>
      <c r="M963">
        <v>46013</v>
      </c>
      <c r="N963">
        <v>0.2662962962963</v>
      </c>
      <c r="S963" t="str">
        <v>X</v>
      </c>
      <c r="W963" t="str">
        <v>SP1K961121</v>
      </c>
    </row>
    <row r="964">
      <c r="A964" t="str">
        <v>TABL</v>
      </c>
      <c r="B964" t="str">
        <v>ZTMDGS_ERPINSTT</v>
      </c>
      <c r="C964" t="str">
        <v>TABD</v>
      </c>
      <c r="D964" t="str">
        <v>ZTMDGS_ERPINSTT</v>
      </c>
      <c r="G964" t="str">
        <v>ALL</v>
      </c>
      <c r="H964" t="str">
        <v>TABL</v>
      </c>
      <c r="K964" t="str">
        <v>E</v>
      </c>
      <c r="L964" t="str">
        <v>NSHAIK</v>
      </c>
      <c r="M964">
        <v>46013</v>
      </c>
      <c r="N964">
        <v>0.26671296296296</v>
      </c>
      <c r="S964" t="str">
        <v>X</v>
      </c>
      <c r="W964" t="str">
        <v>SP1K961121</v>
      </c>
    </row>
    <row r="965">
      <c r="A965" t="str">
        <v>TABL</v>
      </c>
      <c r="B965" t="str">
        <v>ZTMDGS_RELATE</v>
      </c>
      <c r="C965" t="str">
        <v>TABD</v>
      </c>
      <c r="D965" t="str">
        <v>ZTMDGS_RELATE</v>
      </c>
      <c r="G965" t="str">
        <v>ALL</v>
      </c>
      <c r="H965" t="str">
        <v>TABL</v>
      </c>
      <c r="K965" t="str">
        <v>E</v>
      </c>
      <c r="L965" t="str">
        <v>NSHAIK</v>
      </c>
      <c r="M965">
        <v>46013</v>
      </c>
      <c r="N965">
        <v>0.26702546296296</v>
      </c>
      <c r="S965" t="str">
        <v>X</v>
      </c>
      <c r="W965" t="str">
        <v>SP1K961121</v>
      </c>
    </row>
    <row r="966">
      <c r="A966" t="str">
        <v>TABL</v>
      </c>
      <c r="B966" t="str">
        <v>ZTMDGS_RUCODE</v>
      </c>
      <c r="C966" t="str">
        <v>TABD</v>
      </c>
      <c r="D966" t="str">
        <v>ZTMDGS_RUCODE</v>
      </c>
      <c r="G966" t="str">
        <v>ALL</v>
      </c>
      <c r="H966" t="str">
        <v>TABL</v>
      </c>
      <c r="K966" t="str">
        <v>E</v>
      </c>
      <c r="L966" t="str">
        <v>NSHAIK</v>
      </c>
      <c r="M966">
        <v>46013</v>
      </c>
      <c r="N966">
        <v>0.26739583333333</v>
      </c>
      <c r="S966" t="str">
        <v>X</v>
      </c>
      <c r="W966" t="str">
        <v>SP1K961121</v>
      </c>
    </row>
    <row r="967">
      <c r="A967" t="str">
        <v>TABL</v>
      </c>
      <c r="B967" t="str">
        <v>ZTMDGS_RUCODETAX</v>
      </c>
      <c r="C967" t="str">
        <v>TABD</v>
      </c>
      <c r="D967" t="str">
        <v>ZTMDGS_RUCODETAX</v>
      </c>
      <c r="G967" t="str">
        <v>ALL</v>
      </c>
      <c r="H967" t="str">
        <v>TABL</v>
      </c>
      <c r="K967" t="str">
        <v>E</v>
      </c>
      <c r="L967" t="str">
        <v>NSHAIK</v>
      </c>
      <c r="M967">
        <v>46013</v>
      </c>
      <c r="N967">
        <v>0.26832175925926</v>
      </c>
      <c r="S967" t="str">
        <v>X</v>
      </c>
      <c r="W967" t="str">
        <v>SP1K961121</v>
      </c>
    </row>
    <row r="968">
      <c r="A968" t="str">
        <v>TABL</v>
      </c>
      <c r="B968" t="str">
        <v>ZTMDGS_RUCODETXD</v>
      </c>
      <c r="C968" t="str">
        <v>TABD</v>
      </c>
      <c r="D968" t="str">
        <v>ZTMDGS_RUCODETXD</v>
      </c>
      <c r="G968" t="str">
        <v>ALL</v>
      </c>
      <c r="H968" t="str">
        <v>TABL</v>
      </c>
      <c r="K968" t="str">
        <v>E</v>
      </c>
      <c r="L968" t="str">
        <v>NSHAIK</v>
      </c>
      <c r="M968">
        <v>46013</v>
      </c>
      <c r="N968">
        <v>0.26877314814815</v>
      </c>
      <c r="S968" t="str">
        <v>X</v>
      </c>
      <c r="W968" t="str">
        <v>SP1K961121</v>
      </c>
    </row>
    <row r="969">
      <c r="A969" t="str">
        <v>TABL</v>
      </c>
      <c r="B969" t="str">
        <v>ZTMDGS_RUCODETXT</v>
      </c>
      <c r="C969" t="str">
        <v>TABD</v>
      </c>
      <c r="D969" t="str">
        <v>ZTMDGS_RUCODETXT</v>
      </c>
      <c r="G969" t="str">
        <v>ALL</v>
      </c>
      <c r="H969" t="str">
        <v>TABL</v>
      </c>
      <c r="K969" t="str">
        <v>E</v>
      </c>
      <c r="L969" t="str">
        <v>NSHAIK</v>
      </c>
      <c r="M969">
        <v>46013</v>
      </c>
      <c r="N969">
        <v>0.2691087962963</v>
      </c>
      <c r="S969" t="str">
        <v>X</v>
      </c>
      <c r="W969" t="str">
        <v>SP1K961121</v>
      </c>
    </row>
    <row r="970">
      <c r="A970" t="str">
        <v>TABL</v>
      </c>
      <c r="B970" t="str">
        <v>ZTMDGS_RUREGION</v>
      </c>
      <c r="C970" t="str">
        <v>TABD</v>
      </c>
      <c r="D970" t="str">
        <v>ZTMDGS_RUREGION</v>
      </c>
      <c r="G970" t="str">
        <v>ALL</v>
      </c>
      <c r="H970" t="str">
        <v>TABL</v>
      </c>
      <c r="K970" t="str">
        <v>E</v>
      </c>
      <c r="L970" t="str">
        <v>NSHAIK</v>
      </c>
      <c r="M970">
        <v>46013</v>
      </c>
      <c r="N970">
        <v>0.26997685185185</v>
      </c>
      <c r="S970" t="str">
        <v>X</v>
      </c>
      <c r="W970" t="str">
        <v>SP1K961121</v>
      </c>
    </row>
    <row r="971">
      <c r="A971" t="str">
        <v>TABL</v>
      </c>
      <c r="B971" t="str">
        <v>ZTMDGS_SLA</v>
      </c>
      <c r="C971" t="str">
        <v>TABD</v>
      </c>
      <c r="D971" t="str">
        <v>ZTMDGS_SLA</v>
      </c>
      <c r="G971" t="str">
        <v>ALL</v>
      </c>
      <c r="H971" t="str">
        <v>TABL</v>
      </c>
      <c r="K971" t="str">
        <v>E</v>
      </c>
      <c r="L971" t="str">
        <v>NSHAIK</v>
      </c>
      <c r="M971">
        <v>46013</v>
      </c>
      <c r="N971">
        <v>0.20501157407407</v>
      </c>
      <c r="S971" t="str">
        <v>X</v>
      </c>
      <c r="W971" t="str">
        <v>SP1K961121</v>
      </c>
    </row>
    <row r="972">
      <c r="A972" t="str">
        <v>TABL</v>
      </c>
      <c r="B972" t="str">
        <v>ZTMDGS_SQEMANT</v>
      </c>
      <c r="C972" t="str">
        <v>TABD</v>
      </c>
      <c r="D972" t="str">
        <v>ZTMDGS_SQEMANT</v>
      </c>
      <c r="G972" t="str">
        <v>ALL</v>
      </c>
      <c r="H972" t="str">
        <v>TABL</v>
      </c>
      <c r="K972" t="str">
        <v>E</v>
      </c>
      <c r="L972" t="str">
        <v>NSHAIK</v>
      </c>
      <c r="M972">
        <v>46013</v>
      </c>
      <c r="N972">
        <v>0.38116898148148</v>
      </c>
      <c r="S972" t="str">
        <v>X</v>
      </c>
      <c r="W972" t="str">
        <v>SP1K961121</v>
      </c>
    </row>
    <row r="973">
      <c r="A973" t="str">
        <v>TABL</v>
      </c>
      <c r="B973" t="str">
        <v>ZTMDGS_SUPMANT</v>
      </c>
      <c r="C973" t="str">
        <v>TABD</v>
      </c>
      <c r="D973" t="str">
        <v>ZTMDGS_SUPMANT</v>
      </c>
      <c r="G973" t="str">
        <v>ALL</v>
      </c>
      <c r="H973" t="str">
        <v>TABL</v>
      </c>
      <c r="K973" t="str">
        <v>E</v>
      </c>
      <c r="L973" t="str">
        <v>NSHAIK</v>
      </c>
      <c r="M973">
        <v>46013</v>
      </c>
      <c r="N973">
        <v>0.38195601851852</v>
      </c>
      <c r="S973" t="str">
        <v>X</v>
      </c>
      <c r="W973" t="str">
        <v>SP1K961121</v>
      </c>
    </row>
    <row r="974">
      <c r="A974" t="str">
        <v>TABL</v>
      </c>
      <c r="B974" t="str">
        <v>ZTMDGS_VALMAP</v>
      </c>
      <c r="C974" t="str">
        <v>TABD</v>
      </c>
      <c r="D974" t="str">
        <v>ZTMDGS_VALMAP</v>
      </c>
      <c r="G974" t="str">
        <v>ALL</v>
      </c>
      <c r="H974" t="str">
        <v>TABL</v>
      </c>
      <c r="K974" t="str">
        <v>E</v>
      </c>
      <c r="L974" t="str">
        <v>NSHAIK</v>
      </c>
      <c r="M974">
        <v>46013</v>
      </c>
      <c r="N974">
        <v>0.38228009259259</v>
      </c>
      <c r="S974" t="str">
        <v>X</v>
      </c>
      <c r="W974" t="str">
        <v>SP1K961121</v>
      </c>
    </row>
    <row r="975">
      <c r="A975" t="str">
        <v>TABL</v>
      </c>
      <c r="B975" t="str">
        <v>ZTMDG_BP_UI_DATA</v>
      </c>
      <c r="C975" t="str">
        <v>TABD</v>
      </c>
      <c r="D975" t="str">
        <v>ZTMDG_BP_UI_DATA</v>
      </c>
      <c r="G975" t="str">
        <v>ALL</v>
      </c>
      <c r="H975" t="str">
        <v>TABL</v>
      </c>
      <c r="K975" t="str">
        <v>E</v>
      </c>
      <c r="L975" t="str">
        <v>NSHAIK</v>
      </c>
      <c r="M975">
        <v>46013</v>
      </c>
      <c r="N975">
        <v>0.40263888888889</v>
      </c>
      <c r="S975" t="str">
        <v>X</v>
      </c>
      <c r="W975" t="str">
        <v>SP1K961121</v>
      </c>
    </row>
    <row r="976">
      <c r="A976" t="str">
        <v>TABL</v>
      </c>
      <c r="B976" t="str">
        <v>ZTMDG_CONFIG</v>
      </c>
      <c r="C976" t="str">
        <v>TABD</v>
      </c>
      <c r="D976" t="str">
        <v>ZTMDG_CONFIG</v>
      </c>
      <c r="G976" t="str">
        <v>ALL</v>
      </c>
      <c r="H976" t="str">
        <v>TABL</v>
      </c>
      <c r="K976" t="str">
        <v>E</v>
      </c>
      <c r="L976" t="str">
        <v>NSHAIK</v>
      </c>
      <c r="M976">
        <v>46013</v>
      </c>
      <c r="N976">
        <v>0.21527777777778</v>
      </c>
      <c r="S976" t="str">
        <v>X</v>
      </c>
      <c r="W976" t="str">
        <v>SP1K961121</v>
      </c>
    </row>
    <row r="977">
      <c r="A977" t="str">
        <v>TABL</v>
      </c>
      <c r="B977" t="str">
        <v>ZTMDG_EMAIL_CFG</v>
      </c>
      <c r="C977" t="str">
        <v>TABD</v>
      </c>
      <c r="D977" t="str">
        <v>ZTMDG_EMAIL_CFG</v>
      </c>
      <c r="G977" t="str">
        <v>ALL</v>
      </c>
      <c r="H977" t="str">
        <v>TABL</v>
      </c>
      <c r="K977" t="str">
        <v>E</v>
      </c>
      <c r="L977" t="str">
        <v>NSHAIK</v>
      </c>
      <c r="M977">
        <v>46020</v>
      </c>
      <c r="N977">
        <v>0.31174768518519</v>
      </c>
      <c r="S977" t="str">
        <v>X</v>
      </c>
      <c r="W977" t="str">
        <v>SP1K961294</v>
      </c>
    </row>
    <row r="978">
      <c r="A978" t="str">
        <v>TABL</v>
      </c>
      <c r="B978" t="str">
        <v>ZTMDG_GEOGRAPHY</v>
      </c>
      <c r="C978" t="str">
        <v>TABD</v>
      </c>
      <c r="D978" t="str">
        <v>ZTMDG_GEOGRAPHY</v>
      </c>
      <c r="G978" t="str">
        <v>ALL</v>
      </c>
      <c r="H978" t="str">
        <v>TABL</v>
      </c>
      <c r="K978" t="str">
        <v>E</v>
      </c>
      <c r="L978" t="str">
        <v>NSHAIK</v>
      </c>
      <c r="M978">
        <v>46013</v>
      </c>
      <c r="N978">
        <v>0.27111111111111</v>
      </c>
      <c r="S978" t="str">
        <v>X</v>
      </c>
      <c r="W978" t="str">
        <v>SP1K961121</v>
      </c>
    </row>
    <row r="979">
      <c r="A979" t="str">
        <v>TABL</v>
      </c>
      <c r="B979" t="str">
        <v>ZTMDG_GEOGRAPHYT</v>
      </c>
      <c r="C979" t="str">
        <v>TABD</v>
      </c>
      <c r="D979" t="str">
        <v>ZTMDG_GEOGRAPHYT</v>
      </c>
      <c r="G979" t="str">
        <v>ALL</v>
      </c>
      <c r="H979" t="str">
        <v>TABL</v>
      </c>
      <c r="K979" t="str">
        <v>E</v>
      </c>
      <c r="L979" t="str">
        <v>NSHAIK</v>
      </c>
      <c r="M979">
        <v>46013</v>
      </c>
      <c r="N979">
        <v>0.27358796296296</v>
      </c>
      <c r="S979" t="str">
        <v>X</v>
      </c>
      <c r="W979" t="str">
        <v>SP1K961121</v>
      </c>
    </row>
    <row r="980">
      <c r="A980" t="str">
        <v>TABL</v>
      </c>
      <c r="B980" t="str">
        <v>ZTMDG_IDTYP_REL</v>
      </c>
      <c r="C980" t="str">
        <v>TABD</v>
      </c>
      <c r="D980" t="str">
        <v>ZTMDG_IDTYP_REL</v>
      </c>
      <c r="G980" t="str">
        <v>ALL</v>
      </c>
      <c r="H980" t="str">
        <v>TABL</v>
      </c>
      <c r="K980" t="str">
        <v>E</v>
      </c>
      <c r="L980" t="str">
        <v>NSHAIK</v>
      </c>
      <c r="M980">
        <v>46013</v>
      </c>
      <c r="N980">
        <v>0.27377314814815</v>
      </c>
      <c r="S980" t="str">
        <v>X</v>
      </c>
      <c r="W980" t="str">
        <v>SP1K961121</v>
      </c>
    </row>
    <row r="981">
      <c r="A981" t="str">
        <v>TABL</v>
      </c>
      <c r="B981" t="str">
        <v>ZTMDG_TEXTID_CFG</v>
      </c>
      <c r="C981" t="str">
        <v>TABD</v>
      </c>
      <c r="D981" t="str">
        <v>ZTMDG_TEXTID_CFG</v>
      </c>
      <c r="G981" t="str">
        <v>ALL</v>
      </c>
      <c r="H981" t="str">
        <v>TABL</v>
      </c>
      <c r="K981" t="str">
        <v>E</v>
      </c>
      <c r="L981" t="str">
        <v>NSHAIK</v>
      </c>
      <c r="M981">
        <v>46013</v>
      </c>
      <c r="N981">
        <v>0.21608796296296</v>
      </c>
      <c r="S981" t="str">
        <v>X</v>
      </c>
      <c r="W981" t="str">
        <v>SP1K961121</v>
      </c>
    </row>
    <row r="982">
      <c r="A982" t="str">
        <v>TABL</v>
      </c>
      <c r="B982" t="str">
        <v>ZTMDG_TEXT_REPL</v>
      </c>
      <c r="C982" t="str">
        <v>TABD</v>
      </c>
      <c r="D982" t="str">
        <v>ZTMDG_TEXT_REPL</v>
      </c>
      <c r="G982" t="str">
        <v>ALL</v>
      </c>
      <c r="H982" t="str">
        <v>TABL</v>
      </c>
      <c r="K982" t="str">
        <v>E</v>
      </c>
      <c r="L982" t="str">
        <v>NSHAIK</v>
      </c>
      <c r="M982">
        <v>46013</v>
      </c>
      <c r="N982">
        <v>0.21697916666667</v>
      </c>
      <c r="S982" t="str">
        <v>X</v>
      </c>
      <c r="W982" t="str">
        <v>SP1K961121</v>
      </c>
    </row>
    <row r="983">
      <c r="A983" t="str">
        <v>TABL</v>
      </c>
      <c r="B983" t="str">
        <v>ZTRACK_PROD_ORDER_STR</v>
      </c>
      <c r="C983" t="str">
        <v>TABD</v>
      </c>
      <c r="D983" t="str">
        <v>ZTRACK_PROD_ORDER_STR</v>
      </c>
      <c r="G983" t="str">
        <v>ALL</v>
      </c>
      <c r="H983" t="str">
        <v>STRU</v>
      </c>
      <c r="K983" t="str">
        <v>E</v>
      </c>
      <c r="L983">
        <v>50095444</v>
      </c>
      <c r="M983">
        <v>44084</v>
      </c>
      <c r="N983">
        <v>0.33700231481481</v>
      </c>
      <c r="S983" t="str">
        <v>X</v>
      </c>
      <c r="W983" t="str">
        <v>S01K909205</v>
      </c>
    </row>
    <row r="984">
      <c r="A984" t="str">
        <v>TABL</v>
      </c>
      <c r="B984" t="str">
        <v>ZTV_CYCLE</v>
      </c>
      <c r="C984" t="str">
        <v>TABD</v>
      </c>
      <c r="D984" t="str">
        <v>ZTV_CYCLE</v>
      </c>
      <c r="G984" t="str">
        <v>ALL</v>
      </c>
      <c r="H984" t="str">
        <v>TABL</v>
      </c>
      <c r="K984" t="str">
        <v>E</v>
      </c>
      <c r="L984" t="str">
        <v>ALWALARA</v>
      </c>
      <c r="M984">
        <v>42382</v>
      </c>
      <c r="N984">
        <v>0.0571412037037</v>
      </c>
      <c r="S984" t="str">
        <v>X</v>
      </c>
      <c r="W984" t="str">
        <v>FLSK900734</v>
      </c>
    </row>
    <row r="985">
      <c r="A985" t="str">
        <v>TABL</v>
      </c>
      <c r="B985" t="str">
        <v>ZUDM_WL_ITEM</v>
      </c>
      <c r="C985" t="str">
        <v>TABD</v>
      </c>
      <c r="D985" t="str">
        <v>ZUDM_WL_ITEM</v>
      </c>
      <c r="G985" t="str">
        <v>ALL</v>
      </c>
      <c r="H985" t="str">
        <v>TABL</v>
      </c>
      <c r="K985" t="str">
        <v>E</v>
      </c>
      <c r="L985" t="str">
        <v>CST_IROHIT</v>
      </c>
      <c r="M985">
        <v>44662</v>
      </c>
      <c r="N985">
        <v>0.78630787037037</v>
      </c>
      <c r="S985" t="str">
        <v>X</v>
      </c>
      <c r="W985" t="str">
        <v>SP1K931342</v>
      </c>
    </row>
    <row r="986">
      <c r="A986" t="str">
        <v>TOBJ</v>
      </c>
      <c r="B986" t="str">
        <v>ZDOA_CONTROLS</v>
      </c>
      <c r="C986" t="str">
        <v>TOBJ</v>
      </c>
      <c r="D986" t="str">
        <v>ZDOA_CONTROLS</v>
      </c>
      <c r="G986" t="str">
        <v>ALL</v>
      </c>
      <c r="L986" t="str">
        <v>CST_DDIENES</v>
      </c>
      <c r="M986">
        <v>44053</v>
      </c>
      <c r="N986">
        <v>0.4440162037037</v>
      </c>
      <c r="S986" t="str">
        <v>X</v>
      </c>
      <c r="W986" t="str">
        <v>SP1K911052</v>
      </c>
    </row>
    <row r="987">
      <c r="A987" t="str">
        <v>TOBJ</v>
      </c>
      <c r="B987" t="str">
        <v>ZOTC_OUTPUTS</v>
      </c>
      <c r="C987" t="str">
        <v>TOBJ</v>
      </c>
      <c r="D987" t="str">
        <v>ZOTC_OUTPUTS</v>
      </c>
      <c r="G987" t="str">
        <v>ALL</v>
      </c>
      <c r="L987" t="str">
        <v>CST_IROHIT</v>
      </c>
      <c r="M987">
        <v>44448</v>
      </c>
      <c r="N987">
        <v>0.60538194444444</v>
      </c>
      <c r="S987" t="str">
        <v>X</v>
      </c>
      <c r="W987" t="str">
        <v>S01K912713</v>
      </c>
    </row>
    <row r="988">
      <c r="A988" t="str">
        <v>TOBJ</v>
      </c>
      <c r="B988" t="str">
        <v>ZPTM_INSP_PLANS</v>
      </c>
      <c r="C988" t="str">
        <v>TOBJ</v>
      </c>
      <c r="D988" t="str">
        <v>ZPTM_INSP_PLANS</v>
      </c>
      <c r="G988" t="str">
        <v>ALL</v>
      </c>
      <c r="L988">
        <v>50116387</v>
      </c>
      <c r="M988">
        <v>45145</v>
      </c>
      <c r="N988">
        <v>0.46797453703704</v>
      </c>
      <c r="S988" t="str">
        <v>X</v>
      </c>
      <c r="W988" t="str">
        <v>S01K917348</v>
      </c>
    </row>
    <row r="989">
      <c r="A989" t="str">
        <v>TOBJ</v>
      </c>
      <c r="B989" t="str">
        <v>ZPTM_QINFORECORDS</v>
      </c>
      <c r="C989" t="str">
        <v>TOBJ</v>
      </c>
      <c r="D989" t="str">
        <v>ZPTM_QINFORECORDS</v>
      </c>
      <c r="G989" t="str">
        <v>ALL</v>
      </c>
      <c r="L989" t="str">
        <v>NIM</v>
      </c>
      <c r="M989">
        <v>45741</v>
      </c>
      <c r="N989">
        <v>0.52209490740741</v>
      </c>
      <c r="S989" t="str">
        <v>X</v>
      </c>
      <c r="W989" t="str">
        <v>S01K924202</v>
      </c>
    </row>
    <row r="990">
      <c r="A990" t="str">
        <v>TOBJ</v>
      </c>
      <c r="B990" t="str">
        <v>ZSPTP_EMAIL_CONFS</v>
      </c>
      <c r="C990" t="str">
        <v>TOBJ</v>
      </c>
      <c r="D990" t="str">
        <v>ZSPTP_EMAIL_CONFS</v>
      </c>
      <c r="G990" t="str">
        <v>ALL</v>
      </c>
      <c r="L990" t="str">
        <v>CST_IROHIT</v>
      </c>
      <c r="M990">
        <v>44245</v>
      </c>
      <c r="N990">
        <v>0.75396990740741</v>
      </c>
      <c r="S990" t="str">
        <v>X</v>
      </c>
      <c r="W990" t="str">
        <v>S01K911206</v>
      </c>
    </row>
    <row r="991">
      <c r="A991" t="str">
        <v>TOBJ</v>
      </c>
      <c r="B991" t="str">
        <v>ZUSERDATA S</v>
      </c>
      <c r="C991" t="str">
        <v>TOBJ</v>
      </c>
      <c r="D991" t="str">
        <v>ZUSERDATA S</v>
      </c>
      <c r="G991" t="str">
        <v>ALL</v>
      </c>
      <c r="L991" t="str">
        <v>CST_TAKSOY</v>
      </c>
      <c r="M991">
        <v>45985</v>
      </c>
      <c r="N991">
        <v>0.37350694444444</v>
      </c>
      <c r="S991" t="str">
        <v>X</v>
      </c>
      <c r="W991" t="str">
        <v>SP1K960087</v>
      </c>
    </row>
    <row r="992">
      <c r="A992" t="str">
        <v>TRAN</v>
      </c>
      <c r="B992" t="str">
        <v>ZMDG_KEYMAP_DISPLAY</v>
      </c>
      <c r="C992" t="str">
        <v>TRAN</v>
      </c>
      <c r="D992" t="str">
        <v>ZMDG_KEYMAP_DISPLAY</v>
      </c>
      <c r="G992" t="str">
        <v>ALL</v>
      </c>
      <c r="L992" t="str">
        <v>NSHAIK</v>
      </c>
      <c r="M992">
        <v>46032</v>
      </c>
      <c r="N992">
        <v>0.12576388888889</v>
      </c>
      <c r="S992" t="str">
        <v>X</v>
      </c>
      <c r="W992" t="str">
        <v>SP1K960967</v>
      </c>
    </row>
    <row r="993">
      <c r="A993" t="str">
        <v>TRAN</v>
      </c>
      <c r="B993" t="str">
        <v>ZMDG_KEYMAP_HISTORY</v>
      </c>
      <c r="C993" t="str">
        <v>TRAN</v>
      </c>
      <c r="D993" t="str">
        <v>ZMDG_KEYMAP_HISTORY</v>
      </c>
      <c r="G993" t="str">
        <v>ALL</v>
      </c>
      <c r="L993" t="str">
        <v>NSHAIK</v>
      </c>
      <c r="M993">
        <v>46032</v>
      </c>
      <c r="N993">
        <v>0.1259837962963</v>
      </c>
      <c r="S993" t="str">
        <v>X</v>
      </c>
      <c r="W993" t="str">
        <v>SP1K960967</v>
      </c>
    </row>
    <row r="994">
      <c r="A994" t="str">
        <v>TRAN</v>
      </c>
      <c r="B994" t="str">
        <v>ZMDG_VENDOR_CHANGES</v>
      </c>
      <c r="C994" t="str">
        <v>TRAN</v>
      </c>
      <c r="D994" t="str">
        <v>ZMDG_VENDOR_CHANGES</v>
      </c>
      <c r="G994" t="str">
        <v>ALL</v>
      </c>
      <c r="L994" t="str">
        <v>NSHAIK</v>
      </c>
      <c r="M994">
        <v>46029</v>
      </c>
      <c r="N994">
        <v>0.53224537037037</v>
      </c>
      <c r="S994" t="str">
        <v>X</v>
      </c>
      <c r="W994" t="str">
        <v>SP1K961296</v>
      </c>
    </row>
    <row r="995">
      <c r="A995" t="str">
        <v>TRAN</v>
      </c>
      <c r="B995" t="str">
        <v>ZPTP_SCWM_PRDI</v>
      </c>
      <c r="C995" t="str">
        <v>TRAN</v>
      </c>
      <c r="D995" t="str">
        <v>ZPTP_SCWM_PRDI</v>
      </c>
      <c r="G995" t="str">
        <v>ALL</v>
      </c>
      <c r="L995">
        <v>50116557</v>
      </c>
      <c r="M995">
        <v>45099</v>
      </c>
      <c r="N995">
        <v>0.82434027777778</v>
      </c>
      <c r="S995" t="str">
        <v>X</v>
      </c>
      <c r="W995" t="str">
        <v>S01K916738</v>
      </c>
    </row>
    <row r="996">
      <c r="A996" t="str">
        <v>TRAN</v>
      </c>
      <c r="B996" t="str">
        <v>ZRUCODE_MAINTAIN</v>
      </c>
      <c r="C996" t="str">
        <v>TRAN</v>
      </c>
      <c r="D996" t="str">
        <v>ZRUCODE_MAINTAIN</v>
      </c>
      <c r="G996" t="str">
        <v>ALL</v>
      </c>
      <c r="L996" t="str">
        <v>NSHAIK</v>
      </c>
      <c r="M996">
        <v>46029</v>
      </c>
      <c r="N996">
        <v>0.53236111111111</v>
      </c>
      <c r="S996" t="str">
        <v>X</v>
      </c>
      <c r="W996" t="str">
        <v>SP1K961296</v>
      </c>
    </row>
    <row r="997">
      <c r="A997" t="str">
        <v>TTYP</v>
      </c>
      <c r="B997" t="str">
        <v>ZBPA_T</v>
      </c>
      <c r="C997" t="str">
        <v>TTYD</v>
      </c>
      <c r="D997" t="str">
        <v>ZBPA_T</v>
      </c>
      <c r="G997" t="str">
        <v>ALL</v>
      </c>
      <c r="K997" t="str">
        <v>E</v>
      </c>
      <c r="L997" t="str">
        <v>NSHAIK</v>
      </c>
      <c r="M997">
        <v>46020</v>
      </c>
      <c r="N997">
        <v>0.45918981481481</v>
      </c>
      <c r="S997" t="str">
        <v>X</v>
      </c>
      <c r="W997" t="str">
        <v>SP1K961294</v>
      </c>
    </row>
    <row r="998">
      <c r="A998" t="str">
        <v>TTYP</v>
      </c>
      <c r="B998" t="str">
        <v>ZFINS_CFIN_T_KEY_MAPPING_STATE</v>
      </c>
      <c r="C998" t="str">
        <v>TTYD</v>
      </c>
      <c r="D998" t="str">
        <v>ZFINS_CFIN_T_KEY_MAPPING_STATE</v>
      </c>
      <c r="G998" t="str">
        <v>ALL</v>
      </c>
      <c r="K998" t="str">
        <v>E</v>
      </c>
      <c r="L998" t="str">
        <v>NSHAIK</v>
      </c>
      <c r="M998">
        <v>46032</v>
      </c>
      <c r="N998">
        <v>0.12613425925926</v>
      </c>
      <c r="S998" t="str">
        <v>X</v>
      </c>
      <c r="W998" t="str">
        <v>SP1K960967</v>
      </c>
    </row>
    <row r="999">
      <c r="A999" t="str">
        <v>TTYP</v>
      </c>
      <c r="B999" t="str">
        <v>ZFLS_US_IDT_TAX_DATA_TT</v>
      </c>
      <c r="C999" t="str">
        <v>TTYD</v>
      </c>
      <c r="D999" t="str">
        <v>ZFLS_US_IDT_TAX_DATA_TT</v>
      </c>
      <c r="G999" t="str">
        <v>ALL</v>
      </c>
      <c r="K999" t="str">
        <v>E</v>
      </c>
      <c r="L999" t="str">
        <v>JVITER</v>
      </c>
      <c r="M999">
        <v>44805</v>
      </c>
      <c r="N999">
        <v>0.91989583333333</v>
      </c>
      <c r="S999" t="str">
        <v>X</v>
      </c>
      <c r="W999" t="str">
        <v>S01K914420</v>
      </c>
    </row>
    <row r="1000">
      <c r="A1000" t="str">
        <v>TTYP</v>
      </c>
      <c r="B1000" t="str">
        <v>ZLEMOVMHD_TT</v>
      </c>
      <c r="C1000" t="str">
        <v>TTYD</v>
      </c>
      <c r="D1000" t="str">
        <v>ZLEMOVMHD_TT</v>
      </c>
      <c r="G1000" t="str">
        <v>ALL</v>
      </c>
      <c r="K1000" t="str">
        <v>E</v>
      </c>
      <c r="L1000">
        <v>50116557</v>
      </c>
      <c r="M1000">
        <v>45099</v>
      </c>
      <c r="N1000">
        <v>0.8246875</v>
      </c>
      <c r="S1000" t="str">
        <v>X</v>
      </c>
      <c r="W1000" t="str">
        <v>S01K916738</v>
      </c>
    </row>
    <row r="1001">
      <c r="A1001" t="str">
        <v>TTYP</v>
      </c>
      <c r="B1001" t="str">
        <v>ZMDGC_BAPIBUS1006_ID_DETAILS_T</v>
      </c>
      <c r="C1001" t="str">
        <v>TTYD</v>
      </c>
      <c r="D1001" t="str">
        <v>ZMDGC_BAPIBUS1006_ID_DETAILS_T</v>
      </c>
      <c r="G1001" t="str">
        <v>ALL</v>
      </c>
      <c r="K1001" t="str">
        <v>E</v>
      </c>
      <c r="L1001" t="str">
        <v>NSHAIK</v>
      </c>
      <c r="M1001">
        <v>46020</v>
      </c>
      <c r="N1001">
        <v>0.29511574074074</v>
      </c>
      <c r="S1001" t="str">
        <v>X</v>
      </c>
      <c r="W1001" t="str">
        <v>SP1K961294</v>
      </c>
    </row>
    <row r="1002">
      <c r="A1002" t="str">
        <v>TTYP</v>
      </c>
      <c r="B1002" t="str">
        <v>ZMDGC_BP_T_ADDR_ENRICHMENT</v>
      </c>
      <c r="C1002" t="str">
        <v>TTYD</v>
      </c>
      <c r="D1002" t="str">
        <v>ZMDGC_BP_T_ADDR_ENRICHMENT</v>
      </c>
      <c r="G1002" t="str">
        <v>ALL</v>
      </c>
      <c r="K1002" t="str">
        <v>E</v>
      </c>
      <c r="L1002" t="str">
        <v>NSHAIK</v>
      </c>
      <c r="M1002">
        <v>46021</v>
      </c>
      <c r="N1002">
        <v>0.18116898148148</v>
      </c>
      <c r="S1002" t="str">
        <v>X</v>
      </c>
      <c r="W1002" t="str">
        <v>SP1K961294</v>
      </c>
    </row>
    <row r="1003">
      <c r="A1003" t="str">
        <v>TTYP</v>
      </c>
      <c r="B1003" t="str">
        <v>ZMDGC_T_ADDRNO</v>
      </c>
      <c r="C1003" t="str">
        <v>TTYD</v>
      </c>
      <c r="D1003" t="str">
        <v>ZMDGC_T_ADDRNO</v>
      </c>
      <c r="G1003" t="str">
        <v>ALL</v>
      </c>
      <c r="K1003" t="str">
        <v>E</v>
      </c>
      <c r="L1003" t="str">
        <v>NSHAIK</v>
      </c>
      <c r="M1003">
        <v>46020</v>
      </c>
      <c r="N1003">
        <v>0.29657407407407</v>
      </c>
      <c r="S1003" t="str">
        <v>X</v>
      </c>
      <c r="W1003" t="str">
        <v>SP1K961294</v>
      </c>
    </row>
    <row r="1004">
      <c r="A1004" t="str">
        <v>TTYP</v>
      </c>
      <c r="B1004" t="str">
        <v>ZMDG_PP_ADDR_DETAIL</v>
      </c>
      <c r="C1004" t="str">
        <v>TTYD</v>
      </c>
      <c r="D1004" t="str">
        <v>ZMDG_PP_ADDR_DETAIL</v>
      </c>
      <c r="G1004" t="str">
        <v>ALL</v>
      </c>
      <c r="K1004" t="str">
        <v>E</v>
      </c>
      <c r="L1004" t="str">
        <v>NSHAIK</v>
      </c>
      <c r="M1004">
        <v>46020</v>
      </c>
      <c r="N1004">
        <v>0.29684027777778</v>
      </c>
      <c r="S1004" t="str">
        <v>X</v>
      </c>
      <c r="W1004" t="str">
        <v>SP1K961294</v>
      </c>
    </row>
    <row r="1005">
      <c r="A1005" t="str">
        <v>TTYP</v>
      </c>
      <c r="B1005" t="str">
        <v>ZMDG_PP_BP_CENTRL</v>
      </c>
      <c r="C1005" t="str">
        <v>TTYD</v>
      </c>
      <c r="D1005" t="str">
        <v>ZMDG_PP_BP_CENTRL</v>
      </c>
      <c r="G1005" t="str">
        <v>ALL</v>
      </c>
      <c r="K1005" t="str">
        <v>E</v>
      </c>
      <c r="L1005" t="str">
        <v>NSHAIK</v>
      </c>
      <c r="M1005">
        <v>46020</v>
      </c>
      <c r="N1005">
        <v>0.29695601851852</v>
      </c>
      <c r="S1005" t="str">
        <v>X</v>
      </c>
      <c r="W1005" t="str">
        <v>SP1K961294</v>
      </c>
    </row>
    <row r="1006">
      <c r="A1006" t="str">
        <v>TTYP</v>
      </c>
      <c r="B1006" t="str">
        <v>ZMDG_PP_EMAIL_T</v>
      </c>
      <c r="C1006" t="str">
        <v>TTYD</v>
      </c>
      <c r="D1006" t="str">
        <v>ZMDG_PP_EMAIL_T</v>
      </c>
      <c r="G1006" t="str">
        <v>ALL</v>
      </c>
      <c r="K1006" t="str">
        <v>E</v>
      </c>
      <c r="L1006" t="str">
        <v>NSHAIK</v>
      </c>
      <c r="M1006">
        <v>46020</v>
      </c>
      <c r="N1006">
        <v>0.29707175925926</v>
      </c>
      <c r="S1006" t="str">
        <v>X</v>
      </c>
      <c r="W1006" t="str">
        <v>SP1K961294</v>
      </c>
    </row>
    <row r="1007">
      <c r="A1007" t="str">
        <v>TTYP</v>
      </c>
      <c r="B1007" t="str">
        <v>ZMDG_PP_TAXNUM</v>
      </c>
      <c r="C1007" t="str">
        <v>TTYD</v>
      </c>
      <c r="D1007" t="str">
        <v>ZMDG_PP_TAXNUM</v>
      </c>
      <c r="G1007" t="str">
        <v>ALL</v>
      </c>
      <c r="K1007" t="str">
        <v>E</v>
      </c>
      <c r="L1007" t="str">
        <v>NSHAIK</v>
      </c>
      <c r="M1007">
        <v>46020</v>
      </c>
      <c r="N1007">
        <v>0.29726851851852</v>
      </c>
      <c r="S1007" t="str">
        <v>X</v>
      </c>
      <c r="W1007" t="str">
        <v>SP1K961294</v>
      </c>
    </row>
    <row r="1008">
      <c r="A1008" t="str">
        <v>TTYP</v>
      </c>
      <c r="B1008" t="str">
        <v>ZMDG_TAX_CREATE_DATA_T</v>
      </c>
      <c r="C1008" t="str">
        <v>TTYD</v>
      </c>
      <c r="D1008" t="str">
        <v>ZMDG_TAX_CREATE_DATA_T</v>
      </c>
      <c r="G1008" t="str">
        <v>ALL</v>
      </c>
      <c r="K1008" t="str">
        <v>E</v>
      </c>
      <c r="L1008" t="str">
        <v>NSHAIK</v>
      </c>
      <c r="M1008">
        <v>46020</v>
      </c>
      <c r="N1008">
        <v>0.5309837962963</v>
      </c>
      <c r="S1008" t="str">
        <v>X</v>
      </c>
      <c r="W1008" t="str">
        <v>SP1K961294</v>
      </c>
    </row>
    <row r="1009">
      <c r="A1009" t="str">
        <v>TTYP</v>
      </c>
      <c r="B1009" t="str">
        <v>ZMDG_USMD_T_CREQUEST_POWL</v>
      </c>
      <c r="C1009" t="str">
        <v>TTYD</v>
      </c>
      <c r="D1009" t="str">
        <v>ZMDG_USMD_T_CREQUEST_POWL</v>
      </c>
      <c r="G1009" t="str">
        <v>ALL</v>
      </c>
      <c r="K1009" t="str">
        <v>E</v>
      </c>
      <c r="L1009" t="str">
        <v>NSHAIK</v>
      </c>
      <c r="M1009">
        <v>46021</v>
      </c>
      <c r="N1009">
        <v>0.18130787037037</v>
      </c>
      <c r="S1009" t="str">
        <v>X</v>
      </c>
      <c r="W1009" t="str">
        <v>SP1K961294</v>
      </c>
    </row>
    <row r="1010">
      <c r="A1010" t="str">
        <v>TTYP</v>
      </c>
      <c r="B1010" t="str">
        <v>ZTMDGC_INFORMATICA_ADDR_FORMAT</v>
      </c>
      <c r="C1010" t="str">
        <v>TTYD</v>
      </c>
      <c r="D1010" t="str">
        <v>ZTMDGC_INFORMATICA_ADDR_FORMAT</v>
      </c>
      <c r="G1010" t="str">
        <v>ALL</v>
      </c>
      <c r="K1010" t="str">
        <v>E</v>
      </c>
      <c r="L1010" t="str">
        <v>NSHAIK</v>
      </c>
      <c r="M1010">
        <v>46021</v>
      </c>
      <c r="N1010">
        <v>0.18180555555556</v>
      </c>
      <c r="S1010" t="str">
        <v>X</v>
      </c>
      <c r="W1010" t="str">
        <v>SP1K961294</v>
      </c>
    </row>
    <row r="1011">
      <c r="A1011" t="str">
        <v>TTYP</v>
      </c>
      <c r="B1011" t="str">
        <v>ZTTMDGC_FF_CSTA</v>
      </c>
      <c r="C1011" t="str">
        <v>TTYD</v>
      </c>
      <c r="D1011" t="str">
        <v>ZTTMDGC_FF_CSTA</v>
      </c>
      <c r="G1011" t="str">
        <v>ALL</v>
      </c>
      <c r="K1011" t="str">
        <v>E</v>
      </c>
      <c r="L1011" t="str">
        <v>NSHAIK</v>
      </c>
      <c r="M1011">
        <v>46020</v>
      </c>
      <c r="N1011">
        <v>0.53170138888889</v>
      </c>
      <c r="S1011" t="str">
        <v>X</v>
      </c>
      <c r="W1011" t="str">
        <v>SP1K961294</v>
      </c>
    </row>
    <row r="1012">
      <c r="A1012" t="str">
        <v>TTYP</v>
      </c>
      <c r="B1012" t="str">
        <v>ZTTMDGC_FF_DSTA</v>
      </c>
      <c r="C1012" t="str">
        <v>TTYD</v>
      </c>
      <c r="D1012" t="str">
        <v>ZTTMDGC_FF_DSTA</v>
      </c>
      <c r="G1012" t="str">
        <v>ALL</v>
      </c>
      <c r="K1012" t="str">
        <v>E</v>
      </c>
      <c r="L1012" t="str">
        <v>NSHAIK</v>
      </c>
      <c r="M1012">
        <v>46020</v>
      </c>
      <c r="N1012">
        <v>0.53185185185185</v>
      </c>
      <c r="S1012" t="str">
        <v>X</v>
      </c>
      <c r="W1012" t="str">
        <v>SP1K961294</v>
      </c>
    </row>
    <row r="1013">
      <c r="A1013" t="str">
        <v>TTYP</v>
      </c>
      <c r="B1013" t="str">
        <v>ZTTMDGC_RELATIONSHIPS</v>
      </c>
      <c r="C1013" t="str">
        <v>TTYD</v>
      </c>
      <c r="D1013" t="str">
        <v>ZTTMDGC_RELATIONSHIPS</v>
      </c>
      <c r="G1013" t="str">
        <v>ALL</v>
      </c>
      <c r="K1013" t="str">
        <v>E</v>
      </c>
      <c r="L1013" t="str">
        <v>NSHAIK</v>
      </c>
      <c r="M1013">
        <v>46020</v>
      </c>
      <c r="N1013">
        <v>0.29796296296296</v>
      </c>
      <c r="S1013" t="str">
        <v>X</v>
      </c>
      <c r="W1013" t="str">
        <v>SP1K961294</v>
      </c>
    </row>
    <row r="1014">
      <c r="A1014" t="str">
        <v>TTYP</v>
      </c>
      <c r="B1014" t="str">
        <v>ZTTMDGS_RELATE</v>
      </c>
      <c r="C1014" t="str">
        <v>TTYD</v>
      </c>
      <c r="D1014" t="str">
        <v>ZTTMDGS_RELATE</v>
      </c>
      <c r="G1014" t="str">
        <v>ALL</v>
      </c>
      <c r="K1014" t="str">
        <v>E</v>
      </c>
      <c r="L1014" t="str">
        <v>NSHAIK</v>
      </c>
      <c r="M1014">
        <v>46020</v>
      </c>
      <c r="N1014">
        <v>0.31222222222222</v>
      </c>
      <c r="S1014" t="str">
        <v>X</v>
      </c>
      <c r="W1014" t="str">
        <v>SP1K961294</v>
      </c>
    </row>
    <row r="1015">
      <c r="A1015" t="str">
        <v>TTYP</v>
      </c>
      <c r="B1015" t="str">
        <v>ZTTMDG_EMAIL_CONFIG</v>
      </c>
      <c r="C1015" t="str">
        <v>TTYD</v>
      </c>
      <c r="D1015" t="str">
        <v>ZTTMDG_EMAIL_CONFIG</v>
      </c>
      <c r="G1015" t="str">
        <v>ALL</v>
      </c>
      <c r="K1015" t="str">
        <v>E</v>
      </c>
      <c r="L1015" t="str">
        <v>NSHAIK</v>
      </c>
      <c r="M1015">
        <v>46020</v>
      </c>
      <c r="N1015">
        <v>0.31266203703704</v>
      </c>
      <c r="S1015" t="str">
        <v>X</v>
      </c>
      <c r="W1015" t="str">
        <v>SP1K961294</v>
      </c>
    </row>
    <row r="1016">
      <c r="A1016" t="str">
        <v>TTYP</v>
      </c>
      <c r="B1016" t="str">
        <v>ZTTMDG_EMAIL_RECIPIENTS</v>
      </c>
      <c r="C1016" t="str">
        <v>TTYD</v>
      </c>
      <c r="D1016" t="str">
        <v>ZTTMDG_EMAIL_RECIPIENTS</v>
      </c>
      <c r="G1016" t="str">
        <v>ALL</v>
      </c>
      <c r="K1016" t="str">
        <v>E</v>
      </c>
      <c r="L1016" t="str">
        <v>NSHAIK</v>
      </c>
      <c r="M1016">
        <v>46020</v>
      </c>
      <c r="N1016">
        <v>0.29809027777778</v>
      </c>
      <c r="S1016" t="str">
        <v>X</v>
      </c>
      <c r="W1016" t="str">
        <v>SP1K961294</v>
      </c>
    </row>
    <row r="1017">
      <c r="A1017" t="str">
        <v>TTYP</v>
      </c>
      <c r="B1017" t="str">
        <v>ZTT_MDG_ADDR1_RANGE</v>
      </c>
      <c r="C1017" t="str">
        <v>TTYD</v>
      </c>
      <c r="D1017" t="str">
        <v>ZTT_MDG_ADDR1_RANGE</v>
      </c>
      <c r="G1017" t="str">
        <v>ALL</v>
      </c>
      <c r="K1017" t="str">
        <v>E</v>
      </c>
      <c r="L1017" t="str">
        <v>NSHAIK</v>
      </c>
      <c r="M1017">
        <v>46020</v>
      </c>
      <c r="N1017">
        <v>0.29822916666667</v>
      </c>
      <c r="S1017" t="str">
        <v>X</v>
      </c>
      <c r="W1017" t="str">
        <v>SP1K961294</v>
      </c>
    </row>
    <row r="1018">
      <c r="A1018" t="str">
        <v>TTYP</v>
      </c>
      <c r="B1018" t="str">
        <v>ZTT_MDG_ADDR2_RANGE</v>
      </c>
      <c r="C1018" t="str">
        <v>TTYD</v>
      </c>
      <c r="D1018" t="str">
        <v>ZTT_MDG_ADDR2_RANGE</v>
      </c>
      <c r="G1018" t="str">
        <v>ALL</v>
      </c>
      <c r="K1018" t="str">
        <v>E</v>
      </c>
      <c r="L1018" t="str">
        <v>NSHAIK</v>
      </c>
      <c r="M1018">
        <v>46020</v>
      </c>
      <c r="N1018">
        <v>0.29855324074074</v>
      </c>
      <c r="S1018" t="str">
        <v>X</v>
      </c>
      <c r="W1018" t="str">
        <v>SP1K961294</v>
      </c>
    </row>
    <row r="1019">
      <c r="A1019" t="str">
        <v>TTYP</v>
      </c>
      <c r="B1019" t="str">
        <v>ZTT_MDG_CITY_RANGE</v>
      </c>
      <c r="C1019" t="str">
        <v>TTYD</v>
      </c>
      <c r="D1019" t="str">
        <v>ZTT_MDG_CITY_RANGE</v>
      </c>
      <c r="G1019" t="str">
        <v>ALL</v>
      </c>
      <c r="K1019" t="str">
        <v>E</v>
      </c>
      <c r="L1019" t="str">
        <v>NSHAIK</v>
      </c>
      <c r="M1019">
        <v>46020</v>
      </c>
      <c r="N1019">
        <v>0.29869212962963</v>
      </c>
      <c r="S1019" t="str">
        <v>X</v>
      </c>
      <c r="W1019" t="str">
        <v>SP1K961294</v>
      </c>
    </row>
    <row r="1020">
      <c r="A1020" t="str">
        <v>TTYP</v>
      </c>
      <c r="B1020" t="str">
        <v>ZTT_MDG_COUNTRY_RANGE</v>
      </c>
      <c r="C1020" t="str">
        <v>TTYD</v>
      </c>
      <c r="D1020" t="str">
        <v>ZTT_MDG_COUNTRY_RANGE</v>
      </c>
      <c r="G1020" t="str">
        <v>ALL</v>
      </c>
      <c r="K1020" t="str">
        <v>E</v>
      </c>
      <c r="L1020" t="str">
        <v>NSHAIK</v>
      </c>
      <c r="M1020">
        <v>46020</v>
      </c>
      <c r="N1020">
        <v>0.29883101851852</v>
      </c>
      <c r="S1020" t="str">
        <v>X</v>
      </c>
      <c r="W1020" t="str">
        <v>SP1K961294</v>
      </c>
    </row>
    <row r="1021">
      <c r="A1021" t="str">
        <v>TTYP</v>
      </c>
      <c r="B1021" t="str">
        <v>ZTT_MDG_DOCTYPE_RANGE</v>
      </c>
      <c r="C1021" t="str">
        <v>TTYD</v>
      </c>
      <c r="D1021" t="str">
        <v>ZTT_MDG_DOCTYPE_RANGE</v>
      </c>
      <c r="G1021" t="str">
        <v>ALL</v>
      </c>
      <c r="K1021" t="str">
        <v>E</v>
      </c>
      <c r="L1021" t="str">
        <v>NSHAIK</v>
      </c>
      <c r="M1021">
        <v>46020</v>
      </c>
      <c r="N1021">
        <v>0.29895833333333</v>
      </c>
      <c r="S1021" t="str">
        <v>X</v>
      </c>
      <c r="W1021" t="str">
        <v>SP1K961294</v>
      </c>
    </row>
    <row r="1022">
      <c r="A1022" t="str">
        <v>TTYP</v>
      </c>
      <c r="B1022" t="str">
        <v>ZTT_MDG_SITE_RANGE</v>
      </c>
      <c r="C1022" t="str">
        <v>TTYD</v>
      </c>
      <c r="D1022" t="str">
        <v>ZTT_MDG_SITE_RANGE</v>
      </c>
      <c r="G1022" t="str">
        <v>ALL</v>
      </c>
      <c r="K1022" t="str">
        <v>E</v>
      </c>
      <c r="L1022" t="str">
        <v>NSHAIK</v>
      </c>
      <c r="M1022">
        <v>46020</v>
      </c>
      <c r="N1022">
        <v>0.29909722222222</v>
      </c>
      <c r="S1022" t="str">
        <v>X</v>
      </c>
      <c r="W1022" t="str">
        <v>SP1K961294</v>
      </c>
    </row>
    <row r="1023">
      <c r="A1023" t="str">
        <v>TTYP</v>
      </c>
      <c r="B1023" t="str">
        <v>ZTT_MDG_STATE_RANGE</v>
      </c>
      <c r="C1023" t="str">
        <v>TTYD</v>
      </c>
      <c r="D1023" t="str">
        <v>ZTT_MDG_STATE_RANGE</v>
      </c>
      <c r="G1023" t="str">
        <v>ALL</v>
      </c>
      <c r="K1023" t="str">
        <v>E</v>
      </c>
      <c r="L1023" t="str">
        <v>NSHAIK</v>
      </c>
      <c r="M1023">
        <v>46020</v>
      </c>
      <c r="N1023">
        <v>0.29929398148148</v>
      </c>
      <c r="S1023" t="str">
        <v>X</v>
      </c>
      <c r="W1023" t="str">
        <v>SP1K961294</v>
      </c>
    </row>
    <row r="1024">
      <c r="A1024" t="str">
        <v>TTYP</v>
      </c>
      <c r="B1024" t="str">
        <v>ZTT_MDG_VENDORDBA</v>
      </c>
      <c r="C1024" t="str">
        <v>TTYD</v>
      </c>
      <c r="D1024" t="str">
        <v>ZTT_MDG_VENDORDBA</v>
      </c>
      <c r="G1024" t="str">
        <v>ALL</v>
      </c>
      <c r="K1024" t="str">
        <v>E</v>
      </c>
      <c r="L1024" t="str">
        <v>NSHAIK</v>
      </c>
      <c r="M1024">
        <v>46020</v>
      </c>
      <c r="N1024">
        <v>0.53206018518519</v>
      </c>
      <c r="S1024" t="str">
        <v>X</v>
      </c>
      <c r="W1024" t="str">
        <v>SP1K961294</v>
      </c>
    </row>
    <row r="1025">
      <c r="A1025" t="str">
        <v>TTYP</v>
      </c>
      <c r="B1025" t="str">
        <v>ZTT_MDG_VENDORDBA_RANGE</v>
      </c>
      <c r="C1025" t="str">
        <v>TTYD</v>
      </c>
      <c r="D1025" t="str">
        <v>ZTT_MDG_VENDORDBA_RANGE</v>
      </c>
      <c r="G1025" t="str">
        <v>ALL</v>
      </c>
      <c r="K1025" t="str">
        <v>E</v>
      </c>
      <c r="L1025" t="str">
        <v>NSHAIK</v>
      </c>
      <c r="M1025">
        <v>46020</v>
      </c>
      <c r="N1025">
        <v>0.2994212962963</v>
      </c>
      <c r="S1025" t="str">
        <v>X</v>
      </c>
      <c r="W1025" t="str">
        <v>SP1K961294</v>
      </c>
    </row>
    <row r="1026">
      <c r="A1026" t="str">
        <v>TTYP</v>
      </c>
      <c r="B1026" t="str">
        <v>ZTT_MDG_VENDORNAME_RANGE</v>
      </c>
      <c r="C1026" t="str">
        <v>TTYD</v>
      </c>
      <c r="D1026" t="str">
        <v>ZTT_MDG_VENDORNAME_RANGE</v>
      </c>
      <c r="G1026" t="str">
        <v>ALL</v>
      </c>
      <c r="K1026" t="str">
        <v>E</v>
      </c>
      <c r="L1026" t="str">
        <v>NSHAIK</v>
      </c>
      <c r="M1026">
        <v>46020</v>
      </c>
      <c r="N1026">
        <v>0.29953703703704</v>
      </c>
      <c r="S1026" t="str">
        <v>X</v>
      </c>
      <c r="W1026" t="str">
        <v>SP1K961294</v>
      </c>
    </row>
    <row r="1027">
      <c r="A1027" t="str">
        <v>TTYP</v>
      </c>
      <c r="B1027" t="str">
        <v>ZTT_MDG_VENDORTAXID_RANGE</v>
      </c>
      <c r="C1027" t="str">
        <v>TTYD</v>
      </c>
      <c r="D1027" t="str">
        <v>ZTT_MDG_VENDORTAXID_RANGE</v>
      </c>
      <c r="G1027" t="str">
        <v>ALL</v>
      </c>
      <c r="K1027" t="str">
        <v>E</v>
      </c>
      <c r="L1027" t="str">
        <v>NSHAIK</v>
      </c>
      <c r="M1027">
        <v>46020</v>
      </c>
      <c r="N1027">
        <v>0.29965277777778</v>
      </c>
      <c r="S1027" t="str">
        <v>X</v>
      </c>
      <c r="W1027" t="str">
        <v>SP1K961294</v>
      </c>
    </row>
    <row r="1028">
      <c r="A1028" t="str">
        <v>TTYP</v>
      </c>
      <c r="B1028" t="str">
        <v>ZTT_MDG_VENDORTAX_XLSX</v>
      </c>
      <c r="C1028" t="str">
        <v>TTYD</v>
      </c>
      <c r="D1028" t="str">
        <v>ZTT_MDG_VENDORTAX_XLSX</v>
      </c>
      <c r="G1028" t="str">
        <v>ALL</v>
      </c>
      <c r="K1028" t="str">
        <v>E</v>
      </c>
      <c r="L1028" t="str">
        <v>NSHAIK</v>
      </c>
      <c r="M1028">
        <v>46020</v>
      </c>
      <c r="N1028">
        <v>0.29978009259259</v>
      </c>
      <c r="S1028" t="str">
        <v>X</v>
      </c>
      <c r="W1028" t="str">
        <v>SP1K961294</v>
      </c>
    </row>
    <row r="1029">
      <c r="A1029" t="str">
        <v>TTYP</v>
      </c>
      <c r="B1029" t="str">
        <v>ZTT_MDG_VENDORTYPE_RANGE</v>
      </c>
      <c r="C1029" t="str">
        <v>TTYD</v>
      </c>
      <c r="D1029" t="str">
        <v>ZTT_MDG_VENDORTYPE_RANGE</v>
      </c>
      <c r="G1029" t="str">
        <v>ALL</v>
      </c>
      <c r="K1029" t="str">
        <v>E</v>
      </c>
      <c r="L1029" t="str">
        <v>NSHAIK</v>
      </c>
      <c r="M1029">
        <v>46020</v>
      </c>
      <c r="N1029">
        <v>0.29997685185185</v>
      </c>
      <c r="S1029" t="str">
        <v>X</v>
      </c>
      <c r="W1029" t="str">
        <v>SP1K961294</v>
      </c>
    </row>
    <row r="1030">
      <c r="A1030" t="str">
        <v>TTYP</v>
      </c>
      <c r="B1030" t="str">
        <v>ZTT_MDG_ZEXPTO_RANGE</v>
      </c>
      <c r="C1030" t="str">
        <v>TTYD</v>
      </c>
      <c r="D1030" t="str">
        <v>ZTT_MDG_ZEXPTO_RANGE</v>
      </c>
      <c r="G1030" t="str">
        <v>ALL</v>
      </c>
      <c r="K1030" t="str">
        <v>E</v>
      </c>
      <c r="L1030" t="str">
        <v>NSHAIK</v>
      </c>
      <c r="M1030">
        <v>46020</v>
      </c>
      <c r="N1030">
        <v>0.30010416666667</v>
      </c>
      <c r="S1030" t="str">
        <v>X</v>
      </c>
      <c r="W1030" t="str">
        <v>SP1K961294</v>
      </c>
    </row>
    <row r="1031">
      <c r="A1031" t="str">
        <v>TTYP</v>
      </c>
      <c r="B1031" t="str">
        <v>ZTT_MDG_ZIP_RANGE</v>
      </c>
      <c r="C1031" t="str">
        <v>TTYD</v>
      </c>
      <c r="D1031" t="str">
        <v>ZTT_MDG_ZIP_RANGE</v>
      </c>
      <c r="G1031" t="str">
        <v>ALL</v>
      </c>
      <c r="K1031" t="str">
        <v>E</v>
      </c>
      <c r="L1031" t="str">
        <v>NSHAIK</v>
      </c>
      <c r="M1031">
        <v>46020</v>
      </c>
      <c r="N1031">
        <v>0.30023148148148</v>
      </c>
      <c r="S1031" t="str">
        <v>X</v>
      </c>
      <c r="W1031" t="str">
        <v>SP1K961294</v>
      </c>
    </row>
    <row r="1032">
      <c r="A1032" t="str">
        <v>TTYP</v>
      </c>
      <c r="B1032" t="str">
        <v>ZTY_MDG_BS_BP_BP_IDNUM</v>
      </c>
      <c r="C1032" t="str">
        <v>TTYD</v>
      </c>
      <c r="D1032" t="str">
        <v>ZTY_MDG_BS_BP_BP_IDNUM</v>
      </c>
      <c r="G1032" t="str">
        <v>ALL</v>
      </c>
      <c r="K1032" t="str">
        <v>E</v>
      </c>
      <c r="L1032" t="str">
        <v>NSHAIK</v>
      </c>
      <c r="M1032">
        <v>46020</v>
      </c>
      <c r="N1032">
        <v>0.30037037037037</v>
      </c>
      <c r="S1032" t="str">
        <v>X</v>
      </c>
      <c r="W1032" t="str">
        <v>SP1K961294</v>
      </c>
    </row>
    <row r="1033">
      <c r="A1033" t="str">
        <v>TTYP</v>
      </c>
      <c r="B1033" t="str">
        <v>ZTY_MDG_BS_BP_BP_REL</v>
      </c>
      <c r="C1033" t="str">
        <v>TTYD</v>
      </c>
      <c r="D1033" t="str">
        <v>ZTY_MDG_BS_BP_BP_REL</v>
      </c>
      <c r="G1033" t="str">
        <v>ALL</v>
      </c>
      <c r="K1033" t="str">
        <v>E</v>
      </c>
      <c r="L1033" t="str">
        <v>NSHAIK</v>
      </c>
      <c r="M1033">
        <v>46020</v>
      </c>
      <c r="N1033">
        <v>0.30050925925926</v>
      </c>
      <c r="S1033" t="str">
        <v>X</v>
      </c>
      <c r="W1033" t="str">
        <v>SP1K961294</v>
      </c>
    </row>
    <row r="1034">
      <c r="A1034" t="str">
        <v>TYPE</v>
      </c>
      <c r="B1034" t="str">
        <v>ZACCG</v>
      </c>
      <c r="C1034" t="str">
        <v>TYPD</v>
      </c>
      <c r="D1034" t="str">
        <v>ZACCG</v>
      </c>
      <c r="G1034" t="str">
        <v>ALL</v>
      </c>
      <c r="K1034" t="str">
        <v>E</v>
      </c>
      <c r="L1034" t="str">
        <v>VMALISETTY</v>
      </c>
      <c r="M1034">
        <v>43630</v>
      </c>
      <c r="N1034">
        <v>0.10917824074074</v>
      </c>
      <c r="S1034" t="str">
        <v>X</v>
      </c>
      <c r="W1034" t="str">
        <v>RS4K902734</v>
      </c>
    </row>
    <row r="1035">
      <c r="A1035" t="str">
        <v>TYPE</v>
      </c>
      <c r="B1035" t="str">
        <v>ZCUS1</v>
      </c>
      <c r="C1035" t="str">
        <v>TYPD</v>
      </c>
      <c r="D1035" t="str">
        <v>ZCUS1</v>
      </c>
      <c r="G1035" t="str">
        <v>ALL</v>
      </c>
      <c r="K1035" t="str">
        <v>E</v>
      </c>
      <c r="L1035" t="str">
        <v>CST_UKHANNA</v>
      </c>
      <c r="M1035">
        <v>43726</v>
      </c>
      <c r="N1035">
        <v>0.40815972222222</v>
      </c>
      <c r="S1035" t="str">
        <v>X</v>
      </c>
      <c r="W1035" t="str">
        <v>X01K900802</v>
      </c>
    </row>
    <row r="1036">
      <c r="A1036" t="str">
        <v>TYPE</v>
      </c>
      <c r="B1036" t="str">
        <v>ZMM01</v>
      </c>
      <c r="C1036" t="str">
        <v>TYPD</v>
      </c>
      <c r="D1036" t="str">
        <v>ZMM01</v>
      </c>
      <c r="G1036" t="str">
        <v>ALL</v>
      </c>
      <c r="K1036" t="str">
        <v>E</v>
      </c>
      <c r="L1036" t="str">
        <v>PPHANEENDRA</v>
      </c>
      <c r="M1036">
        <v>43641</v>
      </c>
      <c r="N1036">
        <v>0.26190972222222</v>
      </c>
      <c r="S1036" t="str">
        <v>X</v>
      </c>
      <c r="W1036" t="str">
        <v>FLSK900734</v>
      </c>
    </row>
    <row r="1037">
      <c r="A1037" t="str">
        <v>TYPE</v>
      </c>
      <c r="B1037" t="str">
        <v>ZPEG</v>
      </c>
      <c r="C1037" t="str">
        <v>TYPD</v>
      </c>
      <c r="D1037" t="str">
        <v>ZPEG</v>
      </c>
      <c r="G1037" t="str">
        <v>ALL</v>
      </c>
      <c r="K1037" t="str">
        <v>E</v>
      </c>
      <c r="L1037" t="str">
        <v>CST_SOURYA</v>
      </c>
      <c r="M1037">
        <v>46123</v>
      </c>
      <c r="N1037">
        <v>0.69119212962963</v>
      </c>
      <c r="S1037" t="str">
        <v>X</v>
      </c>
      <c r="W1037" t="str">
        <v>S01K929276</v>
      </c>
    </row>
    <row r="1038">
      <c r="A1038" t="str">
        <v>VIEW</v>
      </c>
      <c r="B1038" t="str">
        <v>ZVCA_CYCLE_DATA</v>
      </c>
      <c r="C1038" t="str">
        <v>VIED</v>
      </c>
      <c r="D1038" t="str">
        <v>ZVCA_CYCLE_DATA</v>
      </c>
      <c r="G1038" t="str">
        <v>ALL</v>
      </c>
      <c r="L1038" t="str">
        <v>ALWALARA</v>
      </c>
      <c r="M1038">
        <v>41822</v>
      </c>
      <c r="N1038">
        <v>0.21491898148148</v>
      </c>
      <c r="S1038" t="str">
        <v>X</v>
      </c>
      <c r="W1038" t="str">
        <v>EHRK906243</v>
      </c>
    </row>
    <row r="1039">
      <c r="A1039" t="str">
        <v>VIEW</v>
      </c>
      <c r="B1039" t="str">
        <v>ZVMDGC_RUCODE</v>
      </c>
      <c r="C1039" t="str">
        <v>VIED</v>
      </c>
      <c r="D1039" t="str">
        <v>ZVMDGC_RUCODE</v>
      </c>
      <c r="G1039" t="str">
        <v>ALL</v>
      </c>
      <c r="L1039" t="str">
        <v>NSHAIK</v>
      </c>
      <c r="M1039">
        <v>46013</v>
      </c>
      <c r="N1039">
        <v>0.27430555555556</v>
      </c>
      <c r="S1039" t="str">
        <v>X</v>
      </c>
      <c r="W1039" t="str">
        <v>SP1K961121</v>
      </c>
    </row>
    <row r="1040">
      <c r="A1040" t="str">
        <v>VIEW</v>
      </c>
      <c r="B1040" t="str">
        <v>ZVMDGC_TBRC</v>
      </c>
      <c r="C1040" t="str">
        <v>VIED</v>
      </c>
      <c r="D1040" t="str">
        <v>ZVMDGC_TBRC</v>
      </c>
      <c r="G1040" t="str">
        <v>ALL</v>
      </c>
      <c r="L1040" t="str">
        <v>NSHAIK</v>
      </c>
      <c r="M1040">
        <v>46013</v>
      </c>
      <c r="N1040">
        <v>0.4030787037037</v>
      </c>
      <c r="S1040" t="str">
        <v>X</v>
      </c>
      <c r="W1040" t="str">
        <v>SP1K961121</v>
      </c>
    </row>
    <row r="1041">
      <c r="A1041" t="str">
        <v>VIEW</v>
      </c>
      <c r="B1041" t="str">
        <v>ZVMDGS_RUCODE</v>
      </c>
      <c r="C1041" t="str">
        <v>VIED</v>
      </c>
      <c r="D1041" t="str">
        <v>ZVMDGS_RUCODE</v>
      </c>
      <c r="G1041" t="str">
        <v>ALL</v>
      </c>
      <c r="L1041" t="str">
        <v>NSHAIK</v>
      </c>
      <c r="M1041">
        <v>46013</v>
      </c>
      <c r="N1041">
        <v>0.27452546296296</v>
      </c>
      <c r="S1041" t="str">
        <v>X</v>
      </c>
      <c r="W1041" t="str">
        <v>SP1K961121</v>
      </c>
    </row>
    <row r="1042">
      <c r="A1042" t="str">
        <v>WAPA</v>
      </c>
      <c r="B1042" t="str">
        <v>ZASN_RCV_APP</v>
      </c>
      <c r="C1042" t="str">
        <v>WAPP</v>
      </c>
      <c r="D1042" t="str">
        <v>ZASN_RCV_APP                  CONTROLLER/WORKLIST.CONTROLLER.JS</v>
      </c>
      <c r="G1042" t="str">
        <v>ALL</v>
      </c>
      <c r="K1042" t="str">
        <v>E</v>
      </c>
      <c r="L1042">
        <v>50118298</v>
      </c>
      <c r="M1042">
        <v>45118</v>
      </c>
      <c r="N1042">
        <v>0.27482638888889</v>
      </c>
      <c r="O1042" t="str">
        <v>W</v>
      </c>
      <c r="P1042" t="str">
        <v>D</v>
      </c>
      <c r="S1042" t="str">
        <v>X</v>
      </c>
      <c r="V1042" t="str">
        <v>X</v>
      </c>
      <c r="W1042" t="str">
        <v>S01K916910</v>
      </c>
      <c r="X1042" t="str">
        <v>D</v>
      </c>
    </row>
    <row r="1043">
      <c r="A1043" t="str">
        <v>WAPA</v>
      </c>
      <c r="B1043" t="str">
        <v>ZASN_RCV_APP</v>
      </c>
      <c r="C1043" t="str">
        <v>WAPP</v>
      </c>
      <c r="D1043" t="str">
        <v>ZASN_RCV_APP                  LOCALSERVICE/METADATA.XML</v>
      </c>
      <c r="G1043" t="str">
        <v>ALL</v>
      </c>
      <c r="K1043" t="str">
        <v>E</v>
      </c>
      <c r="L1043">
        <v>50118298</v>
      </c>
      <c r="M1043">
        <v>45065</v>
      </c>
      <c r="N1043">
        <v>0.70898148148148</v>
      </c>
      <c r="O1043" t="str">
        <v>W</v>
      </c>
      <c r="P1043" t="str">
        <v>D</v>
      </c>
      <c r="S1043" t="str">
        <v>X</v>
      </c>
      <c r="V1043" t="str">
        <v>X</v>
      </c>
      <c r="W1043" t="str">
        <v>S01K916023</v>
      </c>
      <c r="X1043" t="str">
        <v>D</v>
      </c>
    </row>
    <row r="1044">
      <c r="A1044" t="str">
        <v>WAPA</v>
      </c>
      <c r="B1044" t="str">
        <v>ZASN_RCV_APP</v>
      </c>
      <c r="C1044" t="str">
        <v>WAPP</v>
      </c>
      <c r="D1044" t="str">
        <v>ZASN_RCV_APP                  UI5429D1FCC905A37DCC96B86C417CD8ED860AFEEE5</v>
      </c>
      <c r="G1044" t="str">
        <v>ALL</v>
      </c>
      <c r="K1044" t="str">
        <v>E</v>
      </c>
      <c r="L1044">
        <v>50118298</v>
      </c>
      <c r="M1044">
        <v>45118</v>
      </c>
      <c r="N1044">
        <v>0.27482638888889</v>
      </c>
      <c r="O1044" t="str">
        <v>W</v>
      </c>
      <c r="P1044" t="str">
        <v>D</v>
      </c>
      <c r="S1044" t="str">
        <v>X</v>
      </c>
      <c r="V1044" t="str">
        <v>X</v>
      </c>
      <c r="W1044" t="str">
        <v>S01K916910</v>
      </c>
      <c r="X1044" t="str">
        <v>D</v>
      </c>
    </row>
    <row r="1045">
      <c r="A1045" t="str">
        <v>WAPA</v>
      </c>
      <c r="B1045" t="str">
        <v>ZASN_RCV_APP</v>
      </c>
      <c r="C1045" t="str">
        <v>WAPP</v>
      </c>
      <c r="D1045" t="str">
        <v>ZASN_RCV_APP                  UI5B2B5D24238268DEF4FA05063EBE5142BBCACE17B</v>
      </c>
      <c r="G1045" t="str">
        <v>ALL</v>
      </c>
      <c r="K1045" t="str">
        <v>E</v>
      </c>
      <c r="L1045">
        <v>50118298</v>
      </c>
      <c r="M1045">
        <v>45118</v>
      </c>
      <c r="N1045">
        <v>0.27480324074074</v>
      </c>
      <c r="O1045" t="str">
        <v>W</v>
      </c>
      <c r="P1045" t="str">
        <v>D</v>
      </c>
      <c r="S1045" t="str">
        <v>X</v>
      </c>
      <c r="V1045" t="str">
        <v>X</v>
      </c>
      <c r="W1045" t="str">
        <v>S01K916910</v>
      </c>
      <c r="X1045" t="str">
        <v>D</v>
      </c>
    </row>
    <row r="1046">
      <c r="A1046" t="str">
        <v>WAPA</v>
      </c>
      <c r="B1046" t="str">
        <v>ZASN_RCV_APP</v>
      </c>
      <c r="C1046" t="str">
        <v>WAPP</v>
      </c>
      <c r="D1046" t="str">
        <v>ZASN_RCV_APP                  UI5D6E351D62367E05CE67E6BB74322D7BF23D18836</v>
      </c>
      <c r="G1046" t="str">
        <v>ALL</v>
      </c>
      <c r="K1046" t="str">
        <v>E</v>
      </c>
      <c r="L1046">
        <v>50118298</v>
      </c>
      <c r="M1046">
        <v>45118</v>
      </c>
      <c r="N1046">
        <v>0.27481481481481</v>
      </c>
      <c r="O1046" t="str">
        <v>W</v>
      </c>
      <c r="P1046" t="str">
        <v>D</v>
      </c>
      <c r="S1046" t="str">
        <v>X</v>
      </c>
      <c r="V1046" t="str">
        <v>X</v>
      </c>
      <c r="W1046" t="str">
        <v>S01K916910</v>
      </c>
      <c r="X1046" t="str">
        <v>D</v>
      </c>
    </row>
    <row r="1047">
      <c r="A1047" t="str">
        <v>WAPA</v>
      </c>
      <c r="B1047" t="str">
        <v>ZASN_RCV_APP</v>
      </c>
      <c r="C1047" t="str">
        <v>WAPP</v>
      </c>
      <c r="D1047" t="str">
        <v>ZASN_RCV_APP                  UI5REPOSITORYPATHMAPPING.XML</v>
      </c>
      <c r="G1047" t="str">
        <v>ALL</v>
      </c>
      <c r="K1047" t="str">
        <v>E</v>
      </c>
      <c r="L1047">
        <v>50118298</v>
      </c>
      <c r="M1047">
        <v>45065</v>
      </c>
      <c r="N1047">
        <v>0.70944444444444</v>
      </c>
      <c r="O1047" t="str">
        <v>W</v>
      </c>
      <c r="P1047" t="str">
        <v>D</v>
      </c>
      <c r="S1047" t="str">
        <v>X</v>
      </c>
      <c r="V1047" t="str">
        <v>X</v>
      </c>
      <c r="W1047" t="str">
        <v>S01K916023</v>
      </c>
      <c r="X1047" t="str">
        <v>D</v>
      </c>
    </row>
    <row r="1048">
      <c r="A1048" t="str">
        <v>WAPA</v>
      </c>
      <c r="B1048" t="str">
        <v>ZASN_RCV_APP</v>
      </c>
      <c r="C1048" t="str">
        <v>WAPP</v>
      </c>
      <c r="D1048" t="str">
        <v>ZASN_RCV_APP                  VIEW/WORKLIST.VIEW.XML</v>
      </c>
      <c r="G1048" t="str">
        <v>ALL</v>
      </c>
      <c r="K1048" t="str">
        <v>E</v>
      </c>
      <c r="L1048">
        <v>50118298</v>
      </c>
      <c r="M1048">
        <v>45077</v>
      </c>
      <c r="N1048">
        <v>0.34756944444444</v>
      </c>
      <c r="O1048" t="str">
        <v>W</v>
      </c>
      <c r="P1048" t="str">
        <v>D</v>
      </c>
      <c r="S1048" t="str">
        <v>X</v>
      </c>
      <c r="V1048" t="str">
        <v>X</v>
      </c>
      <c r="W1048" t="str">
        <v>S01K916023</v>
      </c>
      <c r="X1048" t="str">
        <v>D</v>
      </c>
    </row>
    <row r="1049">
      <c r="A1049" t="str">
        <v>WAPA</v>
      </c>
      <c r="B1049" t="str">
        <v>ZBOMATPTOOL</v>
      </c>
      <c r="C1049" t="str">
        <v>WAPP</v>
      </c>
      <c r="D1049" t="str">
        <v>ZBOMATPTOOL                   CONTROLLER/VIEW1.CONTROLLER.JS</v>
      </c>
      <c r="G1049" t="str">
        <v>ALL</v>
      </c>
      <c r="K1049" t="str">
        <v>E</v>
      </c>
      <c r="L1049">
        <v>50103014</v>
      </c>
      <c r="M1049">
        <v>46027</v>
      </c>
      <c r="N1049">
        <v>0.47667824074074</v>
      </c>
      <c r="S1049" t="str">
        <v>X</v>
      </c>
      <c r="W1049" t="str">
        <v>S01K927738</v>
      </c>
    </row>
    <row r="1050">
      <c r="A1050" t="str">
        <v>WAPA</v>
      </c>
      <c r="B1050" t="str">
        <v>ZBOMATPTOOL</v>
      </c>
      <c r="C1050" t="str">
        <v>WAPP</v>
      </c>
      <c r="D1050" t="str">
        <v>ZBOMATPTOOL                   CONTROLLER/VIEW1.CONTROLLER.JS.MAP</v>
      </c>
      <c r="G1050" t="str">
        <v>ALL</v>
      </c>
      <c r="K1050" t="str">
        <v>E</v>
      </c>
      <c r="L1050">
        <v>50103014</v>
      </c>
      <c r="M1050">
        <v>46027</v>
      </c>
      <c r="N1050">
        <v>0.47667824074074</v>
      </c>
      <c r="S1050" t="str">
        <v>X</v>
      </c>
      <c r="W1050" t="str">
        <v>S01K927738</v>
      </c>
    </row>
    <row r="1051">
      <c r="A1051" t="str">
        <v>WAPA</v>
      </c>
      <c r="B1051" t="str">
        <v>ZBOMATPTOOL</v>
      </c>
      <c r="C1051" t="str">
        <v>WAPP</v>
      </c>
      <c r="D1051" t="str">
        <v>ZBOMATPTOOL                   UI5414E2FB362688F3DC5804867F37C00A8015662FC</v>
      </c>
      <c r="G1051" t="str">
        <v>ALL</v>
      </c>
      <c r="K1051" t="str">
        <v>E</v>
      </c>
      <c r="L1051">
        <v>50103014</v>
      </c>
      <c r="M1051">
        <v>46027</v>
      </c>
      <c r="N1051">
        <v>0.47667824074074</v>
      </c>
      <c r="S1051" t="str">
        <v>X</v>
      </c>
      <c r="W1051" t="str">
        <v>S01K927738</v>
      </c>
    </row>
    <row r="1052">
      <c r="A1052" t="str">
        <v>WAPA</v>
      </c>
      <c r="B1052" t="str">
        <v>ZBOMATPTOOL</v>
      </c>
      <c r="C1052" t="str">
        <v>WAPP</v>
      </c>
      <c r="D1052" t="str">
        <v>ZBOMATPTOOL                   UI54531F75EB88227A431062A8105335935B6792E6A</v>
      </c>
      <c r="G1052" t="str">
        <v>ALL</v>
      </c>
      <c r="K1052" t="str">
        <v>E</v>
      </c>
      <c r="L1052">
        <v>50103014</v>
      </c>
      <c r="M1052">
        <v>46027</v>
      </c>
      <c r="N1052">
        <v>0.47667824074074</v>
      </c>
      <c r="S1052" t="str">
        <v>X</v>
      </c>
      <c r="W1052" t="str">
        <v>S01K927738</v>
      </c>
    </row>
    <row r="1053">
      <c r="A1053" t="str">
        <v>WAPA</v>
      </c>
      <c r="B1053" t="str">
        <v>ZBOMATPTOOL</v>
      </c>
      <c r="C1053" t="str">
        <v>WAPP</v>
      </c>
      <c r="D1053" t="str">
        <v>ZBOMATPTOOL                   UI557CF5CD537FC7FD6ABD94DE90D5321044743BE20</v>
      </c>
      <c r="G1053" t="str">
        <v>ALL</v>
      </c>
      <c r="K1053" t="str">
        <v>E</v>
      </c>
      <c r="L1053">
        <v>50103014</v>
      </c>
      <c r="M1053">
        <v>46027</v>
      </c>
      <c r="N1053">
        <v>0.47666666666667</v>
      </c>
      <c r="S1053" t="str">
        <v>X</v>
      </c>
      <c r="W1053" t="str">
        <v>S01K927738</v>
      </c>
    </row>
    <row r="1054">
      <c r="A1054" t="str">
        <v>WAPA</v>
      </c>
      <c r="B1054" t="str">
        <v>ZBOMATPTOOL</v>
      </c>
      <c r="C1054" t="str">
        <v>WAPP</v>
      </c>
      <c r="D1054" t="str">
        <v>ZBOMATPTOOL                   UI5B2B5D24238268DEF4FA05063EBE5142BBCACE17B</v>
      </c>
      <c r="G1054" t="str">
        <v>ALL</v>
      </c>
      <c r="K1054" t="str">
        <v>E</v>
      </c>
      <c r="L1054">
        <v>50103014</v>
      </c>
      <c r="M1054">
        <v>46027</v>
      </c>
      <c r="N1054">
        <v>0.47666666666667</v>
      </c>
      <c r="S1054" t="str">
        <v>X</v>
      </c>
      <c r="W1054" t="str">
        <v>S01K927738</v>
      </c>
    </row>
    <row r="1055">
      <c r="A1055" t="str">
        <v>WAPA</v>
      </c>
      <c r="B1055" t="str">
        <v>ZBOMATPTOOL</v>
      </c>
      <c r="C1055" t="str">
        <v>WAPP</v>
      </c>
      <c r="D1055" t="str">
        <v>ZBOMATPTOOL                   UI5C1988FC21E729302CE0154DCECD5D701AFF8B551</v>
      </c>
      <c r="G1055" t="str">
        <v>ALL</v>
      </c>
      <c r="K1055" t="str">
        <v>E</v>
      </c>
      <c r="L1055">
        <v>50103014</v>
      </c>
      <c r="M1055">
        <v>46027</v>
      </c>
      <c r="N1055">
        <v>0.47668981481481</v>
      </c>
      <c r="S1055" t="str">
        <v>X</v>
      </c>
      <c r="W1055" t="str">
        <v>S01K927738</v>
      </c>
    </row>
    <row r="1056">
      <c r="A1056" t="str">
        <v>WAPA</v>
      </c>
      <c r="B1056" t="str">
        <v>ZBOMATPTOOL</v>
      </c>
      <c r="C1056" t="str">
        <v>WAPP</v>
      </c>
      <c r="D1056" t="str">
        <v>ZBOMATPTOOL                   UI5D5187D1D3090AAC0B08A983FECA7CF10894C593C</v>
      </c>
      <c r="G1056" t="str">
        <v>ALL</v>
      </c>
      <c r="K1056" t="str">
        <v>E</v>
      </c>
      <c r="L1056">
        <v>50103014</v>
      </c>
      <c r="M1056">
        <v>46027</v>
      </c>
      <c r="N1056">
        <v>0.47667824074074</v>
      </c>
      <c r="S1056" t="str">
        <v>X</v>
      </c>
      <c r="W1056" t="str">
        <v>S01K927738</v>
      </c>
    </row>
    <row r="1057">
      <c r="A1057" t="str">
        <v>WAPA</v>
      </c>
      <c r="B1057" t="str">
        <v>ZBOMATPTOOL</v>
      </c>
      <c r="C1057" t="str">
        <v>WAPP</v>
      </c>
      <c r="D1057" t="str">
        <v>ZBOMATPTOOL                   VIEW/VIEW1.VIEW.XML</v>
      </c>
      <c r="G1057" t="str">
        <v>ALL</v>
      </c>
      <c r="K1057" t="str">
        <v>E</v>
      </c>
      <c r="L1057">
        <v>50103014</v>
      </c>
      <c r="M1057">
        <v>46027</v>
      </c>
      <c r="N1057">
        <v>0.4740625</v>
      </c>
      <c r="S1057" t="str">
        <v>X</v>
      </c>
      <c r="W1057" t="str">
        <v>S01K927738</v>
      </c>
    </row>
    <row r="1058">
      <c r="A1058" t="str">
        <v>WAPA</v>
      </c>
      <c r="B1058" t="str">
        <v>ZBOM_COPY_TOOL</v>
      </c>
      <c r="C1058" t="str">
        <v>WAPP</v>
      </c>
      <c r="D1058" t="str">
        <v>ZBOM_COPY_TOOL                COMPONENT.JS</v>
      </c>
      <c r="G1058" t="str">
        <v>ALL</v>
      </c>
      <c r="K1058" t="str">
        <v>E</v>
      </c>
      <c r="L1058">
        <v>50118409</v>
      </c>
      <c r="M1058">
        <v>45078</v>
      </c>
      <c r="N1058">
        <v>0.21645833333333</v>
      </c>
      <c r="S1058" t="str">
        <v>X</v>
      </c>
      <c r="W1058" t="str">
        <v>S01K915969</v>
      </c>
    </row>
    <row r="1059">
      <c r="A1059" t="str">
        <v>WAPA</v>
      </c>
      <c r="B1059" t="str">
        <v>ZBOM_COPY_TOOL</v>
      </c>
      <c r="C1059" t="str">
        <v>WAPP</v>
      </c>
      <c r="D1059" t="str">
        <v>ZBOM_COPY_TOOL                INDEX.HTML</v>
      </c>
      <c r="G1059" t="str">
        <v>ALL</v>
      </c>
      <c r="K1059" t="str">
        <v>E</v>
      </c>
      <c r="L1059">
        <v>50118409</v>
      </c>
      <c r="M1059">
        <v>45076</v>
      </c>
      <c r="N1059">
        <v>0.73667824074074</v>
      </c>
      <c r="S1059" t="str">
        <v>X</v>
      </c>
      <c r="W1059" t="str">
        <v>S01K915969</v>
      </c>
    </row>
    <row r="1060">
      <c r="A1060" t="str">
        <v>WAPA</v>
      </c>
      <c r="B1060" t="str">
        <v>ZBOM_COPY_TOOL</v>
      </c>
      <c r="C1060" t="str">
        <v>WAPP</v>
      </c>
      <c r="D1060" t="str">
        <v>ZBOM_COPY_TOOL                LOCALSERVICE/MOCKSERVER.JS</v>
      </c>
      <c r="G1060" t="str">
        <v>ALL</v>
      </c>
      <c r="K1060" t="str">
        <v>E</v>
      </c>
      <c r="L1060">
        <v>50118409</v>
      </c>
      <c r="M1060">
        <v>45076</v>
      </c>
      <c r="N1060">
        <v>0.73671296296296</v>
      </c>
      <c r="S1060" t="str">
        <v>X</v>
      </c>
      <c r="W1060" t="str">
        <v>S01K915969</v>
      </c>
    </row>
    <row r="1061">
      <c r="A1061" t="str">
        <v>WAPA</v>
      </c>
      <c r="B1061" t="str">
        <v>ZBOM_COPY_TOOL</v>
      </c>
      <c r="C1061" t="str">
        <v>WAPP</v>
      </c>
      <c r="D1061" t="str">
        <v>ZBOM_COPY_TOOL                MODEL/MODELS.JS</v>
      </c>
      <c r="G1061" t="str">
        <v>ALL</v>
      </c>
      <c r="K1061" t="str">
        <v>E</v>
      </c>
      <c r="L1061">
        <v>50118409</v>
      </c>
      <c r="M1061">
        <v>45076</v>
      </c>
      <c r="N1061">
        <v>0.73675925925926</v>
      </c>
      <c r="S1061" t="str">
        <v>X</v>
      </c>
      <c r="W1061" t="str">
        <v>S01K915969</v>
      </c>
    </row>
    <row r="1062">
      <c r="A1062" t="str">
        <v>WAPA</v>
      </c>
      <c r="B1062" t="str">
        <v>ZBOM_COPY_TOOL</v>
      </c>
      <c r="C1062" t="str">
        <v>WAPP</v>
      </c>
      <c r="D1062" t="str">
        <v>ZBOM_COPY_TOOL                SERVICEBINDING.JS</v>
      </c>
      <c r="G1062" t="str">
        <v>ALL</v>
      </c>
      <c r="K1062" t="str">
        <v>E</v>
      </c>
      <c r="L1062">
        <v>50118409</v>
      </c>
      <c r="M1062">
        <v>45076</v>
      </c>
      <c r="N1062">
        <v>0.73679398148148</v>
      </c>
      <c r="S1062" t="str">
        <v>X</v>
      </c>
      <c r="W1062" t="str">
        <v>S01K915969</v>
      </c>
    </row>
    <row r="1063">
      <c r="A1063" t="str">
        <v>WAPA</v>
      </c>
      <c r="B1063" t="str">
        <v>ZBOM_COPY_TOOL</v>
      </c>
      <c r="C1063" t="str">
        <v>WAPP</v>
      </c>
      <c r="D1063" t="str">
        <v>ZBOM_COPY_TOOL                UI51F3BB30A9796AB073FD9A6A39D9B6073B67C3E91</v>
      </c>
      <c r="G1063" t="str">
        <v>ALL</v>
      </c>
      <c r="K1063" t="str">
        <v>E</v>
      </c>
      <c r="L1063">
        <v>50118409</v>
      </c>
      <c r="M1063">
        <v>45076</v>
      </c>
      <c r="N1063">
        <v>0.7368287037037</v>
      </c>
      <c r="S1063" t="str">
        <v>X</v>
      </c>
      <c r="W1063" t="str">
        <v>S01K915969</v>
      </c>
    </row>
    <row r="1064">
      <c r="A1064" t="str">
        <v>WAPA</v>
      </c>
      <c r="B1064" t="str">
        <v>ZJH_BC_PASS</v>
      </c>
      <c r="C1064" t="str">
        <v>WAPD</v>
      </c>
      <c r="D1064" t="str">
        <v>ZJH_BC_PASS</v>
      </c>
      <c r="G1064" t="str">
        <v>ALL</v>
      </c>
      <c r="L1064" t="str">
        <v>HESS</v>
      </c>
      <c r="M1064">
        <v>42802</v>
      </c>
      <c r="N1064">
        <v>0.25988425925926</v>
      </c>
      <c r="S1064" t="str">
        <v>X</v>
      </c>
    </row>
    <row r="1065">
      <c r="A1065" t="str">
        <v>WAPA</v>
      </c>
      <c r="B1065" t="str">
        <v>ZJH_BC_PASS</v>
      </c>
      <c r="C1065" t="str">
        <v>WAPP</v>
      </c>
      <c r="D1065" t="str">
        <v>ZJH_BC_PASS                   INITIALPASSWORD.HTM</v>
      </c>
      <c r="G1065" t="str">
        <v>ALL</v>
      </c>
      <c r="K1065" t="str">
        <v>D</v>
      </c>
      <c r="L1065" t="str">
        <v>HESS</v>
      </c>
      <c r="M1065">
        <v>42802</v>
      </c>
      <c r="N1065">
        <v>0.26021990740741</v>
      </c>
      <c r="S1065" t="str">
        <v>X</v>
      </c>
    </row>
    <row r="1066">
      <c r="A1066" t="str">
        <v>WAPA</v>
      </c>
      <c r="B1066" t="str">
        <v>ZJH_BC_PASS</v>
      </c>
      <c r="C1066" t="str">
        <v>WAPP</v>
      </c>
      <c r="D1066" t="str">
        <v>ZJH_BC_PASS                   INITIALRUECK.HTM</v>
      </c>
      <c r="G1066" t="str">
        <v>ALL</v>
      </c>
      <c r="K1066" t="str">
        <v>D</v>
      </c>
      <c r="L1066" t="str">
        <v>HESS</v>
      </c>
      <c r="M1066">
        <v>41692</v>
      </c>
      <c r="N1066">
        <v>0.85247685185185</v>
      </c>
      <c r="S1066" t="str">
        <v>X</v>
      </c>
    </row>
    <row r="1067">
      <c r="A1067" t="str">
        <v>WAPA</v>
      </c>
      <c r="B1067" t="str">
        <v>ZJH_BC_PASS</v>
      </c>
      <c r="C1067" t="str">
        <v>WAPP</v>
      </c>
      <c r="D1067" t="str">
        <v>ZJH_BC_PASS                   MAILADRESSEFEHLT.HTM</v>
      </c>
      <c r="G1067" t="str">
        <v>ALL</v>
      </c>
      <c r="K1067" t="str">
        <v>D</v>
      </c>
      <c r="L1067" t="str">
        <v>HESS</v>
      </c>
      <c r="M1067">
        <v>41692</v>
      </c>
      <c r="N1067">
        <v>0.85258101851852</v>
      </c>
      <c r="S1067" t="str">
        <v>X</v>
      </c>
    </row>
    <row r="1068">
      <c r="A1068" t="str">
        <v>WAPA</v>
      </c>
      <c r="B1068" t="str">
        <v>ZJH_BC_PASS</v>
      </c>
      <c r="C1068" t="str">
        <v>WAPP</v>
      </c>
      <c r="D1068" t="str">
        <v>ZJH_BC_PASS                   START.HTM</v>
      </c>
      <c r="G1068" t="str">
        <v>ALL</v>
      </c>
      <c r="K1068" t="str">
        <v>D</v>
      </c>
      <c r="L1068" t="str">
        <v>HESS</v>
      </c>
      <c r="M1068">
        <v>41692</v>
      </c>
      <c r="N1068">
        <v>0.85267361111111</v>
      </c>
      <c r="S1068" t="str">
        <v>X</v>
      </c>
    </row>
    <row r="1069">
      <c r="A1069" t="str">
        <v>WAPA</v>
      </c>
      <c r="B1069" t="str">
        <v>ZJH_BC_PASS</v>
      </c>
      <c r="C1069" t="str">
        <v>WAPP</v>
      </c>
      <c r="D1069" t="str">
        <v>ZJH_BC_PASS                   USER.HTM</v>
      </c>
      <c r="G1069" t="str">
        <v>ALL</v>
      </c>
      <c r="K1069" t="str">
        <v>D</v>
      </c>
      <c r="L1069" t="str">
        <v>HESS</v>
      </c>
      <c r="M1069">
        <v>41692</v>
      </c>
      <c r="N1069">
        <v>0.85277777777778</v>
      </c>
      <c r="S1069" t="str">
        <v>X</v>
      </c>
    </row>
    <row r="1070">
      <c r="A1070" t="str">
        <v>WAPA</v>
      </c>
      <c r="B1070" t="str">
        <v>ZJH_BC_PASS</v>
      </c>
      <c r="C1070" t="str">
        <v>WAPP</v>
      </c>
      <c r="D1070" t="str">
        <v>ZJH_BC_PASS                   USERFEHLT.HTM</v>
      </c>
      <c r="G1070" t="str">
        <v>ALL</v>
      </c>
      <c r="K1070" t="str">
        <v>D</v>
      </c>
      <c r="L1070" t="str">
        <v>HESS</v>
      </c>
      <c r="M1070">
        <v>41692</v>
      </c>
      <c r="N1070">
        <v>0.8528587962963</v>
      </c>
      <c r="S1070" t="str">
        <v>X</v>
      </c>
    </row>
    <row r="1071">
      <c r="A1071" t="str">
        <v>WAPA</v>
      </c>
      <c r="B1071" t="str">
        <v>ZJH_BC_PASS</v>
      </c>
      <c r="C1071" t="str">
        <v>WAPP</v>
      </c>
      <c r="D1071" t="str">
        <v>ZJH_BC_PASS                   USERLIST.HTM</v>
      </c>
      <c r="G1071" t="str">
        <v>ALL</v>
      </c>
      <c r="K1071" t="str">
        <v>D</v>
      </c>
      <c r="L1071" t="str">
        <v>HESS</v>
      </c>
      <c r="M1071">
        <v>42801</v>
      </c>
      <c r="N1071">
        <v>0.39207175925926</v>
      </c>
      <c r="S1071" t="str">
        <v>X</v>
      </c>
    </row>
    <row r="1072">
      <c r="A1072" t="str">
        <v>WAPA</v>
      </c>
      <c r="B1072" t="str">
        <v>ZOTC_BP_REPORT</v>
      </c>
      <c r="C1072" t="str">
        <v>WAPP</v>
      </c>
      <c r="D1072" t="str">
        <v>ZOTC_BP_REPORT                COMPONENT.JS</v>
      </c>
      <c r="G1072" t="str">
        <v>ALL</v>
      </c>
      <c r="K1072" t="str">
        <v>E</v>
      </c>
      <c r="L1072">
        <v>50103014</v>
      </c>
      <c r="M1072">
        <v>46062</v>
      </c>
      <c r="N1072">
        <v>0.41296296296296</v>
      </c>
      <c r="S1072" t="str">
        <v>X</v>
      </c>
      <c r="W1072" t="str">
        <v>S01K928294</v>
      </c>
    </row>
    <row r="1073">
      <c r="A1073" t="str">
        <v>WAPA</v>
      </c>
      <c r="B1073" t="str">
        <v>ZOTC_BP_REPORT</v>
      </c>
      <c r="C1073" t="str">
        <v>WAPP</v>
      </c>
      <c r="D1073" t="str">
        <v>ZOTC_BP_REPORT                COMPONENT.JS.MAP</v>
      </c>
      <c r="G1073" t="str">
        <v>ALL</v>
      </c>
      <c r="K1073" t="str">
        <v>E</v>
      </c>
      <c r="L1073">
        <v>50103014</v>
      </c>
      <c r="M1073">
        <v>46062</v>
      </c>
      <c r="N1073">
        <v>0.41297453703704</v>
      </c>
      <c r="S1073" t="str">
        <v>X</v>
      </c>
      <c r="W1073" t="str">
        <v>S01K928294</v>
      </c>
    </row>
    <row r="1074">
      <c r="A1074" t="str">
        <v>WAPA</v>
      </c>
      <c r="B1074" t="str">
        <v>ZOTC_BP_REPORT</v>
      </c>
      <c r="C1074" t="str">
        <v>WAPP</v>
      </c>
      <c r="D1074" t="str">
        <v>ZOTC_BP_REPORT                CONTROLLER/VIEW1.CONTROLLER.JS</v>
      </c>
      <c r="G1074" t="str">
        <v>ALL</v>
      </c>
      <c r="K1074" t="str">
        <v>E</v>
      </c>
      <c r="L1074">
        <v>50103014</v>
      </c>
      <c r="M1074">
        <v>46062</v>
      </c>
      <c r="N1074">
        <v>0.41299768518519</v>
      </c>
      <c r="S1074" t="str">
        <v>X</v>
      </c>
      <c r="W1074" t="str">
        <v>S01K928294</v>
      </c>
    </row>
    <row r="1075">
      <c r="A1075" t="str">
        <v>WAPA</v>
      </c>
      <c r="B1075" t="str">
        <v>ZOTC_BP_REPORT</v>
      </c>
      <c r="C1075" t="str">
        <v>WAPP</v>
      </c>
      <c r="D1075" t="str">
        <v>ZOTC_BP_REPORT                CONTROLLER/VIEW1.CONTROLLER.JS.MAP</v>
      </c>
      <c r="G1075" t="str">
        <v>ALL</v>
      </c>
      <c r="K1075" t="str">
        <v>E</v>
      </c>
      <c r="L1075">
        <v>50103014</v>
      </c>
      <c r="M1075">
        <v>46062</v>
      </c>
      <c r="N1075">
        <v>0.41299768518519</v>
      </c>
      <c r="S1075" t="str">
        <v>X</v>
      </c>
      <c r="W1075" t="str">
        <v>S01K928294</v>
      </c>
    </row>
    <row r="1076">
      <c r="A1076" t="str">
        <v>WAPA</v>
      </c>
      <c r="B1076" t="str">
        <v>ZOTC_BP_REPORT</v>
      </c>
      <c r="C1076" t="str">
        <v>WAPP</v>
      </c>
      <c r="D1076" t="str">
        <v>ZOTC_BP_REPORT                INDEX.HTML</v>
      </c>
      <c r="G1076" t="str">
        <v>ALL</v>
      </c>
      <c r="K1076" t="str">
        <v>E</v>
      </c>
      <c r="L1076">
        <v>50103014</v>
      </c>
      <c r="M1076">
        <v>46062</v>
      </c>
      <c r="N1076">
        <v>0.41299768518519</v>
      </c>
      <c r="S1076" t="str">
        <v>X</v>
      </c>
      <c r="W1076" t="str">
        <v>S01K928294</v>
      </c>
    </row>
    <row r="1077">
      <c r="A1077" t="str">
        <v>WAPA</v>
      </c>
      <c r="B1077" t="str">
        <v>ZOTC_BP_REPORT</v>
      </c>
      <c r="C1077" t="str">
        <v>WAPP</v>
      </c>
      <c r="D1077" t="str">
        <v>ZOTC_BP_REPORT                LOCALSERVICE/MOCKSERVER.JS</v>
      </c>
      <c r="G1077" t="str">
        <v>ALL</v>
      </c>
      <c r="K1077" t="str">
        <v>E</v>
      </c>
      <c r="L1077">
        <v>50103014</v>
      </c>
      <c r="M1077">
        <v>46062</v>
      </c>
      <c r="N1077">
        <v>0.41304398148148</v>
      </c>
      <c r="S1077" t="str">
        <v>X</v>
      </c>
      <c r="W1077" t="str">
        <v>S01K928294</v>
      </c>
    </row>
    <row r="1078">
      <c r="A1078" t="str">
        <v>WAPA</v>
      </c>
      <c r="B1078" t="str">
        <v>ZOTC_BP_REPORT</v>
      </c>
      <c r="C1078" t="str">
        <v>WAPP</v>
      </c>
      <c r="D1078" t="str">
        <v>ZOTC_BP_REPORT                LOCALSERVICE/MOCKSERVER.JS.MAP</v>
      </c>
      <c r="G1078" t="str">
        <v>ALL</v>
      </c>
      <c r="K1078" t="str">
        <v>E</v>
      </c>
      <c r="L1078">
        <v>50103014</v>
      </c>
      <c r="M1078">
        <v>46062</v>
      </c>
      <c r="N1078">
        <v>0.41304398148148</v>
      </c>
      <c r="S1078" t="str">
        <v>X</v>
      </c>
      <c r="W1078" t="str">
        <v>S01K928294</v>
      </c>
    </row>
    <row r="1079">
      <c r="A1079" t="str">
        <v>WAPA</v>
      </c>
      <c r="B1079" t="str">
        <v>ZOTC_BP_REPORT</v>
      </c>
      <c r="C1079" t="str">
        <v>WAPP</v>
      </c>
      <c r="D1079" t="str">
        <v>ZOTC_BP_REPORT                MANIFEST.JSON</v>
      </c>
      <c r="G1079" t="str">
        <v>ALL</v>
      </c>
      <c r="K1079" t="str">
        <v>E</v>
      </c>
      <c r="L1079">
        <v>50103014</v>
      </c>
      <c r="M1079">
        <v>46062</v>
      </c>
      <c r="N1079">
        <v>0.41304398148148</v>
      </c>
      <c r="S1079" t="str">
        <v>X</v>
      </c>
      <c r="W1079" t="str">
        <v>S01K928294</v>
      </c>
    </row>
    <row r="1080">
      <c r="A1080" t="str">
        <v>WAPA</v>
      </c>
      <c r="B1080" t="str">
        <v>ZOTC_BP_REPORT</v>
      </c>
      <c r="C1080" t="str">
        <v>WAPP</v>
      </c>
      <c r="D1080" t="str">
        <v>ZOTC_BP_REPORT                MODEL/MODELS.JS</v>
      </c>
      <c r="G1080" t="str">
        <v>ALL</v>
      </c>
      <c r="K1080" t="str">
        <v>E</v>
      </c>
      <c r="L1080">
        <v>50103014</v>
      </c>
      <c r="M1080">
        <v>46062</v>
      </c>
      <c r="N1080">
        <v>0.41306712962963</v>
      </c>
      <c r="S1080" t="str">
        <v>X</v>
      </c>
      <c r="W1080" t="str">
        <v>S01K928294</v>
      </c>
    </row>
    <row r="1081">
      <c r="A1081" t="str">
        <v>WAPA</v>
      </c>
      <c r="B1081" t="str">
        <v>ZOTC_BP_REPORT</v>
      </c>
      <c r="C1081" t="str">
        <v>WAPP</v>
      </c>
      <c r="D1081" t="str">
        <v>ZOTC_BP_REPORT                MODEL/MODELS.JS.MAP</v>
      </c>
      <c r="G1081" t="str">
        <v>ALL</v>
      </c>
      <c r="K1081" t="str">
        <v>E</v>
      </c>
      <c r="L1081">
        <v>50103014</v>
      </c>
      <c r="M1081">
        <v>46062</v>
      </c>
      <c r="N1081">
        <v>0.41306712962963</v>
      </c>
      <c r="S1081" t="str">
        <v>X</v>
      </c>
      <c r="W1081" t="str">
        <v>S01K928294</v>
      </c>
    </row>
    <row r="1082">
      <c r="A1082" t="str">
        <v>WAPA</v>
      </c>
      <c r="B1082" t="str">
        <v>ZOTC_BP_REPORT</v>
      </c>
      <c r="C1082" t="str">
        <v>WAPP</v>
      </c>
      <c r="D1082" t="str">
        <v>ZOTC_BP_REPORT                SERVICEBINDING.JS</v>
      </c>
      <c r="G1082" t="str">
        <v>ALL</v>
      </c>
      <c r="K1082" t="str">
        <v>E</v>
      </c>
      <c r="L1082">
        <v>50103014</v>
      </c>
      <c r="M1082">
        <v>46062</v>
      </c>
      <c r="N1082">
        <v>0.41310185185185</v>
      </c>
      <c r="S1082" t="str">
        <v>X</v>
      </c>
      <c r="W1082" t="str">
        <v>S01K928294</v>
      </c>
    </row>
    <row r="1083">
      <c r="A1083" t="str">
        <v>WAPA</v>
      </c>
      <c r="B1083" t="str">
        <v>ZOTC_BP_REPORT</v>
      </c>
      <c r="C1083" t="str">
        <v>WAPP</v>
      </c>
      <c r="D1083" t="str">
        <v>ZOTC_BP_REPORT                SERVICEBINDING.JS.MAP</v>
      </c>
      <c r="G1083" t="str">
        <v>ALL</v>
      </c>
      <c r="K1083" t="str">
        <v>E</v>
      </c>
      <c r="L1083">
        <v>50103014</v>
      </c>
      <c r="M1083">
        <v>46062</v>
      </c>
      <c r="N1083">
        <v>0.41310185185185</v>
      </c>
      <c r="S1083" t="str">
        <v>X</v>
      </c>
      <c r="W1083" t="str">
        <v>S01K928294</v>
      </c>
    </row>
    <row r="1084">
      <c r="A1084" t="str">
        <v>WAPA</v>
      </c>
      <c r="B1084" t="str">
        <v>ZOTC_BP_REPORT</v>
      </c>
      <c r="C1084" t="str">
        <v>WAPP</v>
      </c>
      <c r="D1084" t="str">
        <v>ZOTC_BP_REPORT                SHAREDBLOCKS/COMMNOTES/COMMNOTES.JS</v>
      </c>
      <c r="G1084" t="str">
        <v>ALL</v>
      </c>
      <c r="K1084" t="str">
        <v>E</v>
      </c>
      <c r="L1084">
        <v>50103014</v>
      </c>
      <c r="M1084">
        <v>46062</v>
      </c>
      <c r="N1084">
        <v>0.413125</v>
      </c>
      <c r="S1084" t="str">
        <v>X</v>
      </c>
      <c r="W1084" t="str">
        <v>S01K928294</v>
      </c>
    </row>
    <row r="1085">
      <c r="A1085" t="str">
        <v>WAPA</v>
      </c>
      <c r="B1085" t="str">
        <v>ZOTC_BP_REPORT</v>
      </c>
      <c r="C1085" t="str">
        <v>WAPP</v>
      </c>
      <c r="D1085" t="str">
        <v>ZOTC_BP_REPORT                SHAREDBLOCKS/COMMNOTES/COMMNOTES.JS.MAP</v>
      </c>
      <c r="G1085" t="str">
        <v>ALL</v>
      </c>
      <c r="K1085" t="str">
        <v>E</v>
      </c>
      <c r="L1085">
        <v>50103014</v>
      </c>
      <c r="M1085">
        <v>46062</v>
      </c>
      <c r="N1085">
        <v>0.413125</v>
      </c>
      <c r="S1085" t="str">
        <v>X</v>
      </c>
      <c r="W1085" t="str">
        <v>S01K928294</v>
      </c>
    </row>
    <row r="1086">
      <c r="A1086" t="str">
        <v>WAPA</v>
      </c>
      <c r="B1086" t="str">
        <v>ZOTC_BP_REPORT</v>
      </c>
      <c r="C1086" t="str">
        <v>WAPP</v>
      </c>
      <c r="D1086" t="str">
        <v>ZOTC_BP_REPORT                SHAREDBLOCKS/CREDIT/CREDIT.JS</v>
      </c>
      <c r="G1086" t="str">
        <v>ALL</v>
      </c>
      <c r="K1086" t="str">
        <v>E</v>
      </c>
      <c r="L1086">
        <v>50103014</v>
      </c>
      <c r="M1086">
        <v>46062</v>
      </c>
      <c r="N1086">
        <v>0.41314814814815</v>
      </c>
      <c r="S1086" t="str">
        <v>X</v>
      </c>
      <c r="W1086" t="str">
        <v>S01K928294</v>
      </c>
    </row>
    <row r="1087">
      <c r="A1087" t="str">
        <v>WAPA</v>
      </c>
      <c r="B1087" t="str">
        <v>ZOTC_BP_REPORT</v>
      </c>
      <c r="C1087" t="str">
        <v>WAPP</v>
      </c>
      <c r="D1087" t="str">
        <v>ZOTC_BP_REPORT                SHAREDBLOCKS/CREDIT/CREDIT.JS.MAP</v>
      </c>
      <c r="G1087" t="str">
        <v>ALL</v>
      </c>
      <c r="K1087" t="str">
        <v>E</v>
      </c>
      <c r="L1087">
        <v>50103014</v>
      </c>
      <c r="M1087">
        <v>46062</v>
      </c>
      <c r="N1087">
        <v>0.41314814814815</v>
      </c>
      <c r="S1087" t="str">
        <v>X</v>
      </c>
      <c r="W1087" t="str">
        <v>S01K928294</v>
      </c>
    </row>
    <row r="1088">
      <c r="A1088" t="str">
        <v>WAPA</v>
      </c>
      <c r="B1088" t="str">
        <v>ZOTC_BP_REPORT</v>
      </c>
      <c r="C1088" t="str">
        <v>WAPP</v>
      </c>
      <c r="D1088" t="str">
        <v>ZOTC_BP_REPORT                SHAREDBLOCKS/CUSTOMER/CUSTOMER.JS</v>
      </c>
      <c r="G1088" t="str">
        <v>ALL</v>
      </c>
      <c r="K1088" t="str">
        <v>E</v>
      </c>
      <c r="L1088">
        <v>50103014</v>
      </c>
      <c r="M1088">
        <v>46062</v>
      </c>
      <c r="N1088">
        <v>0.4131712962963</v>
      </c>
      <c r="S1088" t="str">
        <v>X</v>
      </c>
      <c r="W1088" t="str">
        <v>S01K928294</v>
      </c>
    </row>
    <row r="1089">
      <c r="A1089" t="str">
        <v>WAPA</v>
      </c>
      <c r="B1089" t="str">
        <v>ZOTC_BP_REPORT</v>
      </c>
      <c r="C1089" t="str">
        <v>WAPP</v>
      </c>
      <c r="D1089" t="str">
        <v>ZOTC_BP_REPORT                SHAREDBLOCKS/CUSTOMER/CUSTOMER.JS.MAP</v>
      </c>
      <c r="G1089" t="str">
        <v>ALL</v>
      </c>
      <c r="K1089" t="str">
        <v>E</v>
      </c>
      <c r="L1089">
        <v>50103014</v>
      </c>
      <c r="M1089">
        <v>46062</v>
      </c>
      <c r="N1089">
        <v>0.41318287037037</v>
      </c>
      <c r="S1089" t="str">
        <v>X</v>
      </c>
      <c r="W1089" t="str">
        <v>S01K928294</v>
      </c>
    </row>
    <row r="1090">
      <c r="A1090" t="str">
        <v>WAPA</v>
      </c>
      <c r="B1090" t="str">
        <v>ZOTC_BP_REPORT</v>
      </c>
      <c r="C1090" t="str">
        <v>WAPP</v>
      </c>
      <c r="D1090" t="str">
        <v>ZOTC_BP_REPORT                SHAREDBLOCKS/PARTNERFUNC/PARTNER.JS</v>
      </c>
      <c r="G1090" t="str">
        <v>ALL</v>
      </c>
      <c r="K1090" t="str">
        <v>E</v>
      </c>
      <c r="L1090">
        <v>50103014</v>
      </c>
      <c r="M1090">
        <v>46062</v>
      </c>
      <c r="N1090">
        <v>0.41320601851852</v>
      </c>
      <c r="S1090" t="str">
        <v>X</v>
      </c>
      <c r="W1090" t="str">
        <v>S01K928294</v>
      </c>
    </row>
    <row r="1091">
      <c r="A1091" t="str">
        <v>WAPA</v>
      </c>
      <c r="B1091" t="str">
        <v>ZOTC_BP_REPORT</v>
      </c>
      <c r="C1091" t="str">
        <v>WAPP</v>
      </c>
      <c r="D1091" t="str">
        <v>ZOTC_BP_REPORT                SHAREDBLOCKS/PARTNERFUNC/PARTNER.JS.MAP</v>
      </c>
      <c r="G1091" t="str">
        <v>ALL</v>
      </c>
      <c r="K1091" t="str">
        <v>E</v>
      </c>
      <c r="L1091">
        <v>50103014</v>
      </c>
      <c r="M1091">
        <v>46062</v>
      </c>
      <c r="N1091">
        <v>0.41320601851852</v>
      </c>
      <c r="S1091" t="str">
        <v>X</v>
      </c>
      <c r="W1091" t="str">
        <v>S01K928294</v>
      </c>
    </row>
    <row r="1092">
      <c r="A1092" t="str">
        <v>WAPA</v>
      </c>
      <c r="B1092" t="str">
        <v>ZOTC_BP_REPORT</v>
      </c>
      <c r="C1092" t="str">
        <v>WAPP</v>
      </c>
      <c r="D1092" t="str">
        <v>ZOTC_BP_REPORT                SHAREDBLOCKS/SUMMARY/SUMMARY.JS</v>
      </c>
      <c r="G1092" t="str">
        <v>ALL</v>
      </c>
      <c r="K1092" t="str">
        <v>E</v>
      </c>
      <c r="L1092">
        <v>50103014</v>
      </c>
      <c r="M1092">
        <v>46062</v>
      </c>
      <c r="N1092">
        <v>0.41322916666667</v>
      </c>
      <c r="S1092" t="str">
        <v>X</v>
      </c>
      <c r="W1092" t="str">
        <v>S01K928294</v>
      </c>
    </row>
    <row r="1093">
      <c r="A1093" t="str">
        <v>WAPA</v>
      </c>
      <c r="B1093" t="str">
        <v>ZOTC_BP_REPORT</v>
      </c>
      <c r="C1093" t="str">
        <v>WAPP</v>
      </c>
      <c r="D1093" t="str">
        <v>ZOTC_BP_REPORT                SHAREDBLOCKS/SUMMARY/SUMMARY.JS.MAP</v>
      </c>
      <c r="G1093" t="str">
        <v>ALL</v>
      </c>
      <c r="K1093" t="str">
        <v>E</v>
      </c>
      <c r="L1093">
        <v>50103014</v>
      </c>
      <c r="M1093">
        <v>46062</v>
      </c>
      <c r="N1093">
        <v>0.41322916666667</v>
      </c>
      <c r="S1093" t="str">
        <v>X</v>
      </c>
      <c r="W1093" t="str">
        <v>S01K928294</v>
      </c>
    </row>
    <row r="1094">
      <c r="A1094" t="str">
        <v>WAPA</v>
      </c>
      <c r="B1094" t="str">
        <v>ZOTC_BP_REPORT</v>
      </c>
      <c r="C1094" t="str">
        <v>WAPP</v>
      </c>
      <c r="D1094" t="str">
        <v>ZOTC_BP_REPORT                UI50364B9A678757871751B9E60695D01A9994731A1</v>
      </c>
      <c r="G1094" t="str">
        <v>ALL</v>
      </c>
      <c r="K1094" t="str">
        <v>E</v>
      </c>
      <c r="L1094">
        <v>50103014</v>
      </c>
      <c r="M1094">
        <v>46062</v>
      </c>
      <c r="N1094">
        <v>0.41291666666667</v>
      </c>
      <c r="S1094" t="str">
        <v>X</v>
      </c>
      <c r="W1094" t="str">
        <v>S01K928294</v>
      </c>
    </row>
    <row r="1095">
      <c r="A1095" t="str">
        <v>WAPA</v>
      </c>
      <c r="B1095" t="str">
        <v>ZOTC_BP_REPORT</v>
      </c>
      <c r="C1095" t="str">
        <v>WAPP</v>
      </c>
      <c r="D1095" t="str">
        <v>ZOTC_BP_REPORT                UI50CBC595568B262EF4F56C0992D73573293358E98</v>
      </c>
      <c r="G1095" t="str">
        <v>ALL</v>
      </c>
      <c r="K1095" t="str">
        <v>E</v>
      </c>
      <c r="L1095">
        <v>50103014</v>
      </c>
      <c r="M1095">
        <v>46062</v>
      </c>
      <c r="N1095">
        <v>0.41324074074074</v>
      </c>
      <c r="S1095" t="str">
        <v>X</v>
      </c>
      <c r="W1095" t="str">
        <v>S01K928294</v>
      </c>
    </row>
    <row r="1096">
      <c r="A1096" t="str">
        <v>WAPA</v>
      </c>
      <c r="B1096" t="str">
        <v>ZOTC_BP_REPORT</v>
      </c>
      <c r="C1096" t="str">
        <v>WAPP</v>
      </c>
      <c r="D1096" t="str">
        <v>ZOTC_BP_REPORT                UI513123A38C0914DF82BD42AE6EAC2E2A91AE21DF9</v>
      </c>
      <c r="G1096" t="str">
        <v>ALL</v>
      </c>
      <c r="K1096" t="str">
        <v>E</v>
      </c>
      <c r="L1096">
        <v>50103014</v>
      </c>
      <c r="M1096">
        <v>46062</v>
      </c>
      <c r="N1096">
        <v>0.4131712962963</v>
      </c>
      <c r="S1096" t="str">
        <v>X</v>
      </c>
      <c r="W1096" t="str">
        <v>S01K928294</v>
      </c>
    </row>
    <row r="1097">
      <c r="A1097" t="str">
        <v>WAPA</v>
      </c>
      <c r="B1097" t="str">
        <v>ZOTC_BP_REPORT</v>
      </c>
      <c r="C1097" t="str">
        <v>WAPP</v>
      </c>
      <c r="D1097" t="str">
        <v>ZOTC_BP_REPORT                UI514783AC34137995942BBB3596B85D3761CB5B436</v>
      </c>
      <c r="G1097" t="str">
        <v>ALL</v>
      </c>
      <c r="K1097" t="str">
        <v>E</v>
      </c>
      <c r="L1097">
        <v>50103014</v>
      </c>
      <c r="M1097">
        <v>46062</v>
      </c>
      <c r="N1097">
        <v>0.41324074074074</v>
      </c>
      <c r="S1097" t="str">
        <v>X</v>
      </c>
      <c r="W1097" t="str">
        <v>S01K928294</v>
      </c>
    </row>
    <row r="1098">
      <c r="A1098" t="str">
        <v>WAPA</v>
      </c>
      <c r="B1098" t="str">
        <v>ZOTC_BP_REPORT</v>
      </c>
      <c r="C1098" t="str">
        <v>WAPP</v>
      </c>
      <c r="D1098" t="str">
        <v>ZOTC_BP_REPORT                UI51D4ED4AEE65455B8E0B59BFAE373E5CEBF15C57F</v>
      </c>
      <c r="G1098" t="str">
        <v>ALL</v>
      </c>
      <c r="K1098" t="str">
        <v>E</v>
      </c>
      <c r="L1098">
        <v>50103014</v>
      </c>
      <c r="M1098">
        <v>46062</v>
      </c>
      <c r="N1098">
        <v>0.41319444444444</v>
      </c>
      <c r="S1098" t="str">
        <v>X</v>
      </c>
      <c r="W1098" t="str">
        <v>S01K928294</v>
      </c>
    </row>
    <row r="1099">
      <c r="A1099" t="str">
        <v>WAPA</v>
      </c>
      <c r="B1099" t="str">
        <v>ZOTC_BP_REPORT</v>
      </c>
      <c r="C1099" t="str">
        <v>WAPP</v>
      </c>
      <c r="D1099" t="str">
        <v>ZOTC_BP_REPORT                UI51F3BB30A9796AB073FD9A6A39D9B6073B67C3E91</v>
      </c>
      <c r="G1099" t="str">
        <v>ALL</v>
      </c>
      <c r="K1099" t="str">
        <v>E</v>
      </c>
      <c r="L1099">
        <v>50103014</v>
      </c>
      <c r="M1099">
        <v>46062</v>
      </c>
      <c r="N1099">
        <v>0.41325231481481</v>
      </c>
      <c r="S1099" t="str">
        <v>X</v>
      </c>
      <c r="W1099" t="str">
        <v>S01K928294</v>
      </c>
    </row>
    <row r="1100">
      <c r="A1100" t="str">
        <v>WAPA</v>
      </c>
      <c r="B1100" t="str">
        <v>ZOTC_BP_REPORT</v>
      </c>
      <c r="C1100" t="str">
        <v>WAPP</v>
      </c>
      <c r="D1100" t="str">
        <v>ZOTC_BP_REPORT                UI52B81639742ADE1A18381851E162B332DE6DBCE4B</v>
      </c>
      <c r="G1100" t="str">
        <v>ALL</v>
      </c>
      <c r="K1100" t="str">
        <v>E</v>
      </c>
      <c r="L1100">
        <v>50103014</v>
      </c>
      <c r="M1100">
        <v>46062</v>
      </c>
      <c r="N1100">
        <v>0.41298611111111</v>
      </c>
      <c r="S1100" t="str">
        <v>X</v>
      </c>
      <c r="W1100" t="str">
        <v>S01K928294</v>
      </c>
    </row>
    <row r="1101">
      <c r="A1101" t="str">
        <v>WAPA</v>
      </c>
      <c r="B1101" t="str">
        <v>ZOTC_BP_REPORT</v>
      </c>
      <c r="C1101" t="str">
        <v>WAPP</v>
      </c>
      <c r="D1101" t="str">
        <v>ZOTC_BP_REPORT                UI53016FA8B95730CA662753641FF57FC1BDA4982AE</v>
      </c>
      <c r="G1101" t="str">
        <v>ALL</v>
      </c>
      <c r="K1101" t="str">
        <v>E</v>
      </c>
      <c r="L1101">
        <v>50103014</v>
      </c>
      <c r="M1101">
        <v>46062</v>
      </c>
      <c r="N1101">
        <v>0.41293981481481</v>
      </c>
      <c r="S1101" t="str">
        <v>X</v>
      </c>
      <c r="W1101" t="str">
        <v>S01K928294</v>
      </c>
    </row>
    <row r="1102">
      <c r="A1102" t="str">
        <v>WAPA</v>
      </c>
      <c r="B1102" t="str">
        <v>ZOTC_BP_REPORT</v>
      </c>
      <c r="C1102" t="str">
        <v>WAPP</v>
      </c>
      <c r="D1102" t="str">
        <v>ZOTC_BP_REPORT                UI53A1D7BD907D98D109DC73BD02EA4323FFBBE5966</v>
      </c>
      <c r="G1102" t="str">
        <v>ALL</v>
      </c>
      <c r="K1102" t="str">
        <v>E</v>
      </c>
      <c r="L1102">
        <v>50103014</v>
      </c>
      <c r="M1102">
        <v>46062</v>
      </c>
      <c r="N1102">
        <v>0.41302083333333</v>
      </c>
      <c r="S1102" t="str">
        <v>X</v>
      </c>
      <c r="W1102" t="str">
        <v>S01K928294</v>
      </c>
    </row>
    <row r="1103">
      <c r="A1103" t="str">
        <v>WAPA</v>
      </c>
      <c r="B1103" t="str">
        <v>ZOTC_BP_REPORT</v>
      </c>
      <c r="C1103" t="str">
        <v>WAPP</v>
      </c>
      <c r="D1103" t="str">
        <v>ZOTC_BP_REPORT                UI5414E2FB362688F3DC5804867F37C00A8015662FC</v>
      </c>
      <c r="G1103" t="str">
        <v>ALL</v>
      </c>
      <c r="K1103" t="str">
        <v>E</v>
      </c>
      <c r="L1103">
        <v>50103014</v>
      </c>
      <c r="M1103">
        <v>46062</v>
      </c>
      <c r="N1103">
        <v>0.41298611111111</v>
      </c>
      <c r="S1103" t="str">
        <v>X</v>
      </c>
      <c r="W1103" t="str">
        <v>S01K928294</v>
      </c>
    </row>
    <row r="1104">
      <c r="A1104" t="str">
        <v>WAPA</v>
      </c>
      <c r="B1104" t="str">
        <v>ZOTC_BP_REPORT</v>
      </c>
      <c r="C1104" t="str">
        <v>WAPP</v>
      </c>
      <c r="D1104" t="str">
        <v>ZOTC_BP_REPORT                UI54531F75EB88227A431062A8105335935B6792E6A</v>
      </c>
      <c r="G1104" t="str">
        <v>ALL</v>
      </c>
      <c r="K1104" t="str">
        <v>E</v>
      </c>
      <c r="L1104">
        <v>50103014</v>
      </c>
      <c r="M1104">
        <v>46062</v>
      </c>
      <c r="N1104">
        <v>0.41303240740741</v>
      </c>
      <c r="S1104" t="str">
        <v>X</v>
      </c>
      <c r="W1104" t="str">
        <v>S01K928294</v>
      </c>
    </row>
    <row r="1105">
      <c r="A1105" t="str">
        <v>WAPA</v>
      </c>
      <c r="B1105" t="str">
        <v>ZOTC_BP_REPORT</v>
      </c>
      <c r="C1105" t="str">
        <v>WAPP</v>
      </c>
      <c r="D1105" t="str">
        <v>ZOTC_BP_REPORT                UI546CCB7BA293F78299C9795D5CFCCB84DBB075535</v>
      </c>
      <c r="G1105" t="str">
        <v>ALL</v>
      </c>
      <c r="K1105" t="str">
        <v>E</v>
      </c>
      <c r="L1105">
        <v>50103014</v>
      </c>
      <c r="M1105">
        <v>46062</v>
      </c>
      <c r="N1105">
        <v>0.41309027777778</v>
      </c>
      <c r="S1105" t="str">
        <v>X</v>
      </c>
      <c r="W1105" t="str">
        <v>S01K928294</v>
      </c>
    </row>
    <row r="1106">
      <c r="A1106" t="str">
        <v>WAPA</v>
      </c>
      <c r="B1106" t="str">
        <v>ZOTC_BP_REPORT</v>
      </c>
      <c r="C1106" t="str">
        <v>WAPP</v>
      </c>
      <c r="D1106" t="str">
        <v>ZOTC_BP_REPORT                UI546CD4E2DABD962A6C8A4FFB259F60D1A725A20BF</v>
      </c>
      <c r="G1106" t="str">
        <v>ALL</v>
      </c>
      <c r="K1106" t="str">
        <v>E</v>
      </c>
      <c r="L1106">
        <v>50103014</v>
      </c>
      <c r="M1106">
        <v>46062</v>
      </c>
      <c r="N1106">
        <v>0.41314814814815</v>
      </c>
      <c r="S1106" t="str">
        <v>X</v>
      </c>
      <c r="W1106" t="str">
        <v>S01K928294</v>
      </c>
    </row>
    <row r="1107">
      <c r="A1107" t="str">
        <v>WAPA</v>
      </c>
      <c r="B1107" t="str">
        <v>ZOTC_BP_REPORT</v>
      </c>
      <c r="C1107" t="str">
        <v>WAPP</v>
      </c>
      <c r="D1107" t="str">
        <v>ZOTC_BP_REPORT                UI548523DCED9B7CACAB7C5AE285DD3B8CC12C84940</v>
      </c>
      <c r="G1107" t="str">
        <v>ALL</v>
      </c>
      <c r="K1107" t="str">
        <v>E</v>
      </c>
      <c r="L1107">
        <v>50103014</v>
      </c>
      <c r="M1107">
        <v>46062</v>
      </c>
      <c r="N1107">
        <v>0.41306712962963</v>
      </c>
      <c r="S1107" t="str">
        <v>X</v>
      </c>
      <c r="W1107" t="str">
        <v>S01K928294</v>
      </c>
    </row>
    <row r="1108">
      <c r="A1108" t="str">
        <v>WAPA</v>
      </c>
      <c r="B1108" t="str">
        <v>ZOTC_BP_REPORT</v>
      </c>
      <c r="C1108" t="str">
        <v>WAPP</v>
      </c>
      <c r="D1108" t="str">
        <v>ZOTC_BP_REPORT                UI54D1B23BC269F947E4FA341332C999231D9503631</v>
      </c>
      <c r="G1108" t="str">
        <v>ALL</v>
      </c>
      <c r="K1108" t="str">
        <v>E</v>
      </c>
      <c r="L1108">
        <v>50103014</v>
      </c>
      <c r="M1108">
        <v>46062</v>
      </c>
      <c r="N1108">
        <v>0.41310185185185</v>
      </c>
      <c r="S1108" t="str">
        <v>X</v>
      </c>
      <c r="W1108" t="str">
        <v>S01K928294</v>
      </c>
    </row>
    <row r="1109">
      <c r="A1109" t="str">
        <v>WAPA</v>
      </c>
      <c r="B1109" t="str">
        <v>ZOTC_BP_REPORT</v>
      </c>
      <c r="C1109" t="str">
        <v>WAPP</v>
      </c>
      <c r="D1109" t="str">
        <v>ZOTC_BP_REPORT                UI556A6013932A2A32CAA38711D464A23F0B7A1DCDD</v>
      </c>
      <c r="G1109" t="str">
        <v>ALL</v>
      </c>
      <c r="K1109" t="str">
        <v>E</v>
      </c>
      <c r="L1109">
        <v>50103014</v>
      </c>
      <c r="M1109">
        <v>46062</v>
      </c>
      <c r="N1109">
        <v>0.41321759259259</v>
      </c>
      <c r="S1109" t="str">
        <v>X</v>
      </c>
      <c r="W1109" t="str">
        <v>S01K928294</v>
      </c>
    </row>
    <row r="1110">
      <c r="A1110" t="str">
        <v>WAPA</v>
      </c>
      <c r="B1110" t="str">
        <v>ZOTC_BP_REPORT</v>
      </c>
      <c r="C1110" t="str">
        <v>WAPP</v>
      </c>
      <c r="D1110" t="str">
        <v>ZOTC_BP_REPORT                UI557CF5CD537FC7FD6ABD94DE90D5321044743BE20</v>
      </c>
      <c r="G1110" t="str">
        <v>ALL</v>
      </c>
      <c r="K1110" t="str">
        <v>E</v>
      </c>
      <c r="L1110">
        <v>50103014</v>
      </c>
      <c r="M1110">
        <v>46062</v>
      </c>
      <c r="N1110">
        <v>0.41296296296296</v>
      </c>
      <c r="S1110" t="str">
        <v>X</v>
      </c>
      <c r="W1110" t="str">
        <v>S01K928294</v>
      </c>
    </row>
    <row r="1111">
      <c r="A1111" t="str">
        <v>WAPA</v>
      </c>
      <c r="B1111" t="str">
        <v>ZOTC_BP_REPORT</v>
      </c>
      <c r="C1111" t="str">
        <v>WAPP</v>
      </c>
      <c r="D1111" t="str">
        <v>ZOTC_BP_REPORT                UI557F04D0F381E678A0A473095824B521EB0ECBBCA</v>
      </c>
      <c r="G1111" t="str">
        <v>ALL</v>
      </c>
      <c r="K1111" t="str">
        <v>E</v>
      </c>
      <c r="L1111">
        <v>50103014</v>
      </c>
      <c r="M1111">
        <v>46062</v>
      </c>
      <c r="N1111">
        <v>0.41297453703704</v>
      </c>
      <c r="S1111" t="str">
        <v>X</v>
      </c>
      <c r="W1111" t="str">
        <v>S01K928294</v>
      </c>
    </row>
    <row r="1112">
      <c r="A1112" t="str">
        <v>WAPA</v>
      </c>
      <c r="B1112" t="str">
        <v>ZOTC_BP_REPORT</v>
      </c>
      <c r="C1112" t="str">
        <v>WAPP</v>
      </c>
      <c r="D1112" t="str">
        <v>ZOTC_BP_REPORT                UI559B6864302C6980054FCF29F5C33EBE40C00563D</v>
      </c>
      <c r="G1112" t="str">
        <v>ALL</v>
      </c>
      <c r="K1112" t="str">
        <v>E</v>
      </c>
      <c r="L1112">
        <v>50103014</v>
      </c>
      <c r="M1112">
        <v>46062</v>
      </c>
      <c r="N1112">
        <v>0.41315972222222</v>
      </c>
      <c r="S1112" t="str">
        <v>X</v>
      </c>
      <c r="W1112" t="str">
        <v>S01K928294</v>
      </c>
    </row>
    <row r="1113">
      <c r="A1113" t="str">
        <v>WAPA</v>
      </c>
      <c r="B1113" t="str">
        <v>ZOTC_BP_REPORT</v>
      </c>
      <c r="C1113" t="str">
        <v>WAPP</v>
      </c>
      <c r="D1113" t="str">
        <v>ZOTC_BP_REPORT                UI55FAE9C88CFB5C64A44152CB81EAAD834B8E6A6B0</v>
      </c>
      <c r="G1113" t="str">
        <v>ALL</v>
      </c>
      <c r="K1113" t="str">
        <v>E</v>
      </c>
      <c r="L1113">
        <v>50103014</v>
      </c>
      <c r="M1113">
        <v>46062</v>
      </c>
      <c r="N1113">
        <v>0.41320601851852</v>
      </c>
      <c r="S1113" t="str">
        <v>X</v>
      </c>
      <c r="W1113" t="str">
        <v>S01K928294</v>
      </c>
    </row>
    <row r="1114">
      <c r="A1114" t="str">
        <v>WAPA</v>
      </c>
      <c r="B1114" t="str">
        <v>ZOTC_BP_REPORT</v>
      </c>
      <c r="C1114" t="str">
        <v>WAPP</v>
      </c>
      <c r="D1114" t="str">
        <v>ZOTC_BP_REPORT                UI56B7DDDE0BB7BDA99E1F26FFBBFB6B15089878CBD</v>
      </c>
      <c r="G1114" t="str">
        <v>ALL</v>
      </c>
      <c r="K1114" t="str">
        <v>E</v>
      </c>
      <c r="L1114">
        <v>50103014</v>
      </c>
      <c r="M1114">
        <v>46062</v>
      </c>
      <c r="N1114">
        <v>0.41313657407407</v>
      </c>
      <c r="S1114" t="str">
        <v>X</v>
      </c>
      <c r="W1114" t="str">
        <v>S01K928294</v>
      </c>
    </row>
    <row r="1115">
      <c r="A1115" t="str">
        <v>WAPA</v>
      </c>
      <c r="B1115" t="str">
        <v>ZOTC_BP_REPORT</v>
      </c>
      <c r="C1115" t="str">
        <v>WAPP</v>
      </c>
      <c r="D1115" t="str">
        <v>ZOTC_BP_REPORT                UI571CDB8965B71F9F14CC8DBD35979CE7BF03E0D5D</v>
      </c>
      <c r="G1115" t="str">
        <v>ALL</v>
      </c>
      <c r="K1115" t="str">
        <v>E</v>
      </c>
      <c r="L1115">
        <v>50103014</v>
      </c>
      <c r="M1115">
        <v>46062</v>
      </c>
      <c r="N1115">
        <v>0.41325231481481</v>
      </c>
      <c r="S1115" t="str">
        <v>X</v>
      </c>
      <c r="W1115" t="str">
        <v>S01K928294</v>
      </c>
    </row>
    <row r="1116">
      <c r="A1116" t="str">
        <v>WAPA</v>
      </c>
      <c r="B1116" t="str">
        <v>ZOTC_BP_REPORT</v>
      </c>
      <c r="C1116" t="str">
        <v>WAPP</v>
      </c>
      <c r="D1116" t="str">
        <v>ZOTC_BP_REPORT                UI5868821F9C8EE69986F10A0331685556F3AF1FF5E</v>
      </c>
      <c r="G1116" t="str">
        <v>ALL</v>
      </c>
      <c r="K1116" t="str">
        <v>E</v>
      </c>
      <c r="L1116">
        <v>50103014</v>
      </c>
      <c r="M1116">
        <v>46062</v>
      </c>
      <c r="N1116">
        <v>0.41321759259259</v>
      </c>
      <c r="S1116" t="str">
        <v>X</v>
      </c>
      <c r="W1116" t="str">
        <v>S01K928294</v>
      </c>
    </row>
    <row r="1117">
      <c r="A1117" t="str">
        <v>WAPA</v>
      </c>
      <c r="B1117" t="str">
        <v>ZOTC_BP_REPORT</v>
      </c>
      <c r="C1117" t="str">
        <v>WAPP</v>
      </c>
      <c r="D1117" t="str">
        <v>ZOTC_BP_REPORT                UI5965CCBE567AC7A3B161F8F38EBA326F12F979B7E</v>
      </c>
      <c r="G1117" t="str">
        <v>ALL</v>
      </c>
      <c r="K1117" t="str">
        <v>E</v>
      </c>
      <c r="L1117">
        <v>50103014</v>
      </c>
      <c r="M1117">
        <v>46062</v>
      </c>
      <c r="N1117">
        <v>0.41315972222222</v>
      </c>
      <c r="S1117" t="str">
        <v>X</v>
      </c>
      <c r="W1117" t="str">
        <v>S01K928294</v>
      </c>
    </row>
    <row r="1118">
      <c r="A1118" t="str">
        <v>WAPA</v>
      </c>
      <c r="B1118" t="str">
        <v>ZOTC_BP_REPORT</v>
      </c>
      <c r="C1118" t="str">
        <v>WAPP</v>
      </c>
      <c r="D1118" t="str">
        <v>ZOTC_BP_REPORT                UI5998D97B267DCF6C31BD1569E8D040163B49B6B1B</v>
      </c>
      <c r="G1118" t="str">
        <v>ALL</v>
      </c>
      <c r="K1118" t="str">
        <v>E</v>
      </c>
      <c r="L1118">
        <v>50103014</v>
      </c>
      <c r="M1118">
        <v>46062</v>
      </c>
      <c r="N1118">
        <v>0.41293981481481</v>
      </c>
      <c r="S1118" t="str">
        <v>X</v>
      </c>
      <c r="W1118" t="str">
        <v>S01K928294</v>
      </c>
    </row>
    <row r="1119">
      <c r="A1119" t="str">
        <v>WAPA</v>
      </c>
      <c r="B1119" t="str">
        <v>ZOTC_BP_REPORT</v>
      </c>
      <c r="C1119" t="str">
        <v>WAPP</v>
      </c>
      <c r="D1119" t="str">
        <v>ZOTC_BP_REPORT                UI5A8F975298998C8C4C5BA02CD322A891D320070AF</v>
      </c>
      <c r="G1119" t="str">
        <v>ALL</v>
      </c>
      <c r="K1119" t="str">
        <v>E</v>
      </c>
      <c r="L1119">
        <v>50103014</v>
      </c>
      <c r="M1119">
        <v>46062</v>
      </c>
      <c r="N1119">
        <v>0.41305555555556</v>
      </c>
      <c r="S1119" t="str">
        <v>X</v>
      </c>
      <c r="W1119" t="str">
        <v>S01K928294</v>
      </c>
    </row>
    <row r="1120">
      <c r="A1120" t="str">
        <v>WAPA</v>
      </c>
      <c r="B1120" t="str">
        <v>ZOTC_BP_REPORT</v>
      </c>
      <c r="C1120" t="str">
        <v>WAPP</v>
      </c>
      <c r="D1120" t="str">
        <v>ZOTC_BP_REPORT                UI5B2B5D24238268DEF4FA05063EBE5142BBCACE17B</v>
      </c>
      <c r="G1120" t="str">
        <v>ALL</v>
      </c>
      <c r="K1120" t="str">
        <v>E</v>
      </c>
      <c r="L1120">
        <v>50103014</v>
      </c>
      <c r="M1120">
        <v>46062</v>
      </c>
      <c r="N1120">
        <v>0.41296296296296</v>
      </c>
      <c r="S1120" t="str">
        <v>X</v>
      </c>
      <c r="W1120" t="str">
        <v>S01K928294</v>
      </c>
    </row>
    <row r="1121">
      <c r="A1121" t="str">
        <v>WAPA</v>
      </c>
      <c r="B1121" t="str">
        <v>ZOTC_BP_REPORT</v>
      </c>
      <c r="C1121" t="str">
        <v>WAPP</v>
      </c>
      <c r="D1121" t="str">
        <v>ZOTC_BP_REPORT                UI5C1988FC21E729302CE0154DCECD5D701AFF8B551</v>
      </c>
      <c r="G1121" t="str">
        <v>ALL</v>
      </c>
      <c r="K1121" t="str">
        <v>E</v>
      </c>
      <c r="L1121">
        <v>50103014</v>
      </c>
      <c r="M1121">
        <v>46062</v>
      </c>
      <c r="N1121">
        <v>0.41700231481481</v>
      </c>
      <c r="S1121" t="str">
        <v>X</v>
      </c>
      <c r="W1121" t="str">
        <v>S01K928294</v>
      </c>
    </row>
    <row r="1122">
      <c r="A1122" t="str">
        <v>WAPA</v>
      </c>
      <c r="B1122" t="str">
        <v>ZOTC_BP_REPORT</v>
      </c>
      <c r="C1122" t="str">
        <v>WAPP</v>
      </c>
      <c r="D1122" t="str">
        <v>ZOTC_BP_REPORT                UI5CAAC2BDE6E3CD83E3B9C89C6883AEFF6B1381670</v>
      </c>
      <c r="G1122" t="str">
        <v>ALL</v>
      </c>
      <c r="K1122" t="str">
        <v>E</v>
      </c>
      <c r="L1122">
        <v>50103014</v>
      </c>
      <c r="M1122">
        <v>46062</v>
      </c>
      <c r="N1122">
        <v>0.4130787037037</v>
      </c>
      <c r="S1122" t="str">
        <v>X</v>
      </c>
      <c r="W1122" t="str">
        <v>S01K928294</v>
      </c>
    </row>
    <row r="1123">
      <c r="A1123" t="str">
        <v>WAPA</v>
      </c>
      <c r="B1123" t="str">
        <v>ZOTC_BP_REPORT</v>
      </c>
      <c r="C1123" t="str">
        <v>WAPP</v>
      </c>
      <c r="D1123" t="str">
        <v>ZOTC_BP_REPORT                UI5CF3CD78BBD25B7A257F19CBA1503018154391B01</v>
      </c>
      <c r="G1123" t="str">
        <v>ALL</v>
      </c>
      <c r="K1123" t="str">
        <v>E</v>
      </c>
      <c r="L1123">
        <v>50103014</v>
      </c>
      <c r="M1123">
        <v>46062</v>
      </c>
      <c r="N1123">
        <v>0.41313657407407</v>
      </c>
      <c r="S1123" t="str">
        <v>X</v>
      </c>
      <c r="W1123" t="str">
        <v>S01K928294</v>
      </c>
    </row>
    <row r="1124">
      <c r="A1124" t="str">
        <v>WAPA</v>
      </c>
      <c r="B1124" t="str">
        <v>ZOTC_BP_REPORT</v>
      </c>
      <c r="C1124" t="str">
        <v>WAPP</v>
      </c>
      <c r="D1124" t="str">
        <v>ZOTC_BP_REPORT                UI5D5187D1D3090AAC0B08A983FECA7CF10894C593C</v>
      </c>
      <c r="G1124" t="str">
        <v>ALL</v>
      </c>
      <c r="K1124" t="str">
        <v>E</v>
      </c>
      <c r="L1124">
        <v>50103014</v>
      </c>
      <c r="M1124">
        <v>46062</v>
      </c>
      <c r="N1124">
        <v>0.41303240740741</v>
      </c>
      <c r="S1124" t="str">
        <v>X</v>
      </c>
      <c r="W1124" t="str">
        <v>S01K928294</v>
      </c>
    </row>
    <row r="1125">
      <c r="A1125" t="str">
        <v>WAPA</v>
      </c>
      <c r="B1125" t="str">
        <v>ZOTC_BP_REPORT</v>
      </c>
      <c r="C1125" t="str">
        <v>WAPP</v>
      </c>
      <c r="D1125" t="str">
        <v>ZOTC_BP_REPORT                UI5D539B6B4715C410E48329ACFC9F1120507DE110A</v>
      </c>
      <c r="G1125" t="str">
        <v>ALL</v>
      </c>
      <c r="K1125" t="str">
        <v>E</v>
      </c>
      <c r="L1125">
        <v>50103014</v>
      </c>
      <c r="M1125">
        <v>46062</v>
      </c>
      <c r="N1125">
        <v>0.41318287037037</v>
      </c>
      <c r="S1125" t="str">
        <v>X</v>
      </c>
      <c r="W1125" t="str">
        <v>S01K928294</v>
      </c>
    </row>
    <row r="1126">
      <c r="A1126" t="str">
        <v>WAPA</v>
      </c>
      <c r="B1126" t="str">
        <v>ZOTC_BP_REPORT</v>
      </c>
      <c r="C1126" t="str">
        <v>WAPP</v>
      </c>
      <c r="D1126" t="str">
        <v>ZOTC_BP_REPORT                UI5D567F4642350713A335D6907E1B125BE9985422A</v>
      </c>
      <c r="G1126" t="str">
        <v>ALL</v>
      </c>
      <c r="K1126" t="str">
        <v>E</v>
      </c>
      <c r="L1126">
        <v>50103014</v>
      </c>
      <c r="M1126">
        <v>46062</v>
      </c>
      <c r="N1126">
        <v>0.41311342592593</v>
      </c>
      <c r="S1126" t="str">
        <v>X</v>
      </c>
      <c r="W1126" t="str">
        <v>S01K928294</v>
      </c>
    </row>
    <row r="1127">
      <c r="A1127" t="str">
        <v>WAPA</v>
      </c>
      <c r="B1127" t="str">
        <v>ZOTC_BP_REPORT</v>
      </c>
      <c r="C1127" t="str">
        <v>WAPP</v>
      </c>
      <c r="D1127" t="str">
        <v>ZOTC_BP_REPORT                UI5DADAFF58131ECB1A06A7736E7230B403006A6CE7</v>
      </c>
      <c r="G1127" t="str">
        <v>ALL</v>
      </c>
      <c r="K1127" t="str">
        <v>E</v>
      </c>
      <c r="L1127">
        <v>50103014</v>
      </c>
      <c r="M1127">
        <v>46062</v>
      </c>
      <c r="N1127">
        <v>0.41305555555556</v>
      </c>
      <c r="S1127" t="str">
        <v>X</v>
      </c>
      <c r="W1127" t="str">
        <v>S01K928294</v>
      </c>
    </row>
    <row r="1128">
      <c r="A1128" t="str">
        <v>WAPA</v>
      </c>
      <c r="B1128" t="str">
        <v>ZOTC_BP_REPORT</v>
      </c>
      <c r="C1128" t="str">
        <v>WAPP</v>
      </c>
      <c r="D1128" t="str">
        <v>ZOTC_BP_REPORT                UI5E6DE89ECBA225009DEED90D917340C8903272503</v>
      </c>
      <c r="G1128" t="str">
        <v>ALL</v>
      </c>
      <c r="K1128" t="str">
        <v>E</v>
      </c>
      <c r="L1128">
        <v>50103014</v>
      </c>
      <c r="M1128">
        <v>46062</v>
      </c>
      <c r="N1128">
        <v>0.41311342592593</v>
      </c>
      <c r="S1128" t="str">
        <v>X</v>
      </c>
      <c r="W1128" t="str">
        <v>S01K928294</v>
      </c>
    </row>
    <row r="1129">
      <c r="A1129" t="str">
        <v>WAPA</v>
      </c>
      <c r="B1129" t="str">
        <v>ZOTC_BP_REPORT</v>
      </c>
      <c r="C1129" t="str">
        <v>WAPP</v>
      </c>
      <c r="D1129" t="str">
        <v>ZOTC_BP_REPORT                UI5F7FB25B45418EDB770DA3CA0EEF583418C5EC372</v>
      </c>
      <c r="G1129" t="str">
        <v>ALL</v>
      </c>
      <c r="K1129" t="str">
        <v>E</v>
      </c>
      <c r="L1129">
        <v>50103014</v>
      </c>
      <c r="M1129">
        <v>46062</v>
      </c>
      <c r="N1129">
        <v>0.41309027777778</v>
      </c>
      <c r="S1129" t="str">
        <v>X</v>
      </c>
      <c r="W1129" t="str">
        <v>S01K928294</v>
      </c>
    </row>
    <row r="1130">
      <c r="A1130" t="str">
        <v>WAPA</v>
      </c>
      <c r="B1130" t="str">
        <v>ZOTC_BP_REPORT</v>
      </c>
      <c r="C1130" t="str">
        <v>WAPP</v>
      </c>
      <c r="D1130" t="str">
        <v>ZOTC_BP_REPORT                UI5F998A7BB9C7E61B337E31DA3925ABBEE36047825</v>
      </c>
      <c r="G1130" t="str">
        <v>ALL</v>
      </c>
      <c r="K1130" t="str">
        <v>E</v>
      </c>
      <c r="L1130">
        <v>50103014</v>
      </c>
      <c r="M1130">
        <v>46062</v>
      </c>
      <c r="N1130">
        <v>0.41295138888889</v>
      </c>
      <c r="S1130" t="str">
        <v>X</v>
      </c>
      <c r="W1130" t="str">
        <v>S01K928294</v>
      </c>
    </row>
    <row r="1131">
      <c r="A1131" t="str">
        <v>WAPA</v>
      </c>
      <c r="B1131" t="str">
        <v>ZOTC_BP_REPORT</v>
      </c>
      <c r="C1131" t="str">
        <v>WAPP</v>
      </c>
      <c r="D1131" t="str">
        <v>ZOTC_BP_REPORT                UI5FD1ED62F21608DB13F082AE5E707A803C15D5097</v>
      </c>
      <c r="G1131" t="str">
        <v>ALL</v>
      </c>
      <c r="K1131" t="str">
        <v>E</v>
      </c>
      <c r="L1131">
        <v>50103014</v>
      </c>
      <c r="M1131">
        <v>46062</v>
      </c>
      <c r="N1131">
        <v>0.41325231481481</v>
      </c>
      <c r="S1131" t="str">
        <v>X</v>
      </c>
      <c r="W1131" t="str">
        <v>S01K928294</v>
      </c>
    </row>
    <row r="1132">
      <c r="A1132" t="str">
        <v>WAPA</v>
      </c>
      <c r="B1132" t="str">
        <v>ZOTC_BP_REPORT</v>
      </c>
      <c r="C1132" t="str">
        <v>WAPP</v>
      </c>
      <c r="D1132" t="str">
        <v>ZOTC_BP_REPORT                UI5FDE3B716171F610D4A134B2A3C7753D2306B5DE1</v>
      </c>
      <c r="G1132" t="str">
        <v>ALL</v>
      </c>
      <c r="K1132" t="str">
        <v>E</v>
      </c>
      <c r="L1132">
        <v>50103014</v>
      </c>
      <c r="M1132">
        <v>46062</v>
      </c>
      <c r="N1132">
        <v>0.41701388888889</v>
      </c>
      <c r="S1132" t="str">
        <v>X</v>
      </c>
      <c r="W1132" t="str">
        <v>S01K928294</v>
      </c>
    </row>
    <row r="1133">
      <c r="A1133" t="str">
        <v>WAPA</v>
      </c>
      <c r="B1133" t="str">
        <v>ZOTC_BP_REPORT</v>
      </c>
      <c r="C1133" t="str">
        <v>WAPP</v>
      </c>
      <c r="D1133" t="str">
        <v>ZOTC_BP_REPORT                UI5REPOSITORYPATHMAPPING.XML</v>
      </c>
      <c r="G1133" t="str">
        <v>ALL</v>
      </c>
      <c r="K1133" t="str">
        <v>E</v>
      </c>
      <c r="L1133">
        <v>50103014</v>
      </c>
      <c r="M1133">
        <v>46062</v>
      </c>
      <c r="N1133">
        <v>0.41349537037037</v>
      </c>
      <c r="S1133" t="str">
        <v>X</v>
      </c>
      <c r="W1133" t="str">
        <v>S01K928294</v>
      </c>
    </row>
    <row r="1134">
      <c r="A1134" t="str">
        <v>WAPA</v>
      </c>
      <c r="B1134" t="str">
        <v>ZOTC_BP_REPORT</v>
      </c>
      <c r="C1134" t="str">
        <v>WAPP</v>
      </c>
      <c r="D1134" t="str">
        <v>ZOTC_BP_REPORT                VIEW/VIEW1.VIEW.XML</v>
      </c>
      <c r="G1134" t="str">
        <v>ALL</v>
      </c>
      <c r="K1134" t="str">
        <v>E</v>
      </c>
      <c r="L1134">
        <v>50103014</v>
      </c>
      <c r="M1134">
        <v>46062</v>
      </c>
      <c r="N1134">
        <v>0.41326388888889</v>
      </c>
      <c r="S1134" t="str">
        <v>X</v>
      </c>
      <c r="W1134" t="str">
        <v>S01K928294</v>
      </c>
    </row>
    <row r="1135">
      <c r="A1135" t="str">
        <v>WAPA</v>
      </c>
      <c r="B1135" t="str">
        <v>ZPTM_EXPL_BOM</v>
      </c>
      <c r="C1135" t="str">
        <v>WAPP</v>
      </c>
      <c r="D1135" t="str">
        <v>ZPTM_EXPL_BOM                 COMPONENT.JS</v>
      </c>
      <c r="G1135" t="str">
        <v>ALL</v>
      </c>
      <c r="K1135" t="str">
        <v>E</v>
      </c>
      <c r="L1135">
        <v>50117143</v>
      </c>
      <c r="M1135">
        <v>45147</v>
      </c>
      <c r="N1135">
        <v>0.59918981481481</v>
      </c>
      <c r="S1135" t="str">
        <v>X</v>
      </c>
      <c r="W1135" t="str">
        <v>S01K917332</v>
      </c>
    </row>
    <row r="1136">
      <c r="A1136" t="str">
        <v>WAPA</v>
      </c>
      <c r="B1136" t="str">
        <v>ZPTM_EXPL_BOM</v>
      </c>
      <c r="C1136" t="str">
        <v>WAPP</v>
      </c>
      <c r="D1136" t="str">
        <v>ZPTM_EXPL_BOM                 CONTROLLER/APP.CONTROLLER.JS</v>
      </c>
      <c r="G1136" t="str">
        <v>ALL</v>
      </c>
      <c r="K1136" t="str">
        <v>E</v>
      </c>
      <c r="L1136">
        <v>50117143</v>
      </c>
      <c r="M1136">
        <v>45147</v>
      </c>
      <c r="N1136">
        <v>0.59923611111111</v>
      </c>
      <c r="S1136" t="str">
        <v>X</v>
      </c>
      <c r="W1136" t="str">
        <v>S01K917332</v>
      </c>
    </row>
    <row r="1137">
      <c r="A1137" t="str">
        <v>WAPA</v>
      </c>
      <c r="B1137" t="str">
        <v>ZPTM_EXPL_BOM</v>
      </c>
      <c r="C1137" t="str">
        <v>WAPP</v>
      </c>
      <c r="D1137" t="str">
        <v>ZPTM_EXPL_BOM                 CONTROLLER/MAIN.CONTROLLER.JS</v>
      </c>
      <c r="G1137" t="str">
        <v>ALL</v>
      </c>
      <c r="K1137" t="str">
        <v>E</v>
      </c>
      <c r="L1137">
        <v>50117143</v>
      </c>
      <c r="M1137">
        <v>45147</v>
      </c>
      <c r="N1137">
        <v>0.59928240740741</v>
      </c>
      <c r="S1137" t="str">
        <v>X</v>
      </c>
      <c r="W1137" t="str">
        <v>S01K917332</v>
      </c>
    </row>
    <row r="1138">
      <c r="A1138" t="str">
        <v>WAPA</v>
      </c>
      <c r="B1138" t="str">
        <v>ZPTM_EXPL_BOM</v>
      </c>
      <c r="C1138" t="str">
        <v>WAPP</v>
      </c>
      <c r="D1138" t="str">
        <v>ZPTM_EXPL_BOM                 INDEX.HTML</v>
      </c>
      <c r="G1138" t="str">
        <v>ALL</v>
      </c>
      <c r="K1138" t="str">
        <v>E</v>
      </c>
      <c r="L1138">
        <v>50117143</v>
      </c>
      <c r="M1138">
        <v>45147</v>
      </c>
      <c r="N1138">
        <v>0.59929398148148</v>
      </c>
      <c r="S1138" t="str">
        <v>X</v>
      </c>
      <c r="W1138" t="str">
        <v>S01K917332</v>
      </c>
    </row>
    <row r="1139">
      <c r="A1139" t="str">
        <v>WAPA</v>
      </c>
      <c r="B1139" t="str">
        <v>ZPTM_EXPL_BOM</v>
      </c>
      <c r="C1139" t="str">
        <v>WAPP</v>
      </c>
      <c r="D1139" t="str">
        <v>ZPTM_EXPL_BOM                 LOCALSERVICE/MOCKSERVER.JS</v>
      </c>
      <c r="G1139" t="str">
        <v>ALL</v>
      </c>
      <c r="K1139" t="str">
        <v>E</v>
      </c>
      <c r="L1139">
        <v>50117143</v>
      </c>
      <c r="M1139">
        <v>45147</v>
      </c>
      <c r="N1139">
        <v>0.5993287037037</v>
      </c>
      <c r="S1139" t="str">
        <v>X</v>
      </c>
      <c r="W1139" t="str">
        <v>S01K917332</v>
      </c>
    </row>
    <row r="1140">
      <c r="A1140" t="str">
        <v>WAPA</v>
      </c>
      <c r="B1140" t="str">
        <v>ZPTM_EXPL_BOM</v>
      </c>
      <c r="C1140" t="str">
        <v>WAPP</v>
      </c>
      <c r="D1140" t="str">
        <v>ZPTM_EXPL_BOM                 MANIFEST.JSON</v>
      </c>
      <c r="G1140" t="str">
        <v>ALL</v>
      </c>
      <c r="K1140" t="str">
        <v>E</v>
      </c>
      <c r="L1140">
        <v>50117143</v>
      </c>
      <c r="M1140">
        <v>45147</v>
      </c>
      <c r="N1140">
        <v>0.59935185185185</v>
      </c>
      <c r="S1140" t="str">
        <v>X</v>
      </c>
      <c r="W1140" t="str">
        <v>S01K917332</v>
      </c>
    </row>
    <row r="1141">
      <c r="A1141" t="str">
        <v>WAPA</v>
      </c>
      <c r="B1141" t="str">
        <v>ZPTM_EXPL_BOM</v>
      </c>
      <c r="C1141" t="str">
        <v>WAPP</v>
      </c>
      <c r="D1141" t="str">
        <v>ZPTM_EXPL_BOM                 MODEL/MODELS.JS</v>
      </c>
      <c r="G1141" t="str">
        <v>ALL</v>
      </c>
      <c r="K1141" t="str">
        <v>E</v>
      </c>
      <c r="L1141">
        <v>50117143</v>
      </c>
      <c r="M1141">
        <v>45147</v>
      </c>
      <c r="N1141">
        <v>0.59938657407407</v>
      </c>
      <c r="S1141" t="str">
        <v>X</v>
      </c>
      <c r="W1141" t="str">
        <v>S01K917332</v>
      </c>
    </row>
    <row r="1142">
      <c r="A1142" t="str">
        <v>WAPA</v>
      </c>
      <c r="B1142" t="str">
        <v>ZPTM_EXPL_BOM</v>
      </c>
      <c r="C1142" t="str">
        <v>WAPP</v>
      </c>
      <c r="D1142" t="str">
        <v>ZPTM_EXPL_BOM                 UI514783AC34137995942BBB3596B85D3761CB5B436</v>
      </c>
      <c r="G1142" t="str">
        <v>ALL</v>
      </c>
      <c r="K1142" t="str">
        <v>E</v>
      </c>
      <c r="L1142">
        <v>50117143</v>
      </c>
      <c r="M1142">
        <v>45147</v>
      </c>
      <c r="N1142">
        <v>0.60012731481481</v>
      </c>
      <c r="S1142" t="str">
        <v>X</v>
      </c>
      <c r="W1142" t="str">
        <v>S01K917332</v>
      </c>
    </row>
    <row r="1143">
      <c r="A1143" t="str">
        <v>WAPA</v>
      </c>
      <c r="B1143" t="str">
        <v>ZPTM_EXPL_BOM</v>
      </c>
      <c r="C1143" t="str">
        <v>WAPP</v>
      </c>
      <c r="D1143" t="str">
        <v>ZPTM_EXPL_BOM                 UI51F3BB30A9796AB073FD9A6A39D9B6073B67C3E91</v>
      </c>
      <c r="G1143" t="str">
        <v>ALL</v>
      </c>
      <c r="K1143" t="str">
        <v>E</v>
      </c>
      <c r="L1143">
        <v>50117143</v>
      </c>
      <c r="M1143">
        <v>45147</v>
      </c>
      <c r="N1143">
        <v>0.60013888888889</v>
      </c>
      <c r="S1143" t="str">
        <v>X</v>
      </c>
      <c r="W1143" t="str">
        <v>S01K917332</v>
      </c>
    </row>
    <row r="1144">
      <c r="A1144" t="str">
        <v>WAPA</v>
      </c>
      <c r="B1144" t="str">
        <v>ZPTM_EXPL_BOM</v>
      </c>
      <c r="C1144" t="str">
        <v>WAPP</v>
      </c>
      <c r="D1144" t="str">
        <v>ZPTM_EXPL_BOM                 UI54531F75EB88227A431062A8105335935B6792E6A</v>
      </c>
      <c r="G1144" t="str">
        <v>ALL</v>
      </c>
      <c r="K1144" t="str">
        <v>E</v>
      </c>
      <c r="L1144">
        <v>50117143</v>
      </c>
      <c r="M1144">
        <v>45147</v>
      </c>
      <c r="N1144">
        <v>0.59931712962963</v>
      </c>
      <c r="S1144" t="str">
        <v>X</v>
      </c>
      <c r="W1144" t="str">
        <v>S01K917332</v>
      </c>
    </row>
    <row r="1145">
      <c r="A1145" t="str">
        <v>WAPA</v>
      </c>
      <c r="B1145" t="str">
        <v>ZPTM_TRACK_PROD</v>
      </c>
      <c r="C1145" t="str">
        <v>WAPP</v>
      </c>
      <c r="D1145" t="str">
        <v>ZPTM_TRACK_PROD               COMPONENT.JS</v>
      </c>
      <c r="G1145" t="str">
        <v>ALL</v>
      </c>
      <c r="K1145" t="str">
        <v>E</v>
      </c>
      <c r="L1145">
        <v>50103014</v>
      </c>
      <c r="M1145">
        <v>45433</v>
      </c>
      <c r="N1145">
        <v>0.42159722222222</v>
      </c>
      <c r="S1145" t="str">
        <v>X</v>
      </c>
      <c r="W1145" t="str">
        <v>S01K921582</v>
      </c>
    </row>
    <row r="1146">
      <c r="A1146" t="str">
        <v>WAPA</v>
      </c>
      <c r="B1146" t="str">
        <v>ZPTM_TRACK_PROD</v>
      </c>
      <c r="C1146" t="str">
        <v>WAPP</v>
      </c>
      <c r="D1146" t="str">
        <v>ZPTM_TRACK_PROD               COMPONENT.JS.MAP</v>
      </c>
      <c r="G1146" t="str">
        <v>ALL</v>
      </c>
      <c r="K1146" t="str">
        <v>E</v>
      </c>
      <c r="L1146">
        <v>50103014</v>
      </c>
      <c r="M1146">
        <v>45433</v>
      </c>
      <c r="N1146">
        <v>0.42159722222222</v>
      </c>
      <c r="S1146" t="str">
        <v>X</v>
      </c>
      <c r="W1146" t="str">
        <v>S01K921582</v>
      </c>
    </row>
    <row r="1147">
      <c r="A1147" t="str">
        <v>WAPA</v>
      </c>
      <c r="B1147" t="str">
        <v>ZPTM_TRACK_PROD</v>
      </c>
      <c r="C1147" t="str">
        <v>WAPP</v>
      </c>
      <c r="D1147" t="str">
        <v>ZPTM_TRACK_PROD               CONTROLLER/ORDER.CONTROLLER.JS</v>
      </c>
      <c r="G1147" t="str">
        <v>ALL</v>
      </c>
      <c r="K1147" t="str">
        <v>E</v>
      </c>
      <c r="L1147">
        <v>50103014</v>
      </c>
      <c r="M1147">
        <v>45433</v>
      </c>
      <c r="N1147">
        <v>0.4216087962963</v>
      </c>
      <c r="S1147" t="str">
        <v>X</v>
      </c>
      <c r="W1147" t="str">
        <v>S01K921582</v>
      </c>
    </row>
    <row r="1148">
      <c r="A1148" t="str">
        <v>WAPA</v>
      </c>
      <c r="B1148" t="str">
        <v>ZPTM_TRACK_PROD</v>
      </c>
      <c r="C1148" t="str">
        <v>WAPP</v>
      </c>
      <c r="D1148" t="str">
        <v>ZPTM_TRACK_PROD               CONTROLLER/ORDER.CONTROLLER.JS.MAP</v>
      </c>
      <c r="G1148" t="str">
        <v>ALL</v>
      </c>
      <c r="K1148" t="str">
        <v>E</v>
      </c>
      <c r="L1148">
        <v>50103014</v>
      </c>
      <c r="M1148">
        <v>45433</v>
      </c>
      <c r="N1148">
        <v>0.4216087962963</v>
      </c>
      <c r="S1148" t="str">
        <v>X</v>
      </c>
      <c r="W1148" t="str">
        <v>S01K921582</v>
      </c>
    </row>
    <row r="1149">
      <c r="A1149" t="str">
        <v>WAPA</v>
      </c>
      <c r="B1149" t="str">
        <v>ZPTM_TRACK_PROD</v>
      </c>
      <c r="C1149" t="str">
        <v>WAPP</v>
      </c>
      <c r="D1149" t="str">
        <v>ZPTM_TRACK_PROD               CSS/STYLE.CSS</v>
      </c>
      <c r="G1149" t="str">
        <v>ALL</v>
      </c>
      <c r="K1149" t="str">
        <v>E</v>
      </c>
      <c r="L1149">
        <v>50103014</v>
      </c>
      <c r="M1149">
        <v>44229</v>
      </c>
      <c r="N1149">
        <v>0.59938657407407</v>
      </c>
      <c r="S1149" t="str">
        <v>X</v>
      </c>
      <c r="W1149" t="str">
        <v>S01K910640</v>
      </c>
    </row>
    <row r="1150">
      <c r="A1150" t="str">
        <v>WAPA</v>
      </c>
      <c r="B1150" t="str">
        <v>ZPTM_TRACK_PROD</v>
      </c>
      <c r="C1150" t="str">
        <v>WAPP</v>
      </c>
      <c r="D1150" t="str">
        <v>ZPTM_TRACK_PROD               I18N/I18N.PROPERTIES</v>
      </c>
      <c r="G1150" t="str">
        <v>ALL</v>
      </c>
      <c r="K1150" t="str">
        <v>E</v>
      </c>
      <c r="L1150">
        <v>50103014</v>
      </c>
      <c r="M1150">
        <v>44229</v>
      </c>
      <c r="N1150">
        <v>0.59943287037037</v>
      </c>
      <c r="S1150" t="str">
        <v>X</v>
      </c>
      <c r="W1150" t="str">
        <v>S01K910640</v>
      </c>
    </row>
    <row r="1151">
      <c r="A1151" t="str">
        <v>WAPA</v>
      </c>
      <c r="B1151" t="str">
        <v>ZPTM_TRACK_PROD</v>
      </c>
      <c r="C1151" t="str">
        <v>WAPP</v>
      </c>
      <c r="D1151" t="str">
        <v>ZPTM_TRACK_PROD               INDEX.HTML</v>
      </c>
      <c r="G1151" t="str">
        <v>ALL</v>
      </c>
      <c r="K1151" t="str">
        <v>E</v>
      </c>
      <c r="L1151">
        <v>50103014</v>
      </c>
      <c r="M1151">
        <v>45433</v>
      </c>
      <c r="N1151">
        <v>0.42162037037037</v>
      </c>
      <c r="S1151" t="str">
        <v>X</v>
      </c>
      <c r="W1151" t="str">
        <v>S01K921582</v>
      </c>
    </row>
    <row r="1152">
      <c r="A1152" t="str">
        <v>WAPA</v>
      </c>
      <c r="B1152" t="str">
        <v>ZPTM_TRACK_PROD</v>
      </c>
      <c r="C1152" t="str">
        <v>WAPP</v>
      </c>
      <c r="D1152" t="str">
        <v>ZPTM_TRACK_PROD               LOCALSERVICE/METADATA.XML</v>
      </c>
      <c r="G1152" t="str">
        <v>ALL</v>
      </c>
      <c r="K1152" t="str">
        <v>E</v>
      </c>
      <c r="L1152">
        <v>50103014</v>
      </c>
      <c r="M1152">
        <v>44229</v>
      </c>
      <c r="N1152">
        <v>0.59939814814815</v>
      </c>
      <c r="S1152" t="str">
        <v>X</v>
      </c>
      <c r="W1152" t="str">
        <v>S01K910640</v>
      </c>
    </row>
    <row r="1153">
      <c r="A1153" t="str">
        <v>WAPA</v>
      </c>
      <c r="B1153" t="str">
        <v>ZPTM_TRACK_PROD</v>
      </c>
      <c r="C1153" t="str">
        <v>WAPP</v>
      </c>
      <c r="D1153" t="str">
        <v>ZPTM_TRACK_PROD               LOCALSERVICE/MOCKSERVER.JS</v>
      </c>
      <c r="G1153" t="str">
        <v>ALL</v>
      </c>
      <c r="K1153" t="str">
        <v>E</v>
      </c>
      <c r="L1153">
        <v>50103014</v>
      </c>
      <c r="M1153">
        <v>45433</v>
      </c>
      <c r="N1153">
        <v>0.42165509259259</v>
      </c>
      <c r="S1153" t="str">
        <v>X</v>
      </c>
      <c r="W1153" t="str">
        <v>S01K921582</v>
      </c>
    </row>
    <row r="1154">
      <c r="A1154" t="str">
        <v>WAPA</v>
      </c>
      <c r="B1154" t="str">
        <v>ZPTM_TRACK_PROD</v>
      </c>
      <c r="C1154" t="str">
        <v>WAPP</v>
      </c>
      <c r="D1154" t="str">
        <v>ZPTM_TRACK_PROD               LOCALSERVICE/MOCKSERVER.JS.MAP</v>
      </c>
      <c r="G1154" t="str">
        <v>ALL</v>
      </c>
      <c r="K1154" t="str">
        <v>E</v>
      </c>
      <c r="L1154">
        <v>50103014</v>
      </c>
      <c r="M1154">
        <v>45433</v>
      </c>
      <c r="N1154">
        <v>0.42166666666667</v>
      </c>
      <c r="S1154" t="str">
        <v>X</v>
      </c>
      <c r="W1154" t="str">
        <v>S01K921582</v>
      </c>
    </row>
    <row r="1155">
      <c r="A1155" t="str">
        <v>WAPA</v>
      </c>
      <c r="B1155" t="str">
        <v>ZPTM_TRACK_PROD</v>
      </c>
      <c r="C1155" t="str">
        <v>WAPP</v>
      </c>
      <c r="D1155" t="str">
        <v>ZPTM_TRACK_PROD               LOCALSERVICE/ZMM_PO_COMMENT_SRV/METADATA.XML</v>
      </c>
      <c r="G1155" t="str">
        <v>ALL</v>
      </c>
      <c r="K1155" t="str">
        <v>E</v>
      </c>
      <c r="L1155">
        <v>50103014</v>
      </c>
      <c r="M1155">
        <v>44229</v>
      </c>
      <c r="N1155">
        <v>0.59952546296296</v>
      </c>
      <c r="S1155" t="str">
        <v>X</v>
      </c>
      <c r="W1155" t="str">
        <v>S01K910640</v>
      </c>
    </row>
    <row r="1156">
      <c r="A1156" t="str">
        <v>WAPA</v>
      </c>
      <c r="B1156" t="str">
        <v>ZPTM_TRACK_PROD</v>
      </c>
      <c r="C1156" t="str">
        <v>WAPP</v>
      </c>
      <c r="D1156" t="str">
        <v>ZPTM_TRACK_PROD               MANIFEST.JSON</v>
      </c>
      <c r="G1156" t="str">
        <v>ALL</v>
      </c>
      <c r="K1156" t="str">
        <v>E</v>
      </c>
      <c r="L1156">
        <v>50103014</v>
      </c>
      <c r="M1156">
        <v>44229</v>
      </c>
      <c r="N1156">
        <v>0.59936342592593</v>
      </c>
      <c r="S1156" t="str">
        <v>X</v>
      </c>
      <c r="W1156" t="str">
        <v>S01K910640</v>
      </c>
    </row>
    <row r="1157">
      <c r="A1157" t="str">
        <v>WAPA</v>
      </c>
      <c r="B1157" t="str">
        <v>ZPTM_TRACK_PROD</v>
      </c>
      <c r="C1157" t="str">
        <v>WAPP</v>
      </c>
      <c r="D1157" t="str">
        <v>ZPTM_TRACK_PROD               MODEL/FORMATTER.JS</v>
      </c>
      <c r="G1157" t="str">
        <v>ALL</v>
      </c>
      <c r="K1157" t="str">
        <v>E</v>
      </c>
      <c r="L1157">
        <v>50103014</v>
      </c>
      <c r="M1157">
        <v>45433</v>
      </c>
      <c r="N1157">
        <v>0.42167824074074</v>
      </c>
      <c r="S1157" t="str">
        <v>X</v>
      </c>
      <c r="W1157" t="str">
        <v>S01K921582</v>
      </c>
    </row>
    <row r="1158">
      <c r="A1158" t="str">
        <v>WAPA</v>
      </c>
      <c r="B1158" t="str">
        <v>ZPTM_TRACK_PROD</v>
      </c>
      <c r="C1158" t="str">
        <v>WAPP</v>
      </c>
      <c r="D1158" t="str">
        <v>ZPTM_TRACK_PROD               MODEL/FORMATTER.JS.MAP</v>
      </c>
      <c r="G1158" t="str">
        <v>ALL</v>
      </c>
      <c r="K1158" t="str">
        <v>E</v>
      </c>
      <c r="L1158">
        <v>50103014</v>
      </c>
      <c r="M1158">
        <v>45433</v>
      </c>
      <c r="N1158">
        <v>0.42167824074074</v>
      </c>
      <c r="S1158" t="str">
        <v>X</v>
      </c>
      <c r="W1158" t="str">
        <v>S01K921582</v>
      </c>
    </row>
    <row r="1159">
      <c r="A1159" t="str">
        <v>WAPA</v>
      </c>
      <c r="B1159" t="str">
        <v>ZPTM_TRACK_PROD</v>
      </c>
      <c r="C1159" t="str">
        <v>WAPP</v>
      </c>
      <c r="D1159" t="str">
        <v>ZPTM_TRACK_PROD               MODEL/MODELS.JS</v>
      </c>
      <c r="G1159" t="str">
        <v>ALL</v>
      </c>
      <c r="K1159" t="str">
        <v>E</v>
      </c>
      <c r="L1159">
        <v>50103014</v>
      </c>
      <c r="M1159">
        <v>45433</v>
      </c>
      <c r="N1159">
        <v>0.42168981481481</v>
      </c>
      <c r="S1159" t="str">
        <v>X</v>
      </c>
      <c r="W1159" t="str">
        <v>S01K921582</v>
      </c>
    </row>
    <row r="1160">
      <c r="A1160" t="str">
        <v>WAPA</v>
      </c>
      <c r="B1160" t="str">
        <v>ZPTM_TRACK_PROD</v>
      </c>
      <c r="C1160" t="str">
        <v>WAPP</v>
      </c>
      <c r="D1160" t="str">
        <v>ZPTM_TRACK_PROD               MODEL/MODELS.JS.MAP</v>
      </c>
      <c r="G1160" t="str">
        <v>ALL</v>
      </c>
      <c r="K1160" t="str">
        <v>E</v>
      </c>
      <c r="L1160">
        <v>50103014</v>
      </c>
      <c r="M1160">
        <v>45433</v>
      </c>
      <c r="N1160">
        <v>0.42170138888889</v>
      </c>
      <c r="S1160" t="str">
        <v>X</v>
      </c>
      <c r="W1160" t="str">
        <v>S01K921582</v>
      </c>
    </row>
    <row r="1161">
      <c r="A1161" t="str">
        <v>WAPA</v>
      </c>
      <c r="B1161" t="str">
        <v>ZPTM_TRACK_PROD</v>
      </c>
      <c r="C1161" t="str">
        <v>WAPP</v>
      </c>
      <c r="D1161" t="str">
        <v>ZPTM_TRACK_PROD               SERVICEBINDING.JS</v>
      </c>
      <c r="G1161" t="str">
        <v>ALL</v>
      </c>
      <c r="K1161" t="str">
        <v>E</v>
      </c>
      <c r="L1161">
        <v>50103014</v>
      </c>
      <c r="M1161">
        <v>45433</v>
      </c>
      <c r="N1161">
        <v>0.42171296296296</v>
      </c>
      <c r="S1161" t="str">
        <v>X</v>
      </c>
      <c r="W1161" t="str">
        <v>S01K921582</v>
      </c>
    </row>
    <row r="1162">
      <c r="A1162" t="str">
        <v>WAPA</v>
      </c>
      <c r="B1162" t="str">
        <v>ZPTM_TRACK_PROD</v>
      </c>
      <c r="C1162" t="str">
        <v>WAPP</v>
      </c>
      <c r="D1162" t="str">
        <v>ZPTM_TRACK_PROD               SERVICEBINDING.JS.MAP</v>
      </c>
      <c r="G1162" t="str">
        <v>ALL</v>
      </c>
      <c r="K1162" t="str">
        <v>E</v>
      </c>
      <c r="L1162">
        <v>50103014</v>
      </c>
      <c r="M1162">
        <v>45433</v>
      </c>
      <c r="N1162">
        <v>0.42172453703704</v>
      </c>
      <c r="S1162" t="str">
        <v>X</v>
      </c>
      <c r="W1162" t="str">
        <v>S01K921582</v>
      </c>
    </row>
    <row r="1163">
      <c r="A1163" t="str">
        <v>WAPA</v>
      </c>
      <c r="B1163" t="str">
        <v>ZPTM_TRACK_PROD</v>
      </c>
      <c r="C1163" t="str">
        <v>WAPP</v>
      </c>
      <c r="D1163" t="str">
        <v>ZPTM_TRACK_PROD               UI514783AC34137995942BBB3596B85D3761CB5B436</v>
      </c>
      <c r="G1163" t="str">
        <v>ALL</v>
      </c>
      <c r="K1163" t="str">
        <v>E</v>
      </c>
      <c r="L1163">
        <v>50103014</v>
      </c>
      <c r="M1163">
        <v>45433</v>
      </c>
      <c r="N1163">
        <v>0.42172453703704</v>
      </c>
      <c r="S1163" t="str">
        <v>X</v>
      </c>
      <c r="W1163" t="str">
        <v>S01K921582</v>
      </c>
    </row>
    <row r="1164">
      <c r="A1164" t="str">
        <v>WAPA</v>
      </c>
      <c r="B1164" t="str">
        <v>ZPTM_TRACK_PROD</v>
      </c>
      <c r="C1164" t="str">
        <v>WAPP</v>
      </c>
      <c r="D1164" t="str">
        <v>ZPTM_TRACK_PROD               UI515EB02A6E971B4445D2D77BC8335201783574BB9</v>
      </c>
      <c r="G1164" t="str">
        <v>ALL</v>
      </c>
      <c r="K1164" t="str">
        <v>E</v>
      </c>
      <c r="L1164">
        <v>50103014</v>
      </c>
      <c r="M1164">
        <v>45433</v>
      </c>
      <c r="N1164">
        <v>0.4216087962963</v>
      </c>
      <c r="S1164" t="str">
        <v>X</v>
      </c>
      <c r="W1164" t="str">
        <v>S01K921582</v>
      </c>
    </row>
    <row r="1165">
      <c r="A1165" t="str">
        <v>WAPA</v>
      </c>
      <c r="B1165" t="str">
        <v>ZPTM_TRACK_PROD</v>
      </c>
      <c r="C1165" t="str">
        <v>WAPP</v>
      </c>
      <c r="D1165" t="str">
        <v>ZPTM_TRACK_PROD               UI51F3BB30A9796AB073FD9A6A39D9B6073B67C3E91</v>
      </c>
      <c r="G1165" t="str">
        <v>ALL</v>
      </c>
      <c r="K1165" t="str">
        <v>E</v>
      </c>
      <c r="L1165">
        <v>50103014</v>
      </c>
      <c r="M1165">
        <v>45433</v>
      </c>
      <c r="N1165">
        <v>0.42173611111111</v>
      </c>
      <c r="S1165" t="str">
        <v>X</v>
      </c>
      <c r="W1165" t="str">
        <v>S01K921582</v>
      </c>
    </row>
    <row r="1166">
      <c r="A1166" t="str">
        <v>WAPA</v>
      </c>
      <c r="B1166" t="str">
        <v>ZPTM_TRACK_PROD</v>
      </c>
      <c r="C1166" t="str">
        <v>WAPP</v>
      </c>
      <c r="D1166" t="str">
        <v>ZPTM_TRACK_PROD               UI5429D1FCC905A37DCC96B86C417CD8ED860AFEEE5</v>
      </c>
      <c r="G1166" t="str">
        <v>ALL</v>
      </c>
      <c r="K1166" t="str">
        <v>E</v>
      </c>
      <c r="L1166">
        <v>50103014</v>
      </c>
      <c r="M1166">
        <v>44229</v>
      </c>
      <c r="N1166">
        <v>0.59943287037037</v>
      </c>
      <c r="S1166" t="str">
        <v>X</v>
      </c>
      <c r="W1166" t="str">
        <v>S01K910640</v>
      </c>
    </row>
    <row r="1167">
      <c r="A1167" t="str">
        <v>WAPA</v>
      </c>
      <c r="B1167" t="str">
        <v>ZPTM_TRACK_PROD</v>
      </c>
      <c r="C1167" t="str">
        <v>WAPP</v>
      </c>
      <c r="D1167" t="str">
        <v>ZPTM_TRACK_PROD               UI54531F75EB88227A431062A8105335935B6792E6A</v>
      </c>
      <c r="G1167" t="str">
        <v>ALL</v>
      </c>
      <c r="K1167" t="str">
        <v>E</v>
      </c>
      <c r="L1167">
        <v>50103014</v>
      </c>
      <c r="M1167">
        <v>45433</v>
      </c>
      <c r="N1167">
        <v>0.42165509259259</v>
      </c>
      <c r="S1167" t="str">
        <v>X</v>
      </c>
      <c r="W1167" t="str">
        <v>S01K921582</v>
      </c>
    </row>
    <row r="1168">
      <c r="A1168" t="str">
        <v>WAPA</v>
      </c>
      <c r="B1168" t="str">
        <v>ZPTM_TRACK_PROD</v>
      </c>
      <c r="C1168" t="str">
        <v>WAPP</v>
      </c>
      <c r="D1168" t="str">
        <v>ZPTM_TRACK_PROD               UI546CCB7BA293F78299C9795D5CFCCB84DBB075535</v>
      </c>
      <c r="G1168" t="str">
        <v>ALL</v>
      </c>
      <c r="K1168" t="str">
        <v>E</v>
      </c>
      <c r="L1168">
        <v>50103014</v>
      </c>
      <c r="M1168">
        <v>45433</v>
      </c>
      <c r="N1168">
        <v>0.42171296296296</v>
      </c>
      <c r="S1168" t="str">
        <v>X</v>
      </c>
      <c r="W1168" t="str">
        <v>S01K921582</v>
      </c>
    </row>
    <row r="1169">
      <c r="A1169" t="str">
        <v>WAPA</v>
      </c>
      <c r="B1169" t="str">
        <v>ZPTM_TRACK_PROD</v>
      </c>
      <c r="C1169" t="str">
        <v>WAPP</v>
      </c>
      <c r="D1169" t="str">
        <v>ZPTM_TRACK_PROD               UI557CF5CD537FC7FD6ABD94DE90D5321044743BE20</v>
      </c>
      <c r="G1169" t="str">
        <v>ALL</v>
      </c>
      <c r="K1169" t="str">
        <v>E</v>
      </c>
      <c r="L1169">
        <v>50103014</v>
      </c>
      <c r="M1169">
        <v>45433</v>
      </c>
      <c r="N1169">
        <v>0.42158564814815</v>
      </c>
      <c r="S1169" t="str">
        <v>X</v>
      </c>
      <c r="W1169" t="str">
        <v>S01K921582</v>
      </c>
    </row>
    <row r="1170">
      <c r="A1170" t="str">
        <v>WAPA</v>
      </c>
      <c r="B1170" t="str">
        <v>ZPTM_TRACK_PROD</v>
      </c>
      <c r="C1170" t="str">
        <v>WAPP</v>
      </c>
      <c r="D1170" t="str">
        <v>ZPTM_TRACK_PROD               UI5998D97B267DCF6C31BD1569E8D040163B49B6B1B</v>
      </c>
      <c r="G1170" t="str">
        <v>ALL</v>
      </c>
      <c r="K1170" t="str">
        <v>E</v>
      </c>
      <c r="L1170">
        <v>50103014</v>
      </c>
      <c r="M1170">
        <v>45433</v>
      </c>
      <c r="N1170">
        <v>0.4215625</v>
      </c>
      <c r="S1170" t="str">
        <v>X</v>
      </c>
      <c r="W1170" t="str">
        <v>S01K921582</v>
      </c>
    </row>
    <row r="1171">
      <c r="A1171" t="str">
        <v>WAPA</v>
      </c>
      <c r="B1171" t="str">
        <v>ZPTM_TRACK_PROD</v>
      </c>
      <c r="C1171" t="str">
        <v>WAPP</v>
      </c>
      <c r="D1171" t="str">
        <v>ZPTM_TRACK_PROD               UI5A8C70B942996B9B747AB703907FC9909F0E361DD</v>
      </c>
      <c r="G1171" t="str">
        <v>ALL</v>
      </c>
      <c r="K1171" t="str">
        <v>E</v>
      </c>
      <c r="L1171">
        <v>50103014</v>
      </c>
      <c r="M1171">
        <v>45433</v>
      </c>
      <c r="N1171">
        <v>0.42166666666667</v>
      </c>
      <c r="S1171" t="str">
        <v>X</v>
      </c>
      <c r="W1171" t="str">
        <v>S01K921582</v>
      </c>
    </row>
    <row r="1172">
      <c r="A1172" t="str">
        <v>WAPA</v>
      </c>
      <c r="B1172" t="str">
        <v>ZPTM_TRACK_PROD</v>
      </c>
      <c r="C1172" t="str">
        <v>WAPP</v>
      </c>
      <c r="D1172" t="str">
        <v>ZPTM_TRACK_PROD               UI5A8F975298998C8C4C5BA02CD322A891D320070AF</v>
      </c>
      <c r="G1172" t="str">
        <v>ALL</v>
      </c>
      <c r="K1172" t="str">
        <v>E</v>
      </c>
      <c r="L1172">
        <v>50103014</v>
      </c>
      <c r="M1172">
        <v>45433</v>
      </c>
      <c r="N1172">
        <v>0.42168981481481</v>
      </c>
      <c r="S1172" t="str">
        <v>X</v>
      </c>
      <c r="W1172" t="str">
        <v>S01K921582</v>
      </c>
    </row>
    <row r="1173">
      <c r="A1173" t="str">
        <v>WAPA</v>
      </c>
      <c r="B1173" t="str">
        <v>ZPTM_TRACK_PROD</v>
      </c>
      <c r="C1173" t="str">
        <v>WAPP</v>
      </c>
      <c r="D1173" t="str">
        <v>ZPTM_TRACK_PROD               UI5B2B5D24238268DEF4FA05063EBE5142BBCACE17B</v>
      </c>
      <c r="G1173" t="str">
        <v>ALL</v>
      </c>
      <c r="K1173" t="str">
        <v>E</v>
      </c>
      <c r="L1173">
        <v>50103014</v>
      </c>
      <c r="M1173">
        <v>45433</v>
      </c>
      <c r="N1173">
        <v>0.45664351851852</v>
      </c>
      <c r="S1173" t="str">
        <v>X</v>
      </c>
      <c r="W1173" t="str">
        <v>S01K921582</v>
      </c>
    </row>
    <row r="1174">
      <c r="A1174" t="str">
        <v>WAPA</v>
      </c>
      <c r="B1174" t="str">
        <v>ZPTM_TRACK_PROD</v>
      </c>
      <c r="C1174" t="str">
        <v>WAPP</v>
      </c>
      <c r="D1174" t="str">
        <v>ZPTM_TRACK_PROD               UI5C1988FC21E729302CE0154DCECD5D701AFF8B551</v>
      </c>
      <c r="G1174" t="str">
        <v>ALL</v>
      </c>
      <c r="K1174" t="str">
        <v>E</v>
      </c>
      <c r="L1174">
        <v>50103014</v>
      </c>
      <c r="M1174">
        <v>45433</v>
      </c>
      <c r="N1174">
        <v>0.45664351851852</v>
      </c>
      <c r="S1174" t="str">
        <v>X</v>
      </c>
      <c r="W1174" t="str">
        <v>S01K921582</v>
      </c>
    </row>
    <row r="1175">
      <c r="A1175" t="str">
        <v>WAPA</v>
      </c>
      <c r="B1175" t="str">
        <v>ZPTM_TRACK_PROD</v>
      </c>
      <c r="C1175" t="str">
        <v>WAPP</v>
      </c>
      <c r="D1175" t="str">
        <v>ZPTM_TRACK_PROD               UI5F998A7BB9C7E61B337E31DA3925ABBEE36047825</v>
      </c>
      <c r="G1175" t="str">
        <v>ALL</v>
      </c>
      <c r="K1175" t="str">
        <v>E</v>
      </c>
      <c r="L1175">
        <v>50103014</v>
      </c>
      <c r="M1175">
        <v>45433</v>
      </c>
      <c r="N1175">
        <v>0.4215625</v>
      </c>
      <c r="S1175" t="str">
        <v>X</v>
      </c>
      <c r="W1175" t="str">
        <v>S01K921582</v>
      </c>
    </row>
    <row r="1176">
      <c r="A1176" t="str">
        <v>WAPA</v>
      </c>
      <c r="B1176" t="str">
        <v>ZPTM_TRACK_PROD</v>
      </c>
      <c r="C1176" t="str">
        <v>WAPP</v>
      </c>
      <c r="D1176" t="str">
        <v>ZPTM_TRACK_PROD               UI5FD1ED62F21608DB13F082AE5E707A803C15D5097</v>
      </c>
      <c r="G1176" t="str">
        <v>ALL</v>
      </c>
      <c r="K1176" t="str">
        <v>E</v>
      </c>
      <c r="L1176">
        <v>50103014</v>
      </c>
      <c r="M1176">
        <v>45433</v>
      </c>
      <c r="N1176">
        <v>0.42173611111111</v>
      </c>
      <c r="S1176" t="str">
        <v>X</v>
      </c>
      <c r="W1176" t="str">
        <v>S01K921582</v>
      </c>
    </row>
    <row r="1177">
      <c r="A1177" t="str">
        <v>WAPA</v>
      </c>
      <c r="B1177" t="str">
        <v>ZPTM_TRACK_PROD</v>
      </c>
      <c r="C1177" t="str">
        <v>WAPP</v>
      </c>
      <c r="D1177" t="str">
        <v>ZPTM_TRACK_PROD               UI5REPOSITORYPATHMAPPING.XML</v>
      </c>
      <c r="G1177" t="str">
        <v>ALL</v>
      </c>
      <c r="K1177" t="str">
        <v>E</v>
      </c>
      <c r="L1177">
        <v>50103014</v>
      </c>
      <c r="M1177">
        <v>45433</v>
      </c>
      <c r="N1177">
        <v>0.4221412037037</v>
      </c>
      <c r="S1177" t="str">
        <v>X</v>
      </c>
      <c r="W1177" t="str">
        <v>S01K921582</v>
      </c>
    </row>
    <row r="1178">
      <c r="A1178" t="str">
        <v>WAPA</v>
      </c>
      <c r="B1178" t="str">
        <v>ZPTM_TRACK_PROD</v>
      </c>
      <c r="C1178" t="str">
        <v>WAPP</v>
      </c>
      <c r="D1178" t="str">
        <v>ZPTM_TRACK_PROD               VIEW/ORDER.VIEW.XML</v>
      </c>
      <c r="G1178" t="str">
        <v>ALL</v>
      </c>
      <c r="K1178" t="str">
        <v>E</v>
      </c>
      <c r="L1178">
        <v>50103014</v>
      </c>
      <c r="M1178">
        <v>45433</v>
      </c>
      <c r="N1178">
        <v>0.45665509259259</v>
      </c>
      <c r="S1178" t="str">
        <v>X</v>
      </c>
      <c r="W1178" t="str">
        <v>S01K921582</v>
      </c>
    </row>
    <row r="1179">
      <c r="A1179" t="str">
        <v>WAPA</v>
      </c>
      <c r="B1179" t="str">
        <v>ZPTM_TRACK_PROD</v>
      </c>
      <c r="C1179" t="str">
        <v>WAPP</v>
      </c>
      <c r="D1179" t="str">
        <v>ZPTM_TRACK_PROD               VIEW/POPOVER.FRAGMENT.XML</v>
      </c>
      <c r="G1179" t="str">
        <v>ALL</v>
      </c>
      <c r="K1179" t="str">
        <v>E</v>
      </c>
      <c r="L1179">
        <v>50103014</v>
      </c>
      <c r="M1179">
        <v>44229</v>
      </c>
      <c r="N1179">
        <v>0.59940972222222</v>
      </c>
      <c r="S1179" t="str">
        <v>X</v>
      </c>
      <c r="W1179" t="str">
        <v>S01K910640</v>
      </c>
    </row>
    <row r="1180">
      <c r="A1180" t="str">
        <v>WAPA</v>
      </c>
      <c r="B1180" t="str">
        <v>ZPTM_TRACK_PROD</v>
      </c>
      <c r="C1180" t="str">
        <v>WAPP</v>
      </c>
      <c r="D1180" t="str">
        <v>ZPTM_TRACK_PROD               VIEW/POPOVER1.FRAGMENT.XML</v>
      </c>
      <c r="G1180" t="str">
        <v>ALL</v>
      </c>
      <c r="K1180" t="str">
        <v>E</v>
      </c>
      <c r="L1180">
        <v>50103014</v>
      </c>
      <c r="M1180">
        <v>44229</v>
      </c>
      <c r="N1180">
        <v>0.5994212962963</v>
      </c>
      <c r="S1180" t="str">
        <v>X</v>
      </c>
      <c r="W1180" t="str">
        <v>S01K910640</v>
      </c>
    </row>
    <row r="1181">
      <c r="A1181" t="str">
        <v>WAPA</v>
      </c>
      <c r="B1181" t="str">
        <v>ZPTP_EXPEDITEPO</v>
      </c>
      <c r="C1181" t="str">
        <v>WAPP</v>
      </c>
      <c r="D1181" t="str">
        <v>ZPTP_EXPEDITEPO               COMPONENT.JS</v>
      </c>
      <c r="G1181" t="str">
        <v>ALL</v>
      </c>
      <c r="K1181" t="str">
        <v>E</v>
      </c>
      <c r="L1181">
        <v>50103014</v>
      </c>
      <c r="M1181">
        <v>45911</v>
      </c>
      <c r="N1181">
        <v>0.62403935185185</v>
      </c>
      <c r="S1181" t="str">
        <v>X</v>
      </c>
      <c r="W1181" t="str">
        <v>S01K926130</v>
      </c>
    </row>
    <row r="1182">
      <c r="A1182" t="str">
        <v>WAPA</v>
      </c>
      <c r="B1182" t="str">
        <v>ZPTP_EXPEDITEPO</v>
      </c>
      <c r="C1182" t="str">
        <v>WAPP</v>
      </c>
      <c r="D1182" t="str">
        <v>ZPTP_EXPEDITEPO               COMPONENT.JS.MAP</v>
      </c>
      <c r="G1182" t="str">
        <v>ALL</v>
      </c>
      <c r="K1182" t="str">
        <v>E</v>
      </c>
      <c r="L1182">
        <v>50103014</v>
      </c>
      <c r="M1182">
        <v>45911</v>
      </c>
      <c r="N1182">
        <v>0.62403935185185</v>
      </c>
      <c r="S1182" t="str">
        <v>X</v>
      </c>
      <c r="W1182" t="str">
        <v>S01K926130</v>
      </c>
    </row>
    <row r="1183">
      <c r="A1183" t="str">
        <v>WAPA</v>
      </c>
      <c r="B1183" t="str">
        <v>ZPTP_EXPEDITEPO</v>
      </c>
      <c r="C1183" t="str">
        <v>WAPP</v>
      </c>
      <c r="D1183" t="str">
        <v>ZPTP_EXPEDITEPO               CONTROLLER/COPYOFITEMS.CONTROLLER.JS</v>
      </c>
      <c r="G1183" t="str">
        <v>ALL</v>
      </c>
      <c r="K1183" t="str">
        <v>E</v>
      </c>
      <c r="L1183">
        <v>50103014</v>
      </c>
      <c r="M1183">
        <v>45911</v>
      </c>
      <c r="N1183">
        <v>0.6240625</v>
      </c>
      <c r="S1183" t="str">
        <v>X</v>
      </c>
      <c r="W1183" t="str">
        <v>S01K926130</v>
      </c>
    </row>
    <row r="1184">
      <c r="A1184" t="str">
        <v>WAPA</v>
      </c>
      <c r="B1184" t="str">
        <v>ZPTP_EXPEDITEPO</v>
      </c>
      <c r="C1184" t="str">
        <v>WAPP</v>
      </c>
      <c r="D1184" t="str">
        <v>ZPTP_EXPEDITEPO               CONTROLLER/COPYOFITEMS.CONTROLLER.JS.MAP</v>
      </c>
      <c r="G1184" t="str">
        <v>ALL</v>
      </c>
      <c r="K1184" t="str">
        <v>E</v>
      </c>
      <c r="L1184">
        <v>50103014</v>
      </c>
      <c r="M1184">
        <v>45911</v>
      </c>
      <c r="N1184">
        <v>0.6240625</v>
      </c>
      <c r="S1184" t="str">
        <v>X</v>
      </c>
      <c r="W1184" t="str">
        <v>S01K926130</v>
      </c>
    </row>
    <row r="1185">
      <c r="A1185" t="str">
        <v>WAPA</v>
      </c>
      <c r="B1185" t="str">
        <v>ZPTP_EXPEDITEPO</v>
      </c>
      <c r="C1185" t="str">
        <v>WAPP</v>
      </c>
      <c r="D1185" t="str">
        <v>ZPTP_EXPEDITEPO               CONTROLLER/ITEMS.CONTROLLER.JS</v>
      </c>
      <c r="G1185" t="str">
        <v>ALL</v>
      </c>
      <c r="K1185" t="str">
        <v>E</v>
      </c>
      <c r="L1185">
        <v>50103014</v>
      </c>
      <c r="M1185">
        <v>45911</v>
      </c>
      <c r="N1185">
        <v>0.62408564814815</v>
      </c>
      <c r="S1185" t="str">
        <v>X</v>
      </c>
      <c r="W1185" t="str">
        <v>S01K926130</v>
      </c>
    </row>
    <row r="1186">
      <c r="A1186" t="str">
        <v>WAPA</v>
      </c>
      <c r="B1186" t="str">
        <v>ZPTP_EXPEDITEPO</v>
      </c>
      <c r="C1186" t="str">
        <v>WAPP</v>
      </c>
      <c r="D1186" t="str">
        <v>ZPTP_EXPEDITEPO               CONTROLLER/ITEMS.CONTROLLER.JS.MAP</v>
      </c>
      <c r="G1186" t="str">
        <v>ALL</v>
      </c>
      <c r="K1186" t="str">
        <v>E</v>
      </c>
      <c r="L1186">
        <v>50103014</v>
      </c>
      <c r="M1186">
        <v>45911</v>
      </c>
      <c r="N1186">
        <v>0.62408564814815</v>
      </c>
      <c r="S1186" t="str">
        <v>X</v>
      </c>
      <c r="W1186" t="str">
        <v>S01K926130</v>
      </c>
    </row>
    <row r="1187">
      <c r="A1187" t="str">
        <v>WAPA</v>
      </c>
      <c r="B1187" t="str">
        <v>ZPTP_EXPEDITEPO</v>
      </c>
      <c r="C1187" t="str">
        <v>WAPP</v>
      </c>
      <c r="D1187" t="str">
        <v>ZPTP_EXPEDITEPO               INDEX.HTML</v>
      </c>
      <c r="G1187" t="str">
        <v>ALL</v>
      </c>
      <c r="K1187" t="str">
        <v>E</v>
      </c>
      <c r="L1187">
        <v>50103014</v>
      </c>
      <c r="M1187">
        <v>45911</v>
      </c>
      <c r="N1187">
        <v>0.62409722222222</v>
      </c>
      <c r="S1187" t="str">
        <v>X</v>
      </c>
      <c r="W1187" t="str">
        <v>S01K926130</v>
      </c>
    </row>
    <row r="1188">
      <c r="A1188" t="str">
        <v>WAPA</v>
      </c>
      <c r="B1188" t="str">
        <v>ZPTP_EXPEDITEPO</v>
      </c>
      <c r="C1188" t="str">
        <v>WAPP</v>
      </c>
      <c r="D1188" t="str">
        <v>ZPTP_EXPEDITEPO               LOCALSERVICE/MOCKSERVER.JS</v>
      </c>
      <c r="G1188" t="str">
        <v>ALL</v>
      </c>
      <c r="K1188" t="str">
        <v>E</v>
      </c>
      <c r="L1188">
        <v>50103014</v>
      </c>
      <c r="M1188">
        <v>45911</v>
      </c>
      <c r="N1188">
        <v>0.62412037037037</v>
      </c>
      <c r="S1188" t="str">
        <v>X</v>
      </c>
      <c r="W1188" t="str">
        <v>S01K926130</v>
      </c>
    </row>
    <row r="1189">
      <c r="A1189" t="str">
        <v>WAPA</v>
      </c>
      <c r="B1189" t="str">
        <v>ZPTP_EXPEDITEPO</v>
      </c>
      <c r="C1189" t="str">
        <v>WAPP</v>
      </c>
      <c r="D1189" t="str">
        <v>ZPTP_EXPEDITEPO               LOCALSERVICE/MOCKSERVER.JS.MAP</v>
      </c>
      <c r="G1189" t="str">
        <v>ALL</v>
      </c>
      <c r="K1189" t="str">
        <v>E</v>
      </c>
      <c r="L1189">
        <v>50103014</v>
      </c>
      <c r="M1189">
        <v>45911</v>
      </c>
      <c r="N1189">
        <v>0.62413194444444</v>
      </c>
      <c r="S1189" t="str">
        <v>X</v>
      </c>
      <c r="W1189" t="str">
        <v>S01K926130</v>
      </c>
    </row>
    <row r="1190">
      <c r="A1190" t="str">
        <v>WAPA</v>
      </c>
      <c r="B1190" t="str">
        <v>ZPTP_EXPEDITEPO</v>
      </c>
      <c r="C1190" t="str">
        <v>WAPP</v>
      </c>
      <c r="D1190" t="str">
        <v>ZPTP_EXPEDITEPO               MANIFEST.JSON</v>
      </c>
      <c r="G1190" t="str">
        <v>ALL</v>
      </c>
      <c r="K1190" t="str">
        <v>E</v>
      </c>
      <c r="L1190">
        <v>50103014</v>
      </c>
      <c r="M1190">
        <v>46108</v>
      </c>
      <c r="N1190">
        <v>0.61478009259259</v>
      </c>
      <c r="S1190" t="str">
        <v>X</v>
      </c>
      <c r="W1190" t="str">
        <v>S01K929062</v>
      </c>
    </row>
    <row r="1191">
      <c r="A1191" t="str">
        <v>WAPA</v>
      </c>
      <c r="B1191" t="str">
        <v>ZPTP_EXPEDITEPO</v>
      </c>
      <c r="C1191" t="str">
        <v>WAPP</v>
      </c>
      <c r="D1191" t="str">
        <v>ZPTP_EXPEDITEPO               MODEL/FORMATTER.JS</v>
      </c>
      <c r="G1191" t="str">
        <v>ALL</v>
      </c>
      <c r="K1191" t="str">
        <v>E</v>
      </c>
      <c r="L1191">
        <v>50103014</v>
      </c>
      <c r="M1191">
        <v>45911</v>
      </c>
      <c r="N1191">
        <v>0.62415509259259</v>
      </c>
      <c r="S1191" t="str">
        <v>X</v>
      </c>
      <c r="W1191" t="str">
        <v>S01K926130</v>
      </c>
    </row>
    <row r="1192">
      <c r="A1192" t="str">
        <v>WAPA</v>
      </c>
      <c r="B1192" t="str">
        <v>ZPTP_EXPEDITEPO</v>
      </c>
      <c r="C1192" t="str">
        <v>WAPP</v>
      </c>
      <c r="D1192" t="str">
        <v>ZPTP_EXPEDITEPO               MODEL/FORMATTER.JS.MAP</v>
      </c>
      <c r="G1192" t="str">
        <v>ALL</v>
      </c>
      <c r="K1192" t="str">
        <v>E</v>
      </c>
      <c r="L1192">
        <v>50103014</v>
      </c>
      <c r="M1192">
        <v>45911</v>
      </c>
      <c r="N1192">
        <v>0.62415509259259</v>
      </c>
      <c r="S1192" t="str">
        <v>X</v>
      </c>
      <c r="W1192" t="str">
        <v>S01K926130</v>
      </c>
    </row>
    <row r="1193">
      <c r="A1193" t="str">
        <v>WAPA</v>
      </c>
      <c r="B1193" t="str">
        <v>ZPTP_EXPEDITEPO</v>
      </c>
      <c r="C1193" t="str">
        <v>WAPP</v>
      </c>
      <c r="D1193" t="str">
        <v>ZPTP_EXPEDITEPO               MODEL/MODELS.JS</v>
      </c>
      <c r="G1193" t="str">
        <v>ALL</v>
      </c>
      <c r="K1193" t="str">
        <v>E</v>
      </c>
      <c r="L1193">
        <v>50103014</v>
      </c>
      <c r="M1193">
        <v>45911</v>
      </c>
      <c r="N1193">
        <v>0.62417824074074</v>
      </c>
      <c r="S1193" t="str">
        <v>X</v>
      </c>
      <c r="W1193" t="str">
        <v>S01K926130</v>
      </c>
    </row>
    <row r="1194">
      <c r="A1194" t="str">
        <v>WAPA</v>
      </c>
      <c r="B1194" t="str">
        <v>ZPTP_EXPEDITEPO</v>
      </c>
      <c r="C1194" t="str">
        <v>WAPP</v>
      </c>
      <c r="D1194" t="str">
        <v>ZPTP_EXPEDITEPO               MODEL/MODELS.JS.MAP</v>
      </c>
      <c r="G1194" t="str">
        <v>ALL</v>
      </c>
      <c r="K1194" t="str">
        <v>E</v>
      </c>
      <c r="L1194">
        <v>50103014</v>
      </c>
      <c r="M1194">
        <v>45911</v>
      </c>
      <c r="N1194">
        <v>0.62417824074074</v>
      </c>
      <c r="S1194" t="str">
        <v>X</v>
      </c>
      <c r="W1194" t="str">
        <v>S01K926130</v>
      </c>
    </row>
    <row r="1195">
      <c r="A1195" t="str">
        <v>WAPA</v>
      </c>
      <c r="B1195" t="str">
        <v>ZPTP_EXPEDITEPO</v>
      </c>
      <c r="C1195" t="str">
        <v>WAPP</v>
      </c>
      <c r="D1195" t="str">
        <v>ZPTP_EXPEDITEPO               SERVICEBINDING.JS</v>
      </c>
      <c r="G1195" t="str">
        <v>ALL</v>
      </c>
      <c r="K1195" t="str">
        <v>E</v>
      </c>
      <c r="L1195">
        <v>50103014</v>
      </c>
      <c r="M1195">
        <v>45911</v>
      </c>
      <c r="N1195">
        <v>0.62420138888889</v>
      </c>
      <c r="S1195" t="str">
        <v>X</v>
      </c>
      <c r="W1195" t="str">
        <v>S01K926130</v>
      </c>
    </row>
    <row r="1196">
      <c r="A1196" t="str">
        <v>WAPA</v>
      </c>
      <c r="B1196" t="str">
        <v>ZPTP_EXPEDITEPO</v>
      </c>
      <c r="C1196" t="str">
        <v>WAPP</v>
      </c>
      <c r="D1196" t="str">
        <v>ZPTP_EXPEDITEPO               SERVICEBINDING.JS.MAP</v>
      </c>
      <c r="G1196" t="str">
        <v>ALL</v>
      </c>
      <c r="K1196" t="str">
        <v>E</v>
      </c>
      <c r="L1196">
        <v>50103014</v>
      </c>
      <c r="M1196">
        <v>45911</v>
      </c>
      <c r="N1196">
        <v>0.62420138888889</v>
      </c>
      <c r="S1196" t="str">
        <v>X</v>
      </c>
      <c r="W1196" t="str">
        <v>S01K926130</v>
      </c>
    </row>
    <row r="1197">
      <c r="A1197" t="str">
        <v>WAPA</v>
      </c>
      <c r="B1197" t="str">
        <v>ZPTP_EXPEDITEPO</v>
      </c>
      <c r="C1197" t="str">
        <v>WAPP</v>
      </c>
      <c r="D1197" t="str">
        <v>ZPTP_EXPEDITEPO               UI50364B9A678757871751B9E60695D01A9994731A1</v>
      </c>
      <c r="G1197" t="str">
        <v>ALL</v>
      </c>
      <c r="K1197" t="str">
        <v>E</v>
      </c>
      <c r="L1197">
        <v>50103014</v>
      </c>
      <c r="M1197">
        <v>46108</v>
      </c>
      <c r="N1197">
        <v>0.6146412037037</v>
      </c>
      <c r="S1197" t="str">
        <v>X</v>
      </c>
      <c r="W1197" t="str">
        <v>S01K929062</v>
      </c>
    </row>
    <row r="1198">
      <c r="A1198" t="str">
        <v>WAPA</v>
      </c>
      <c r="B1198" t="str">
        <v>ZPTP_EXPEDITEPO</v>
      </c>
      <c r="C1198" t="str">
        <v>WAPP</v>
      </c>
      <c r="D1198" t="str">
        <v>ZPTP_EXPEDITEPO               UI511E93CB67E8651EF91962090B6217C99C225B79B</v>
      </c>
      <c r="G1198" t="str">
        <v>ALL</v>
      </c>
      <c r="K1198" t="str">
        <v>E</v>
      </c>
      <c r="L1198">
        <v>50103014</v>
      </c>
      <c r="M1198">
        <v>46108</v>
      </c>
      <c r="N1198">
        <v>0.61466435185185</v>
      </c>
      <c r="S1198" t="str">
        <v>X</v>
      </c>
      <c r="W1198" t="str">
        <v>S01K929062</v>
      </c>
    </row>
    <row r="1199">
      <c r="A1199" t="str">
        <v>WAPA</v>
      </c>
      <c r="B1199" t="str">
        <v>ZPTP_EXPEDITEPO</v>
      </c>
      <c r="C1199" t="str">
        <v>WAPP</v>
      </c>
      <c r="D1199" t="str">
        <v>ZPTP_EXPEDITEPO               UI51242EE6273AB0E2F7BE843A598C35E8D2F3C8E9E</v>
      </c>
      <c r="G1199" t="str">
        <v>ALL</v>
      </c>
      <c r="K1199" t="str">
        <v>E</v>
      </c>
      <c r="L1199">
        <v>50103014</v>
      </c>
      <c r="M1199">
        <v>46108</v>
      </c>
      <c r="N1199">
        <v>0.61479166666667</v>
      </c>
      <c r="S1199" t="str">
        <v>X</v>
      </c>
      <c r="W1199" t="str">
        <v>S01K929062</v>
      </c>
    </row>
    <row r="1200">
      <c r="A1200" t="str">
        <v>WAPA</v>
      </c>
      <c r="B1200" t="str">
        <v>ZPTP_EXPEDITEPO</v>
      </c>
      <c r="C1200" t="str">
        <v>WAPP</v>
      </c>
      <c r="D1200" t="str">
        <v>ZPTP_EXPEDITEPO               UI52D44F1C7B16528A3D0AE92EDECA50BC6E6726DB6</v>
      </c>
      <c r="G1200" t="str">
        <v>ALL</v>
      </c>
      <c r="K1200" t="str">
        <v>E</v>
      </c>
      <c r="L1200">
        <v>50103014</v>
      </c>
      <c r="M1200">
        <v>46108</v>
      </c>
      <c r="N1200">
        <v>0.6147337962963</v>
      </c>
      <c r="S1200" t="str">
        <v>X</v>
      </c>
      <c r="W1200" t="str">
        <v>S01K929062</v>
      </c>
    </row>
    <row r="1201">
      <c r="A1201" t="str">
        <v>WAPA</v>
      </c>
      <c r="B1201" t="str">
        <v>ZPTP_EXPEDITEPO</v>
      </c>
      <c r="C1201" t="str">
        <v>WAPP</v>
      </c>
      <c r="D1201" t="str">
        <v>ZPTP_EXPEDITEPO               UI52DDF35853AF5A8095164D923589C1E8B77452951</v>
      </c>
      <c r="G1201" t="str">
        <v>ALL</v>
      </c>
      <c r="K1201" t="str">
        <v>E</v>
      </c>
      <c r="L1201">
        <v>50103014</v>
      </c>
      <c r="M1201">
        <v>46108</v>
      </c>
      <c r="N1201">
        <v>0.61469907407407</v>
      </c>
      <c r="S1201" t="str">
        <v>X</v>
      </c>
      <c r="W1201" t="str">
        <v>S01K929062</v>
      </c>
    </row>
    <row r="1202">
      <c r="A1202" t="str">
        <v>WAPA</v>
      </c>
      <c r="B1202" t="str">
        <v>ZPTP_EXPEDITEPO</v>
      </c>
      <c r="C1202" t="str">
        <v>WAPP</v>
      </c>
      <c r="D1202" t="str">
        <v>ZPTP_EXPEDITEPO               UI53016FA8B95730CA662753641FF57FC1BDA4982AE</v>
      </c>
      <c r="G1202" t="str">
        <v>ALL</v>
      </c>
      <c r="K1202" t="str">
        <v>E</v>
      </c>
      <c r="L1202">
        <v>50103014</v>
      </c>
      <c r="M1202">
        <v>45911</v>
      </c>
      <c r="N1202">
        <v>0.6240162037037</v>
      </c>
      <c r="S1202" t="str">
        <v>X</v>
      </c>
      <c r="W1202" t="str">
        <v>S01K926130</v>
      </c>
    </row>
    <row r="1203">
      <c r="A1203" t="str">
        <v>WAPA</v>
      </c>
      <c r="B1203" t="str">
        <v>ZPTP_EXPEDITEPO</v>
      </c>
      <c r="C1203" t="str">
        <v>WAPP</v>
      </c>
      <c r="D1203" t="str">
        <v>ZPTP_EXPEDITEPO               UI5338C721B9E6E2B7710676CDD61E6E25309420262</v>
      </c>
      <c r="G1203" t="str">
        <v>ALL</v>
      </c>
      <c r="K1203" t="str">
        <v>E</v>
      </c>
      <c r="L1203">
        <v>50103014</v>
      </c>
      <c r="M1203">
        <v>46108</v>
      </c>
      <c r="N1203">
        <v>0.61481481481481</v>
      </c>
      <c r="S1203" t="str">
        <v>X</v>
      </c>
      <c r="W1203" t="str">
        <v>S01K929062</v>
      </c>
    </row>
    <row r="1204">
      <c r="A1204" t="str">
        <v>WAPA</v>
      </c>
      <c r="B1204" t="str">
        <v>ZPTP_EXPEDITEPO</v>
      </c>
      <c r="C1204" t="str">
        <v>WAPP</v>
      </c>
      <c r="D1204" t="str">
        <v>ZPTP_EXPEDITEPO               UI533D4456A6E76E53E892DEA3704EAAB5F40F33C6E</v>
      </c>
      <c r="G1204" t="str">
        <v>ALL</v>
      </c>
      <c r="K1204" t="str">
        <v>E</v>
      </c>
      <c r="L1204">
        <v>50103014</v>
      </c>
      <c r="M1204">
        <v>46108</v>
      </c>
      <c r="N1204">
        <v>0.61471064814815</v>
      </c>
      <c r="S1204" t="str">
        <v>X</v>
      </c>
      <c r="W1204" t="str">
        <v>S01K929062</v>
      </c>
    </row>
    <row r="1205">
      <c r="A1205" t="str">
        <v>WAPA</v>
      </c>
      <c r="B1205" t="str">
        <v>ZPTP_EXPEDITEPO</v>
      </c>
      <c r="C1205" t="str">
        <v>WAPP</v>
      </c>
      <c r="D1205" t="str">
        <v>ZPTP_EXPEDITEPO               UI53A1D7BD907D98D109DC73BD02EA4323FFBBE5966</v>
      </c>
      <c r="G1205" t="str">
        <v>ALL</v>
      </c>
      <c r="K1205" t="str">
        <v>E</v>
      </c>
      <c r="L1205">
        <v>50103014</v>
      </c>
      <c r="M1205">
        <v>46108</v>
      </c>
      <c r="N1205">
        <v>0.61475694444444</v>
      </c>
      <c r="S1205" t="str">
        <v>X</v>
      </c>
      <c r="W1205" t="str">
        <v>S01K929062</v>
      </c>
    </row>
    <row r="1206">
      <c r="A1206" t="str">
        <v>WAPA</v>
      </c>
      <c r="B1206" t="str">
        <v>ZPTP_EXPEDITEPO</v>
      </c>
      <c r="C1206" t="str">
        <v>WAPP</v>
      </c>
      <c r="D1206" t="str">
        <v>ZPTP_EXPEDITEPO               UI54531F75EB88227A431062A8105335935B6792E6A</v>
      </c>
      <c r="G1206" t="str">
        <v>ALL</v>
      </c>
      <c r="K1206" t="str">
        <v>E</v>
      </c>
      <c r="L1206">
        <v>50103014</v>
      </c>
      <c r="M1206">
        <v>46108</v>
      </c>
      <c r="N1206">
        <v>0.61476851851852</v>
      </c>
      <c r="S1206" t="str">
        <v>X</v>
      </c>
      <c r="W1206" t="str">
        <v>S01K929062</v>
      </c>
    </row>
    <row r="1207">
      <c r="A1207" t="str">
        <v>WAPA</v>
      </c>
      <c r="B1207" t="str">
        <v>ZPTP_EXPEDITEPO</v>
      </c>
      <c r="C1207" t="str">
        <v>WAPP</v>
      </c>
      <c r="D1207" t="str">
        <v>ZPTP_EXPEDITEPO               UI546CCB7BA293F78299C9795D5CFCCB84DBB075535</v>
      </c>
      <c r="G1207" t="str">
        <v>ALL</v>
      </c>
      <c r="K1207" t="str">
        <v>E</v>
      </c>
      <c r="L1207">
        <v>50103014</v>
      </c>
      <c r="M1207">
        <v>45911</v>
      </c>
      <c r="N1207">
        <v>0.67171296296296</v>
      </c>
      <c r="S1207" t="str">
        <v>X</v>
      </c>
      <c r="W1207" t="str">
        <v>S01K926130</v>
      </c>
    </row>
    <row r="1208">
      <c r="A1208" t="str">
        <v>WAPA</v>
      </c>
      <c r="B1208" t="str">
        <v>ZPTP_EXPEDITEPO</v>
      </c>
      <c r="C1208" t="str">
        <v>WAPP</v>
      </c>
      <c r="D1208" t="str">
        <v>ZPTP_EXPEDITEPO               UI548523DCED9B7CACAB7C5AE285DD3B8CC12C84940</v>
      </c>
      <c r="G1208" t="str">
        <v>ALL</v>
      </c>
      <c r="K1208" t="str">
        <v>E</v>
      </c>
      <c r="L1208">
        <v>50103014</v>
      </c>
      <c r="M1208">
        <v>46108</v>
      </c>
      <c r="N1208">
        <v>0.61483796296296</v>
      </c>
      <c r="S1208" t="str">
        <v>X</v>
      </c>
      <c r="W1208" t="str">
        <v>S01K929062</v>
      </c>
    </row>
    <row r="1209">
      <c r="A1209" t="str">
        <v>WAPA</v>
      </c>
      <c r="B1209" t="str">
        <v>ZPTP_EXPEDITEPO</v>
      </c>
      <c r="C1209" t="str">
        <v>WAPP</v>
      </c>
      <c r="D1209" t="str">
        <v>ZPTP_EXPEDITEPO               UI5506782E74B9BE05EBDB7547B4BD2A1D810C3CA5B</v>
      </c>
      <c r="G1209" t="str">
        <v>ALL</v>
      </c>
      <c r="K1209" t="str">
        <v>E</v>
      </c>
      <c r="L1209">
        <v>50103014</v>
      </c>
      <c r="M1209">
        <v>46108</v>
      </c>
      <c r="N1209">
        <v>0.61471064814815</v>
      </c>
      <c r="S1209" t="str">
        <v>X</v>
      </c>
      <c r="W1209" t="str">
        <v>S01K929062</v>
      </c>
    </row>
    <row r="1210">
      <c r="A1210" t="str">
        <v>WAPA</v>
      </c>
      <c r="B1210" t="str">
        <v>ZPTP_EXPEDITEPO</v>
      </c>
      <c r="C1210" t="str">
        <v>WAPP</v>
      </c>
      <c r="D1210" t="str">
        <v>ZPTP_EXPEDITEPO               UI550E087E92855242104BB771A97B1A1207F72E141</v>
      </c>
      <c r="G1210" t="str">
        <v>ALL</v>
      </c>
      <c r="K1210" t="str">
        <v>E</v>
      </c>
      <c r="L1210">
        <v>50103014</v>
      </c>
      <c r="M1210">
        <v>45911</v>
      </c>
      <c r="N1210">
        <v>0.62414351851852</v>
      </c>
      <c r="S1210" t="str">
        <v>X</v>
      </c>
      <c r="W1210" t="str">
        <v>S01K926130</v>
      </c>
    </row>
    <row r="1211">
      <c r="A1211" t="str">
        <v>WAPA</v>
      </c>
      <c r="B1211" t="str">
        <v>ZPTP_EXPEDITEPO</v>
      </c>
      <c r="C1211" t="str">
        <v>WAPP</v>
      </c>
      <c r="D1211" t="str">
        <v>ZPTP_EXPEDITEPO               UI557CF5CD537FC7FD6ABD94DE90D5321044743BE20</v>
      </c>
      <c r="G1211" t="str">
        <v>ALL</v>
      </c>
      <c r="K1211" t="str">
        <v>E</v>
      </c>
      <c r="L1211">
        <v>50103014</v>
      </c>
      <c r="M1211">
        <v>46108</v>
      </c>
      <c r="N1211">
        <v>0.61469907407407</v>
      </c>
      <c r="S1211" t="str">
        <v>X</v>
      </c>
      <c r="W1211" t="str">
        <v>S01K929062</v>
      </c>
    </row>
    <row r="1212">
      <c r="A1212" t="str">
        <v>WAPA</v>
      </c>
      <c r="B1212" t="str">
        <v>ZPTP_EXPEDITEPO</v>
      </c>
      <c r="C1212" t="str">
        <v>WAPP</v>
      </c>
      <c r="D1212" t="str">
        <v>ZPTP_EXPEDITEPO               UI5790E6FABFA67B2C740F372D94DF50390B19BAD90</v>
      </c>
      <c r="G1212" t="str">
        <v>ALL</v>
      </c>
      <c r="K1212" t="str">
        <v>E</v>
      </c>
      <c r="L1212">
        <v>50103014</v>
      </c>
      <c r="M1212">
        <v>46108</v>
      </c>
      <c r="N1212">
        <v>0.61484953703704</v>
      </c>
      <c r="S1212" t="str">
        <v>X</v>
      </c>
      <c r="W1212" t="str">
        <v>S01K929062</v>
      </c>
    </row>
    <row r="1213">
      <c r="A1213" t="str">
        <v>WAPA</v>
      </c>
      <c r="B1213" t="str">
        <v>ZPTP_EXPEDITEPO</v>
      </c>
      <c r="C1213" t="str">
        <v>WAPP</v>
      </c>
      <c r="D1213" t="str">
        <v>ZPTP_EXPEDITEPO               UI57AD564BAF440218A6E2274CF0D84E9F562B5A1BB</v>
      </c>
      <c r="G1213" t="str">
        <v>ALL</v>
      </c>
      <c r="K1213" t="str">
        <v>E</v>
      </c>
      <c r="L1213">
        <v>50103014</v>
      </c>
      <c r="M1213">
        <v>46108</v>
      </c>
      <c r="N1213">
        <v>0.61472222222222</v>
      </c>
      <c r="S1213" t="str">
        <v>X</v>
      </c>
      <c r="W1213" t="str">
        <v>S01K929062</v>
      </c>
    </row>
    <row r="1214">
      <c r="A1214" t="str">
        <v>WAPA</v>
      </c>
      <c r="B1214" t="str">
        <v>ZPTP_EXPEDITEPO</v>
      </c>
      <c r="C1214" t="str">
        <v>WAPP</v>
      </c>
      <c r="D1214" t="str">
        <v>ZPTP_EXPEDITEPO               UI584A3AE377B5A41EAE48B0DA71FA191A84F92C4ED</v>
      </c>
      <c r="G1214" t="str">
        <v>ALL</v>
      </c>
      <c r="K1214" t="str">
        <v>E</v>
      </c>
      <c r="L1214">
        <v>50103014</v>
      </c>
      <c r="M1214">
        <v>46108</v>
      </c>
      <c r="N1214">
        <v>0.61482638888889</v>
      </c>
      <c r="S1214" t="str">
        <v>X</v>
      </c>
      <c r="W1214" t="str">
        <v>S01K929062</v>
      </c>
    </row>
    <row r="1215">
      <c r="A1215" t="str">
        <v>WAPA</v>
      </c>
      <c r="B1215" t="str">
        <v>ZPTP_EXPEDITEPO</v>
      </c>
      <c r="C1215" t="str">
        <v>WAPP</v>
      </c>
      <c r="D1215" t="str">
        <v>ZPTP_EXPEDITEPO               UI5862EF80302931B09A694F346D7AB9B99C137FCC0</v>
      </c>
      <c r="G1215" t="str">
        <v>ALL</v>
      </c>
      <c r="K1215" t="str">
        <v>E</v>
      </c>
      <c r="L1215">
        <v>50103014</v>
      </c>
      <c r="M1215">
        <v>46108</v>
      </c>
      <c r="N1215">
        <v>0.6147337962963</v>
      </c>
      <c r="S1215" t="str">
        <v>X</v>
      </c>
      <c r="W1215" t="str">
        <v>S01K929062</v>
      </c>
    </row>
    <row r="1216">
      <c r="A1216" t="str">
        <v>WAPA</v>
      </c>
      <c r="B1216" t="str">
        <v>ZPTP_EXPEDITEPO</v>
      </c>
      <c r="C1216" t="str">
        <v>WAPP</v>
      </c>
      <c r="D1216" t="str">
        <v>ZPTP_EXPEDITEPO               UI5998D97B267DCF6C31BD1569E8D040163B49B6B1B</v>
      </c>
      <c r="G1216" t="str">
        <v>ALL</v>
      </c>
      <c r="K1216" t="str">
        <v>E</v>
      </c>
      <c r="L1216">
        <v>50103014</v>
      </c>
      <c r="M1216">
        <v>45911</v>
      </c>
      <c r="N1216">
        <v>0.62400462962963</v>
      </c>
      <c r="S1216" t="str">
        <v>X</v>
      </c>
      <c r="W1216" t="str">
        <v>S01K926130</v>
      </c>
    </row>
    <row r="1217">
      <c r="A1217" t="str">
        <v>WAPA</v>
      </c>
      <c r="B1217" t="str">
        <v>ZPTP_EXPEDITEPO</v>
      </c>
      <c r="C1217" t="str">
        <v>WAPP</v>
      </c>
      <c r="D1217" t="str">
        <v>ZPTP_EXPEDITEPO               UI59B69D1DB202E7F9B87DCE9625E1448D5D82240F1</v>
      </c>
      <c r="G1217" t="str">
        <v>ALL</v>
      </c>
      <c r="K1217" t="str">
        <v>E</v>
      </c>
      <c r="L1217">
        <v>50103014</v>
      </c>
      <c r="M1217">
        <v>45911</v>
      </c>
      <c r="N1217">
        <v>0.62405092592593</v>
      </c>
      <c r="S1217" t="str">
        <v>X</v>
      </c>
      <c r="W1217" t="str">
        <v>S01K926130</v>
      </c>
    </row>
    <row r="1218">
      <c r="A1218" t="str">
        <v>WAPA</v>
      </c>
      <c r="B1218" t="str">
        <v>ZPTP_EXPEDITEPO</v>
      </c>
      <c r="C1218" t="str">
        <v>WAPP</v>
      </c>
      <c r="D1218" t="str">
        <v>ZPTP_EXPEDITEPO               UI5A7E7E059D4414BBEE7AB94208A7DD9006A47DA17</v>
      </c>
      <c r="G1218" t="str">
        <v>ALL</v>
      </c>
      <c r="K1218" t="str">
        <v>E</v>
      </c>
      <c r="L1218">
        <v>50103014</v>
      </c>
      <c r="M1218">
        <v>46108</v>
      </c>
      <c r="N1218">
        <v>0.61461805555556</v>
      </c>
      <c r="S1218" t="str">
        <v>X</v>
      </c>
      <c r="W1218" t="str">
        <v>S01K929062</v>
      </c>
    </row>
    <row r="1219">
      <c r="A1219" t="str">
        <v>WAPA</v>
      </c>
      <c r="B1219" t="str">
        <v>ZPTP_EXPEDITEPO</v>
      </c>
      <c r="C1219" t="str">
        <v>WAPP</v>
      </c>
      <c r="D1219" t="str">
        <v>ZPTP_EXPEDITEPO               UI5A8C70B942996B9B747AB703907FC9909F0E361DD</v>
      </c>
      <c r="G1219" t="str">
        <v>ALL</v>
      </c>
      <c r="K1219" t="str">
        <v>E</v>
      </c>
      <c r="L1219">
        <v>50103014</v>
      </c>
      <c r="M1219">
        <v>45911</v>
      </c>
      <c r="N1219">
        <v>0.62414351851852</v>
      </c>
      <c r="S1219" t="str">
        <v>X</v>
      </c>
      <c r="W1219" t="str">
        <v>S01K926130</v>
      </c>
    </row>
    <row r="1220">
      <c r="A1220" t="str">
        <v>WAPA</v>
      </c>
      <c r="B1220" t="str">
        <v>ZPTP_EXPEDITEPO</v>
      </c>
      <c r="C1220" t="str">
        <v>WAPP</v>
      </c>
      <c r="D1220" t="str">
        <v>ZPTP_EXPEDITEPO               UI5A8F975298998C8C4C5BA02CD322A891D320070AF</v>
      </c>
      <c r="G1220" t="str">
        <v>ALL</v>
      </c>
      <c r="K1220" t="str">
        <v>E</v>
      </c>
      <c r="L1220">
        <v>50103014</v>
      </c>
      <c r="M1220">
        <v>46108</v>
      </c>
      <c r="N1220">
        <v>0.61483796296296</v>
      </c>
      <c r="S1220" t="str">
        <v>X</v>
      </c>
      <c r="W1220" t="str">
        <v>S01K929062</v>
      </c>
    </row>
    <row r="1221">
      <c r="A1221" t="str">
        <v>WAPA</v>
      </c>
      <c r="B1221" t="str">
        <v>ZPTP_EXPEDITEPO</v>
      </c>
      <c r="C1221" t="str">
        <v>WAPP</v>
      </c>
      <c r="D1221" t="str">
        <v>ZPTP_EXPEDITEPO               UI5AB46C887633A7EC15CE83D518DFE2BAE2C3FA12F</v>
      </c>
      <c r="G1221" t="str">
        <v>ALL</v>
      </c>
      <c r="K1221" t="str">
        <v>E</v>
      </c>
      <c r="L1221">
        <v>50103014</v>
      </c>
      <c r="M1221">
        <v>46108</v>
      </c>
      <c r="N1221">
        <v>0.61479166666667</v>
      </c>
      <c r="S1221" t="str">
        <v>X</v>
      </c>
      <c r="W1221" t="str">
        <v>S01K929062</v>
      </c>
    </row>
    <row r="1222">
      <c r="A1222" t="str">
        <v>WAPA</v>
      </c>
      <c r="B1222" t="str">
        <v>ZPTP_EXPEDITEPO</v>
      </c>
      <c r="C1222" t="str">
        <v>WAPP</v>
      </c>
      <c r="D1222" t="str">
        <v>ZPTP_EXPEDITEPO               UI5AC9765CD309503FD555DD0CC935903F930D1F25F</v>
      </c>
      <c r="G1222" t="str">
        <v>ALL</v>
      </c>
      <c r="K1222" t="str">
        <v>E</v>
      </c>
      <c r="L1222">
        <v>50103014</v>
      </c>
      <c r="M1222">
        <v>46108</v>
      </c>
      <c r="N1222">
        <v>0.61480324074074</v>
      </c>
      <c r="S1222" t="str">
        <v>X</v>
      </c>
      <c r="W1222" t="str">
        <v>S01K929062</v>
      </c>
    </row>
    <row r="1223">
      <c r="A1223" t="str">
        <v>WAPA</v>
      </c>
      <c r="B1223" t="str">
        <v>ZPTP_EXPEDITEPO</v>
      </c>
      <c r="C1223" t="str">
        <v>WAPP</v>
      </c>
      <c r="D1223" t="str">
        <v>ZPTP_EXPEDITEPO               UI5AF22DF8DDA9A47E0E11052855865EC3592E17BC7</v>
      </c>
      <c r="G1223" t="str">
        <v>ALL</v>
      </c>
      <c r="K1223" t="str">
        <v>E</v>
      </c>
      <c r="L1223">
        <v>50103014</v>
      </c>
      <c r="M1223">
        <v>46108</v>
      </c>
      <c r="N1223">
        <v>0.61486111111111</v>
      </c>
      <c r="S1223" t="str">
        <v>X</v>
      </c>
      <c r="W1223" t="str">
        <v>S01K929062</v>
      </c>
    </row>
    <row r="1224">
      <c r="A1224" t="str">
        <v>WAPA</v>
      </c>
      <c r="B1224" t="str">
        <v>ZPTP_EXPEDITEPO</v>
      </c>
      <c r="C1224" t="str">
        <v>WAPP</v>
      </c>
      <c r="D1224" t="str">
        <v>ZPTP_EXPEDITEPO               UI5B1845F9A372BCEF1CE7FACAEADFE2B229685AB4B</v>
      </c>
      <c r="G1224" t="str">
        <v>ALL</v>
      </c>
      <c r="K1224" t="str">
        <v>E</v>
      </c>
      <c r="L1224">
        <v>50103014</v>
      </c>
      <c r="M1224">
        <v>46108</v>
      </c>
      <c r="N1224">
        <v>0.61465277777778</v>
      </c>
      <c r="S1224" t="str">
        <v>X</v>
      </c>
      <c r="W1224" t="str">
        <v>S01K929062</v>
      </c>
    </row>
    <row r="1225">
      <c r="A1225" t="str">
        <v>WAPA</v>
      </c>
      <c r="B1225" t="str">
        <v>ZPTP_EXPEDITEPO</v>
      </c>
      <c r="C1225" t="str">
        <v>WAPP</v>
      </c>
      <c r="D1225" t="str">
        <v>ZPTP_EXPEDITEPO               UI5B2B5D24238268DEF4FA05063EBE5142BBCACE17B</v>
      </c>
      <c r="G1225" t="str">
        <v>ALL</v>
      </c>
      <c r="K1225" t="str">
        <v>E</v>
      </c>
      <c r="L1225">
        <v>50103014</v>
      </c>
      <c r="M1225">
        <v>46108</v>
      </c>
      <c r="N1225">
        <v>0.6146875</v>
      </c>
      <c r="S1225" t="str">
        <v>X</v>
      </c>
      <c r="W1225" t="str">
        <v>S01K929062</v>
      </c>
    </row>
    <row r="1226">
      <c r="A1226" t="str">
        <v>WAPA</v>
      </c>
      <c r="B1226" t="str">
        <v>ZPTP_EXPEDITEPO</v>
      </c>
      <c r="C1226" t="str">
        <v>WAPP</v>
      </c>
      <c r="D1226" t="str">
        <v>ZPTP_EXPEDITEPO               UI5C1988FC21E729302CE0154DCECD5D701AFF8B551</v>
      </c>
      <c r="G1226" t="str">
        <v>ALL</v>
      </c>
      <c r="K1226" t="str">
        <v>E</v>
      </c>
      <c r="L1226">
        <v>50103014</v>
      </c>
      <c r="M1226">
        <v>46108</v>
      </c>
      <c r="N1226">
        <v>0.61484953703704</v>
      </c>
      <c r="S1226" t="str">
        <v>X</v>
      </c>
      <c r="W1226" t="str">
        <v>S01K929062</v>
      </c>
    </row>
    <row r="1227">
      <c r="A1227" t="str">
        <v>WAPA</v>
      </c>
      <c r="B1227" t="str">
        <v>ZPTP_EXPEDITEPO</v>
      </c>
      <c r="C1227" t="str">
        <v>WAPP</v>
      </c>
      <c r="D1227" t="str">
        <v>ZPTP_EXPEDITEPO               UI5CAAC2BDE6E3CD83E3B9C89C6883AEFF6B1381670</v>
      </c>
      <c r="G1227" t="str">
        <v>ALL</v>
      </c>
      <c r="K1227" t="str">
        <v>E</v>
      </c>
      <c r="L1227">
        <v>50103014</v>
      </c>
      <c r="M1227">
        <v>46108</v>
      </c>
      <c r="N1227">
        <v>0.61486111111111</v>
      </c>
      <c r="S1227" t="str">
        <v>X</v>
      </c>
      <c r="W1227" t="str">
        <v>S01K929062</v>
      </c>
    </row>
    <row r="1228">
      <c r="A1228" t="str">
        <v>WAPA</v>
      </c>
      <c r="B1228" t="str">
        <v>ZPTP_EXPEDITEPO</v>
      </c>
      <c r="C1228" t="str">
        <v>WAPP</v>
      </c>
      <c r="D1228" t="str">
        <v>ZPTP_EXPEDITEPO               UI5D5187D1D3090AAC0B08A983FECA7CF10894C593C</v>
      </c>
      <c r="G1228" t="str">
        <v>ALL</v>
      </c>
      <c r="K1228" t="str">
        <v>E</v>
      </c>
      <c r="L1228">
        <v>50103014</v>
      </c>
      <c r="M1228">
        <v>46108</v>
      </c>
      <c r="N1228">
        <v>0.61476851851852</v>
      </c>
      <c r="S1228" t="str">
        <v>X</v>
      </c>
      <c r="W1228" t="str">
        <v>S01K929062</v>
      </c>
    </row>
    <row r="1229">
      <c r="A1229" t="str">
        <v>WAPA</v>
      </c>
      <c r="B1229" t="str">
        <v>ZPTP_EXPEDITEPO</v>
      </c>
      <c r="C1229" t="str">
        <v>WAPP</v>
      </c>
      <c r="D1229" t="str">
        <v>ZPTP_EXPEDITEPO               UI5DADAFF58131ECB1A06A7736E7230B403006A6CE7</v>
      </c>
      <c r="G1229" t="str">
        <v>ALL</v>
      </c>
      <c r="K1229" t="str">
        <v>E</v>
      </c>
      <c r="L1229">
        <v>50103014</v>
      </c>
      <c r="M1229">
        <v>46108</v>
      </c>
      <c r="N1229">
        <v>0.61482638888889</v>
      </c>
      <c r="S1229" t="str">
        <v>X</v>
      </c>
      <c r="W1229" t="str">
        <v>S01K929062</v>
      </c>
    </row>
    <row r="1230">
      <c r="A1230" t="str">
        <v>WAPA</v>
      </c>
      <c r="B1230" t="str">
        <v>ZPTP_EXPEDITEPO</v>
      </c>
      <c r="C1230" t="str">
        <v>WAPP</v>
      </c>
      <c r="D1230" t="str">
        <v>ZPTP_EXPEDITEPO               UI5DBFF32BA0AF32781636A3B44812B2517041616B5</v>
      </c>
      <c r="G1230" t="str">
        <v>ALL</v>
      </c>
      <c r="K1230" t="str">
        <v>E</v>
      </c>
      <c r="L1230">
        <v>50103014</v>
      </c>
      <c r="M1230">
        <v>45911</v>
      </c>
      <c r="N1230">
        <v>0.62405092592593</v>
      </c>
      <c r="S1230" t="str">
        <v>X</v>
      </c>
      <c r="W1230" t="str">
        <v>S01K926130</v>
      </c>
    </row>
    <row r="1231">
      <c r="A1231" t="str">
        <v>WAPA</v>
      </c>
      <c r="B1231" t="str">
        <v>ZPTP_EXPEDITEPO</v>
      </c>
      <c r="C1231" t="str">
        <v>WAPP</v>
      </c>
      <c r="D1231" t="str">
        <v>ZPTP_EXPEDITEPO               UI5E62D8F767A4A5279D1CB86C18AF167BD261D2EA8</v>
      </c>
      <c r="G1231" t="str">
        <v>ALL</v>
      </c>
      <c r="K1231" t="str">
        <v>E</v>
      </c>
      <c r="L1231">
        <v>50103014</v>
      </c>
      <c r="M1231">
        <v>46108</v>
      </c>
      <c r="N1231">
        <v>0.61467592592593</v>
      </c>
      <c r="S1231" t="str">
        <v>X</v>
      </c>
      <c r="W1231" t="str">
        <v>S01K929062</v>
      </c>
    </row>
    <row r="1232">
      <c r="A1232" t="str">
        <v>WAPA</v>
      </c>
      <c r="B1232" t="str">
        <v>ZPTP_EXPEDITEPO</v>
      </c>
      <c r="C1232" t="str">
        <v>WAPP</v>
      </c>
      <c r="D1232" t="str">
        <v>ZPTP_EXPEDITEPO               UI5F158B1B08220059D5B1715281E2390725E54BF89</v>
      </c>
      <c r="G1232" t="str">
        <v>ALL</v>
      </c>
      <c r="K1232" t="str">
        <v>E</v>
      </c>
      <c r="L1232">
        <v>50103014</v>
      </c>
      <c r="M1232">
        <v>46108</v>
      </c>
      <c r="N1232">
        <v>0.61474537037037</v>
      </c>
      <c r="S1232" t="str">
        <v>X</v>
      </c>
      <c r="W1232" t="str">
        <v>S01K929062</v>
      </c>
    </row>
    <row r="1233">
      <c r="A1233" t="str">
        <v>WAPA</v>
      </c>
      <c r="B1233" t="str">
        <v>ZPTP_EXPEDITEPO</v>
      </c>
      <c r="C1233" t="str">
        <v>WAPP</v>
      </c>
      <c r="D1233" t="str">
        <v>ZPTP_EXPEDITEPO               UI5F7FB25B45418EDB770DA3CA0EEF583418C5EC372</v>
      </c>
      <c r="G1233" t="str">
        <v>ALL</v>
      </c>
      <c r="K1233" t="str">
        <v>E</v>
      </c>
      <c r="L1233">
        <v>50103014</v>
      </c>
      <c r="M1233">
        <v>45911</v>
      </c>
      <c r="N1233">
        <v>0.62418981481481</v>
      </c>
      <c r="S1233" t="str">
        <v>X</v>
      </c>
      <c r="W1233" t="str">
        <v>S01K926130</v>
      </c>
    </row>
    <row r="1234">
      <c r="A1234" t="str">
        <v>WAPA</v>
      </c>
      <c r="B1234" t="str">
        <v>ZPTP_EXPEDITEPO</v>
      </c>
      <c r="C1234" t="str">
        <v>WAPP</v>
      </c>
      <c r="D1234" t="str">
        <v>ZPTP_EXPEDITEPO               UI5F998A7BB9C7E61B337E31DA3925ABBEE36047825</v>
      </c>
      <c r="G1234" t="str">
        <v>ALL</v>
      </c>
      <c r="K1234" t="str">
        <v>E</v>
      </c>
      <c r="L1234">
        <v>50103014</v>
      </c>
      <c r="M1234">
        <v>46108</v>
      </c>
      <c r="N1234">
        <v>0.61467592592593</v>
      </c>
      <c r="S1234" t="str">
        <v>X</v>
      </c>
      <c r="W1234" t="str">
        <v>S01K929062</v>
      </c>
    </row>
    <row r="1235">
      <c r="A1235" t="str">
        <v>WAPA</v>
      </c>
      <c r="B1235" t="str">
        <v>ZPTP_EXPEDITEPO</v>
      </c>
      <c r="C1235" t="str">
        <v>WAPP</v>
      </c>
      <c r="D1235" t="str">
        <v>ZPTP_EXPEDITEPO               UI5FBB0032CD3E0E734F525EA8CA367FB49D47F9FFD</v>
      </c>
      <c r="G1235" t="str">
        <v>ALL</v>
      </c>
      <c r="K1235" t="str">
        <v>E</v>
      </c>
      <c r="L1235">
        <v>50103014</v>
      </c>
      <c r="M1235">
        <v>46108</v>
      </c>
      <c r="N1235">
        <v>0.61475694444444</v>
      </c>
      <c r="S1235" t="str">
        <v>X</v>
      </c>
      <c r="W1235" t="str">
        <v>S01K929062</v>
      </c>
    </row>
    <row r="1236">
      <c r="A1236" t="str">
        <v>WAPA</v>
      </c>
      <c r="B1236" t="str">
        <v>ZPTP_EXPEDITEPO</v>
      </c>
      <c r="C1236" t="str">
        <v>WAPP</v>
      </c>
      <c r="D1236" t="str">
        <v>ZPTP_EXPEDITEPO               UI5REPOSITORYPATHMAPPING.XML</v>
      </c>
      <c r="G1236" t="str">
        <v>ALL</v>
      </c>
      <c r="K1236" t="str">
        <v>E</v>
      </c>
      <c r="L1236">
        <v>50103014</v>
      </c>
      <c r="M1236">
        <v>46108</v>
      </c>
      <c r="N1236">
        <v>0.61488425925926</v>
      </c>
      <c r="S1236" t="str">
        <v>X</v>
      </c>
      <c r="W1236" t="str">
        <v>S01K929062</v>
      </c>
    </row>
    <row r="1237">
      <c r="A1237" t="str">
        <v>WAPA</v>
      </c>
      <c r="B1237" t="str">
        <v>ZPTP_EXPEDITEPO</v>
      </c>
      <c r="C1237" t="str">
        <v>WAPP</v>
      </c>
      <c r="D1237" t="str">
        <v>ZPTP_EXPEDITEPO               VIEW/ITEMS.VIEW.XML</v>
      </c>
      <c r="G1237" t="str">
        <v>ALL</v>
      </c>
      <c r="K1237" t="str">
        <v>E</v>
      </c>
      <c r="L1237">
        <v>50103014</v>
      </c>
      <c r="M1237">
        <v>46108</v>
      </c>
      <c r="N1237">
        <v>0.61487268518519</v>
      </c>
      <c r="S1237" t="str">
        <v>X</v>
      </c>
      <c r="W1237" t="str">
        <v>S01K929062</v>
      </c>
    </row>
    <row r="1238">
      <c r="A1238" t="str">
        <v>WAPA</v>
      </c>
      <c r="B1238" t="str">
        <v>ZPTP_PO_LINE</v>
      </c>
      <c r="C1238" t="str">
        <v>WAPP</v>
      </c>
      <c r="D1238" t="str">
        <v>ZPTP_PO_LINE                  COMPONENT.JS</v>
      </c>
      <c r="G1238" t="str">
        <v>ALL</v>
      </c>
      <c r="K1238" t="str">
        <v>E</v>
      </c>
      <c r="L1238">
        <v>50103014</v>
      </c>
      <c r="M1238">
        <v>44349</v>
      </c>
      <c r="N1238">
        <v>0.46153935185185</v>
      </c>
      <c r="S1238" t="str">
        <v>X</v>
      </c>
      <c r="W1238" t="str">
        <v>S01K912140</v>
      </c>
    </row>
    <row r="1239">
      <c r="A1239" t="str">
        <v>WAPA</v>
      </c>
      <c r="B1239" t="str">
        <v>ZPTP_PO_LINE</v>
      </c>
      <c r="C1239" t="str">
        <v>WAPP</v>
      </c>
      <c r="D1239" t="str">
        <v>ZPTP_PO_LINE                  CONTROLLER/VIEW1.CONTROLLER.JS</v>
      </c>
      <c r="G1239" t="str">
        <v>ALL</v>
      </c>
      <c r="K1239" t="str">
        <v>E</v>
      </c>
      <c r="L1239">
        <v>50103014</v>
      </c>
      <c r="M1239">
        <v>44349</v>
      </c>
      <c r="N1239">
        <v>0.46159722222222</v>
      </c>
      <c r="S1239" t="str">
        <v>X</v>
      </c>
      <c r="W1239" t="str">
        <v>S01K912140</v>
      </c>
    </row>
    <row r="1240">
      <c r="A1240" t="str">
        <v>WAPA</v>
      </c>
      <c r="B1240" t="str">
        <v>ZPTP_PO_LINE</v>
      </c>
      <c r="C1240" t="str">
        <v>WAPP</v>
      </c>
      <c r="D1240" t="str">
        <v>ZPTP_PO_LINE                  CSS/STYLE.CSS</v>
      </c>
      <c r="G1240" t="str">
        <v>ALL</v>
      </c>
      <c r="K1240" t="str">
        <v>E</v>
      </c>
      <c r="L1240">
        <v>50103014</v>
      </c>
      <c r="M1240">
        <v>44349</v>
      </c>
      <c r="N1240">
        <v>0.4615625</v>
      </c>
      <c r="S1240" t="str">
        <v>X</v>
      </c>
      <c r="W1240" t="str">
        <v>S01K912140</v>
      </c>
    </row>
    <row r="1241">
      <c r="A1241" t="str">
        <v>WAPA</v>
      </c>
      <c r="B1241" t="str">
        <v>ZPTP_PO_LINE</v>
      </c>
      <c r="C1241" t="str">
        <v>WAPP</v>
      </c>
      <c r="D1241" t="str">
        <v>ZPTP_PO_LINE                  I18N/I18N.PROPERTIES</v>
      </c>
      <c r="G1241" t="str">
        <v>ALL</v>
      </c>
      <c r="K1241" t="str">
        <v>E</v>
      </c>
      <c r="L1241">
        <v>50103014</v>
      </c>
      <c r="M1241">
        <v>44349</v>
      </c>
      <c r="N1241">
        <v>0.46163194444444</v>
      </c>
      <c r="S1241" t="str">
        <v>X</v>
      </c>
      <c r="W1241" t="str">
        <v>S01K912140</v>
      </c>
    </row>
    <row r="1242">
      <c r="A1242" t="str">
        <v>WAPA</v>
      </c>
      <c r="B1242" t="str">
        <v>ZPTP_PO_LINE</v>
      </c>
      <c r="C1242" t="str">
        <v>WAPP</v>
      </c>
      <c r="D1242" t="str">
        <v>ZPTP_PO_LINE                  MODEL/MODELS.JS</v>
      </c>
      <c r="G1242" t="str">
        <v>ALL</v>
      </c>
      <c r="K1242" t="str">
        <v>E</v>
      </c>
      <c r="L1242">
        <v>50103014</v>
      </c>
      <c r="M1242">
        <v>44349</v>
      </c>
      <c r="N1242">
        <v>0.46164351851852</v>
      </c>
      <c r="S1242" t="str">
        <v>X</v>
      </c>
      <c r="W1242" t="str">
        <v>S01K912140</v>
      </c>
    </row>
    <row r="1243">
      <c r="A1243" t="str">
        <v>WAPA</v>
      </c>
      <c r="B1243" t="str">
        <v>ZPTP_PO_LINE</v>
      </c>
      <c r="C1243" t="str">
        <v>WAPP</v>
      </c>
      <c r="D1243" t="str">
        <v>ZPTP_PO_LINE                  RESOURCES.JSON</v>
      </c>
      <c r="G1243" t="str">
        <v>ALL</v>
      </c>
      <c r="K1243" t="str">
        <v>E</v>
      </c>
      <c r="L1243">
        <v>50103014</v>
      </c>
      <c r="M1243">
        <v>44349</v>
      </c>
      <c r="N1243">
        <v>0.46146990740741</v>
      </c>
      <c r="S1243" t="str">
        <v>X</v>
      </c>
      <c r="W1243" t="str">
        <v>S01K912140</v>
      </c>
    </row>
    <row r="1244">
      <c r="A1244" t="str">
        <v>WAPA</v>
      </c>
      <c r="B1244" t="str">
        <v>ZPTP_PO_LINE</v>
      </c>
      <c r="C1244" t="str">
        <v>WAPP</v>
      </c>
      <c r="D1244" t="str">
        <v>ZPTP_PO_LINE                  SERVICEBINDING.JS</v>
      </c>
      <c r="G1244" t="str">
        <v>ALL</v>
      </c>
      <c r="K1244" t="str">
        <v>E</v>
      </c>
      <c r="L1244">
        <v>50103014</v>
      </c>
      <c r="M1244">
        <v>44349</v>
      </c>
      <c r="N1244">
        <v>0.46153935185185</v>
      </c>
      <c r="S1244" t="str">
        <v>X</v>
      </c>
      <c r="W1244" t="str">
        <v>S01K912140</v>
      </c>
    </row>
    <row r="1245">
      <c r="A1245" t="str">
        <v>WAPA</v>
      </c>
      <c r="B1245" t="str">
        <v>ZPTP_PO_LINE</v>
      </c>
      <c r="C1245" t="str">
        <v>WAPP</v>
      </c>
      <c r="D1245" t="str">
        <v>ZPTP_PO_LINE                  TEST/INTEGRATION/ALLJOURNEYS.JS</v>
      </c>
      <c r="G1245" t="str">
        <v>ALL</v>
      </c>
      <c r="K1245" t="str">
        <v>E</v>
      </c>
      <c r="L1245">
        <v>50103014</v>
      </c>
      <c r="M1245">
        <v>44349</v>
      </c>
      <c r="N1245">
        <v>0.46165509259259</v>
      </c>
      <c r="S1245" t="str">
        <v>X</v>
      </c>
      <c r="W1245" t="str">
        <v>S01K912140</v>
      </c>
    </row>
    <row r="1246">
      <c r="A1246" t="str">
        <v>WAPA</v>
      </c>
      <c r="B1246" t="str">
        <v>ZPTP_PO_LINE</v>
      </c>
      <c r="C1246" t="str">
        <v>WAPP</v>
      </c>
      <c r="D1246" t="str">
        <v>ZPTP_PO_LINE                  TEST/INTEGRATION/ARRANGEMENTS/STARTUP.JS</v>
      </c>
      <c r="G1246" t="str">
        <v>ALL</v>
      </c>
      <c r="K1246" t="str">
        <v>E</v>
      </c>
      <c r="L1246">
        <v>50103014</v>
      </c>
      <c r="M1246">
        <v>44349</v>
      </c>
      <c r="N1246">
        <v>0.46175925925926</v>
      </c>
      <c r="S1246" t="str">
        <v>X</v>
      </c>
      <c r="W1246" t="str">
        <v>S01K912140</v>
      </c>
    </row>
    <row r="1247">
      <c r="A1247" t="str">
        <v>WAPA</v>
      </c>
      <c r="B1247" t="str">
        <v>ZPTP_PO_LINE</v>
      </c>
      <c r="C1247" t="str">
        <v>WAPP</v>
      </c>
      <c r="D1247" t="str">
        <v>ZPTP_PO_LINE                  TEST/INTEGRATION/NAVIGATIONJOURNEY.JS</v>
      </c>
      <c r="G1247" t="str">
        <v>ALL</v>
      </c>
      <c r="K1247" t="str">
        <v>E</v>
      </c>
      <c r="L1247">
        <v>50103014</v>
      </c>
      <c r="M1247">
        <v>44349</v>
      </c>
      <c r="N1247">
        <v>0.46166666666667</v>
      </c>
      <c r="S1247" t="str">
        <v>X</v>
      </c>
      <c r="W1247" t="str">
        <v>S01K912140</v>
      </c>
    </row>
    <row r="1248">
      <c r="A1248" t="str">
        <v>WAPA</v>
      </c>
      <c r="B1248" t="str">
        <v>ZPTP_PO_LINE</v>
      </c>
      <c r="C1248" t="str">
        <v>WAPP</v>
      </c>
      <c r="D1248" t="str">
        <v>ZPTP_PO_LINE                  TEST/INTEGRATION/OPATESTS.QUNIT.HTML</v>
      </c>
      <c r="G1248" t="str">
        <v>ALL</v>
      </c>
      <c r="K1248" t="str">
        <v>E</v>
      </c>
      <c r="L1248">
        <v>50103014</v>
      </c>
      <c r="M1248">
        <v>44349</v>
      </c>
      <c r="N1248">
        <v>0.46167824074074</v>
      </c>
      <c r="S1248" t="str">
        <v>X</v>
      </c>
      <c r="W1248" t="str">
        <v>S01K912140</v>
      </c>
    </row>
    <row r="1249">
      <c r="A1249" t="str">
        <v>WAPA</v>
      </c>
      <c r="B1249" t="str">
        <v>ZPTP_PO_LINE</v>
      </c>
      <c r="C1249" t="str">
        <v>WAPP</v>
      </c>
      <c r="D1249" t="str">
        <v>ZPTP_PO_LINE                  TEST/INTEGRATION/OPATESTS.QUNIT.JS</v>
      </c>
      <c r="G1249" t="str">
        <v>ALL</v>
      </c>
      <c r="K1249" t="str">
        <v>E</v>
      </c>
      <c r="L1249">
        <v>50103014</v>
      </c>
      <c r="M1249">
        <v>44349</v>
      </c>
      <c r="N1249">
        <v>0.46166666666667</v>
      </c>
      <c r="S1249" t="str">
        <v>X</v>
      </c>
      <c r="W1249" t="str">
        <v>S01K912140</v>
      </c>
    </row>
    <row r="1250">
      <c r="A1250" t="str">
        <v>WAPA</v>
      </c>
      <c r="B1250" t="str">
        <v>ZPTP_PO_LINE</v>
      </c>
      <c r="C1250" t="str">
        <v>WAPP</v>
      </c>
      <c r="D1250" t="str">
        <v>ZPTP_PO_LINE                  TEST/INTEGRATION/PAGES/VIEW1.JS</v>
      </c>
      <c r="G1250" t="str">
        <v>ALL</v>
      </c>
      <c r="K1250" t="str">
        <v>E</v>
      </c>
      <c r="L1250">
        <v>50103014</v>
      </c>
      <c r="M1250">
        <v>44349</v>
      </c>
      <c r="N1250">
        <v>0.46177083333333</v>
      </c>
      <c r="S1250" t="str">
        <v>X</v>
      </c>
      <c r="W1250" t="str">
        <v>S01K912140</v>
      </c>
    </row>
    <row r="1251">
      <c r="A1251" t="str">
        <v>WAPA</v>
      </c>
      <c r="B1251" t="str">
        <v>ZPTP_PO_LINE</v>
      </c>
      <c r="C1251" t="str">
        <v>WAPP</v>
      </c>
      <c r="D1251" t="str">
        <v>ZPTP_PO_LINE                  TEST/TESTSUITE.QUNIT.HTML</v>
      </c>
      <c r="G1251" t="str">
        <v>ALL</v>
      </c>
      <c r="K1251" t="str">
        <v>E</v>
      </c>
      <c r="L1251">
        <v>50103014</v>
      </c>
      <c r="M1251">
        <v>44349</v>
      </c>
      <c r="N1251">
        <v>0.4616087962963</v>
      </c>
      <c r="S1251" t="str">
        <v>X</v>
      </c>
      <c r="W1251" t="str">
        <v>S01K912140</v>
      </c>
    </row>
    <row r="1252">
      <c r="A1252" t="str">
        <v>WAPA</v>
      </c>
      <c r="B1252" t="str">
        <v>ZPTP_PO_LINE</v>
      </c>
      <c r="C1252" t="str">
        <v>WAPP</v>
      </c>
      <c r="D1252" t="str">
        <v>ZPTP_PO_LINE                  TEST/TESTSUITE.QUNIT.JS</v>
      </c>
      <c r="G1252" t="str">
        <v>ALL</v>
      </c>
      <c r="K1252" t="str">
        <v>E</v>
      </c>
      <c r="L1252">
        <v>50103014</v>
      </c>
      <c r="M1252">
        <v>44349</v>
      </c>
      <c r="N1252">
        <v>0.46162037037037</v>
      </c>
      <c r="S1252" t="str">
        <v>X</v>
      </c>
      <c r="W1252" t="str">
        <v>S01K912140</v>
      </c>
    </row>
    <row r="1253">
      <c r="A1253" t="str">
        <v>WAPA</v>
      </c>
      <c r="B1253" t="str">
        <v>ZPTP_PO_LINE</v>
      </c>
      <c r="C1253" t="str">
        <v>WAPP</v>
      </c>
      <c r="D1253" t="str">
        <v>ZPTP_PO_LINE                  TEST/UNIT/ALLTESTS.JS</v>
      </c>
      <c r="G1253" t="str">
        <v>ALL</v>
      </c>
      <c r="K1253" t="str">
        <v>E</v>
      </c>
      <c r="L1253">
        <v>50103014</v>
      </c>
      <c r="M1253">
        <v>44349</v>
      </c>
      <c r="N1253">
        <v>0.46171296296296</v>
      </c>
      <c r="S1253" t="str">
        <v>X</v>
      </c>
      <c r="W1253" t="str">
        <v>S01K912140</v>
      </c>
    </row>
    <row r="1254">
      <c r="A1254" t="str">
        <v>WAPA</v>
      </c>
      <c r="B1254" t="str">
        <v>ZPTP_PO_LINE</v>
      </c>
      <c r="C1254" t="str">
        <v>WAPP</v>
      </c>
      <c r="D1254" t="str">
        <v>ZPTP_PO_LINE                  TEST/UNIT/CONTROLLER/VIEW1.CONTROLLER.JS</v>
      </c>
      <c r="G1254" t="str">
        <v>ALL</v>
      </c>
      <c r="K1254" t="str">
        <v>E</v>
      </c>
      <c r="L1254">
        <v>50103014</v>
      </c>
      <c r="M1254">
        <v>44349</v>
      </c>
      <c r="N1254">
        <v>0.46178240740741</v>
      </c>
      <c r="S1254" t="str">
        <v>X</v>
      </c>
      <c r="W1254" t="str">
        <v>S01K912140</v>
      </c>
    </row>
    <row r="1255">
      <c r="A1255" t="str">
        <v>WAPA</v>
      </c>
      <c r="B1255" t="str">
        <v>ZPTP_PO_LINE</v>
      </c>
      <c r="C1255" t="str">
        <v>WAPP</v>
      </c>
      <c r="D1255" t="str">
        <v>ZPTP_PO_LINE                  TEST/UNIT/UNITTESTS.QUNIT.HTML</v>
      </c>
      <c r="G1255" t="str">
        <v>ALL</v>
      </c>
      <c r="K1255" t="str">
        <v>E</v>
      </c>
      <c r="L1255">
        <v>50103014</v>
      </c>
      <c r="M1255">
        <v>44349</v>
      </c>
      <c r="N1255">
        <v>0.46172453703704</v>
      </c>
      <c r="S1255" t="str">
        <v>X</v>
      </c>
      <c r="W1255" t="str">
        <v>S01K912140</v>
      </c>
    </row>
    <row r="1256">
      <c r="A1256" t="str">
        <v>WAPA</v>
      </c>
      <c r="B1256" t="str">
        <v>ZPTP_PO_LINE</v>
      </c>
      <c r="C1256" t="str">
        <v>WAPP</v>
      </c>
      <c r="D1256" t="str">
        <v>ZPTP_PO_LINE                  TEST/UNIT/UNITTESTS.QUNIT.JS</v>
      </c>
      <c r="G1256" t="str">
        <v>ALL</v>
      </c>
      <c r="K1256" t="str">
        <v>E</v>
      </c>
      <c r="L1256">
        <v>50103014</v>
      </c>
      <c r="M1256">
        <v>44349</v>
      </c>
      <c r="N1256">
        <v>0.46171296296296</v>
      </c>
      <c r="S1256" t="str">
        <v>X</v>
      </c>
      <c r="W1256" t="str">
        <v>S01K912140</v>
      </c>
    </row>
    <row r="1257">
      <c r="A1257" t="str">
        <v>WAPA</v>
      </c>
      <c r="B1257" t="str">
        <v>ZPTP_PO_LINE</v>
      </c>
      <c r="C1257" t="str">
        <v>WAPP</v>
      </c>
      <c r="D1257" t="str">
        <v>ZPTP_PO_LINE                  UI5018E4B48CAD92F6A9CA2A2228EBECD3061432226</v>
      </c>
      <c r="G1257" t="str">
        <v>ALL</v>
      </c>
      <c r="K1257" t="str">
        <v>E</v>
      </c>
      <c r="L1257">
        <v>50103014</v>
      </c>
      <c r="M1257">
        <v>44349</v>
      </c>
      <c r="N1257">
        <v>0.46177083333333</v>
      </c>
      <c r="S1257" t="str">
        <v>X</v>
      </c>
      <c r="W1257" t="str">
        <v>S01K912140</v>
      </c>
    </row>
    <row r="1258">
      <c r="A1258" t="str">
        <v>WAPA</v>
      </c>
      <c r="B1258" t="str">
        <v>ZPTP_PO_LINE</v>
      </c>
      <c r="C1258" t="str">
        <v>WAPP</v>
      </c>
      <c r="D1258" t="str">
        <v>ZPTP_PO_LINE                  UI508F82450CDF3F862DC74B7320B28EDD6109B8B94</v>
      </c>
      <c r="G1258" t="str">
        <v>ALL</v>
      </c>
      <c r="K1258" t="str">
        <v>E</v>
      </c>
      <c r="L1258">
        <v>50103014</v>
      </c>
      <c r="M1258">
        <v>44349</v>
      </c>
      <c r="N1258">
        <v>0.46170138888889</v>
      </c>
      <c r="S1258" t="str">
        <v>X</v>
      </c>
      <c r="W1258" t="str">
        <v>S01K912140</v>
      </c>
    </row>
    <row r="1259">
      <c r="A1259" t="str">
        <v>WAPA</v>
      </c>
      <c r="B1259" t="str">
        <v>ZPTP_PO_LINE</v>
      </c>
      <c r="C1259" t="str">
        <v>WAPP</v>
      </c>
      <c r="D1259" t="str">
        <v>ZPTP_PO_LINE                  UI527267F5474D62E6D21B3897754C2BC39AB97EA98</v>
      </c>
      <c r="G1259" t="str">
        <v>ALL</v>
      </c>
      <c r="K1259" t="str">
        <v>E</v>
      </c>
      <c r="L1259">
        <v>50103014</v>
      </c>
      <c r="M1259">
        <v>44349</v>
      </c>
      <c r="N1259">
        <v>0.46173611111111</v>
      </c>
      <c r="S1259" t="str">
        <v>X</v>
      </c>
      <c r="W1259" t="str">
        <v>S01K912140</v>
      </c>
    </row>
    <row r="1260">
      <c r="A1260" t="str">
        <v>WAPA</v>
      </c>
      <c r="B1260" t="str">
        <v>ZPTP_PO_LINE</v>
      </c>
      <c r="C1260" t="str">
        <v>WAPP</v>
      </c>
      <c r="D1260" t="str">
        <v>ZPTP_PO_LINE                  UI52768EEB452F61BA8F0F8D4F2703489E00D8476BA</v>
      </c>
      <c r="G1260" t="str">
        <v>ALL</v>
      </c>
      <c r="K1260" t="str">
        <v>E</v>
      </c>
      <c r="L1260">
        <v>50103014</v>
      </c>
      <c r="M1260">
        <v>44349</v>
      </c>
      <c r="N1260">
        <v>0.46174768518519</v>
      </c>
      <c r="S1260" t="str">
        <v>X</v>
      </c>
      <c r="W1260" t="str">
        <v>S01K912140</v>
      </c>
    </row>
    <row r="1261">
      <c r="A1261" t="str">
        <v>WAPA</v>
      </c>
      <c r="B1261" t="str">
        <v>ZPTP_PO_LINE</v>
      </c>
      <c r="C1261" t="str">
        <v>WAPP</v>
      </c>
      <c r="D1261" t="str">
        <v>ZPTP_PO_LINE                  UI5429D1FCC905A37DCC96B86C417CD8ED860AFEEE5</v>
      </c>
      <c r="G1261" t="str">
        <v>ALL</v>
      </c>
      <c r="K1261" t="str">
        <v>E</v>
      </c>
      <c r="L1261">
        <v>50103014</v>
      </c>
      <c r="M1261">
        <v>44349</v>
      </c>
      <c r="N1261">
        <v>0.46158564814815</v>
      </c>
      <c r="S1261" t="str">
        <v>X</v>
      </c>
      <c r="W1261" t="str">
        <v>S01K912140</v>
      </c>
    </row>
    <row r="1262">
      <c r="A1262" t="str">
        <v>WAPA</v>
      </c>
      <c r="B1262" t="str">
        <v>ZPTP_PO_LINE</v>
      </c>
      <c r="C1262" t="str">
        <v>WAPP</v>
      </c>
      <c r="D1262" t="str">
        <v>ZPTP_PO_LINE                  UI557CF5CD537FC7FD6ABD94DE90D5321044743BE20</v>
      </c>
      <c r="G1262" t="str">
        <v>ALL</v>
      </c>
      <c r="K1262" t="str">
        <v>E</v>
      </c>
      <c r="L1262" t="str">
        <v>NEZHILVENDHA</v>
      </c>
      <c r="M1262">
        <v>46073</v>
      </c>
      <c r="N1262">
        <v>0.26673611111111</v>
      </c>
      <c r="S1262" t="str">
        <v>X</v>
      </c>
      <c r="W1262" t="str">
        <v>S01K928412</v>
      </c>
    </row>
    <row r="1263">
      <c r="A1263" t="str">
        <v>WAPA</v>
      </c>
      <c r="B1263" t="str">
        <v>ZPTP_PO_LINE</v>
      </c>
      <c r="C1263" t="str">
        <v>WAPP</v>
      </c>
      <c r="D1263" t="str">
        <v>ZPTP_PO_LINE                  UI55EA81C193C52B757C16DE73DF25FDC168CA09071</v>
      </c>
      <c r="G1263" t="str">
        <v>ALL</v>
      </c>
      <c r="K1263" t="str">
        <v>E</v>
      </c>
      <c r="L1263">
        <v>50103014</v>
      </c>
      <c r="M1263">
        <v>44349</v>
      </c>
      <c r="N1263">
        <v>0.46168981481481</v>
      </c>
      <c r="S1263" t="str">
        <v>X</v>
      </c>
      <c r="W1263" t="str">
        <v>S01K912140</v>
      </c>
    </row>
    <row r="1264">
      <c r="A1264" t="str">
        <v>WAPA</v>
      </c>
      <c r="B1264" t="str">
        <v>ZPTP_PO_LINE</v>
      </c>
      <c r="C1264" t="str">
        <v>WAPP</v>
      </c>
      <c r="D1264" t="str">
        <v>ZPTP_PO_LINE                  UI56DF211C1A129239F14A2C10EA481F361D87C2951</v>
      </c>
      <c r="G1264" t="str">
        <v>ALL</v>
      </c>
      <c r="K1264" t="str">
        <v>E</v>
      </c>
      <c r="L1264">
        <v>50103014</v>
      </c>
      <c r="M1264">
        <v>44349</v>
      </c>
      <c r="N1264">
        <v>0.46162037037037</v>
      </c>
      <c r="S1264" t="str">
        <v>X</v>
      </c>
      <c r="W1264" t="str">
        <v>S01K912140</v>
      </c>
    </row>
    <row r="1265">
      <c r="A1265" t="str">
        <v>WAPA</v>
      </c>
      <c r="B1265" t="str">
        <v>ZPTP_PO_LINE</v>
      </c>
      <c r="C1265" t="str">
        <v>WAPP</v>
      </c>
      <c r="D1265" t="str">
        <v>ZPTP_PO_LINE                  UI5B286271A536B86ED651FBB5320BA4B907C4EB39A</v>
      </c>
      <c r="G1265" t="str">
        <v>ALL</v>
      </c>
      <c r="K1265" t="str">
        <v>E</v>
      </c>
      <c r="L1265">
        <v>50103014</v>
      </c>
      <c r="M1265">
        <v>44349</v>
      </c>
      <c r="N1265">
        <v>0.46149305555556</v>
      </c>
      <c r="S1265" t="str">
        <v>X</v>
      </c>
      <c r="W1265" t="str">
        <v>S01K912140</v>
      </c>
    </row>
    <row r="1266">
      <c r="A1266" t="str">
        <v>WAPA</v>
      </c>
      <c r="B1266" t="str">
        <v>ZPTP_PO_LINE</v>
      </c>
      <c r="C1266" t="str">
        <v>WAPP</v>
      </c>
      <c r="D1266" t="str">
        <v>ZPTP_PO_LINE                  UI5D0509BCA4761B02D4C560D48F432882FE3618B85</v>
      </c>
      <c r="G1266" t="str">
        <v>ALL</v>
      </c>
      <c r="K1266" t="str">
        <v>E</v>
      </c>
      <c r="L1266">
        <v>50103014</v>
      </c>
      <c r="M1266">
        <v>44349</v>
      </c>
      <c r="N1266">
        <v>0.46148148148148</v>
      </c>
      <c r="S1266" t="str">
        <v>X</v>
      </c>
      <c r="W1266" t="str">
        <v>S01K912140</v>
      </c>
    </row>
    <row r="1267">
      <c r="A1267" t="str">
        <v>WAPA</v>
      </c>
      <c r="B1267" t="str">
        <v>ZPTP_PO_LINE</v>
      </c>
      <c r="C1267" t="str">
        <v>WAPP</v>
      </c>
      <c r="D1267" t="str">
        <v>ZPTP_PO_LINE                  UI5D3D872099E5E512CBF7792B8AE2A3286B6A31446</v>
      </c>
      <c r="G1267" t="str">
        <v>ALL</v>
      </c>
      <c r="K1267" t="str">
        <v>E</v>
      </c>
      <c r="L1267">
        <v>50103014</v>
      </c>
      <c r="M1267">
        <v>44349</v>
      </c>
      <c r="N1267">
        <v>0.46174768518519</v>
      </c>
      <c r="S1267" t="str">
        <v>X</v>
      </c>
      <c r="W1267" t="str">
        <v>S01K912140</v>
      </c>
    </row>
    <row r="1268">
      <c r="A1268" t="str">
        <v>WAPA</v>
      </c>
      <c r="B1268" t="str">
        <v>ZPTP_PO_LINE</v>
      </c>
      <c r="C1268" t="str">
        <v>WAPP</v>
      </c>
      <c r="D1268" t="str">
        <v>ZPTP_PO_LINE                  UI5E63C00F892E980886060A10B1B3A27841D4B3451</v>
      </c>
      <c r="G1268" t="str">
        <v>ALL</v>
      </c>
      <c r="K1268" t="str">
        <v>E</v>
      </c>
      <c r="L1268">
        <v>50103014</v>
      </c>
      <c r="M1268">
        <v>44349</v>
      </c>
      <c r="N1268">
        <v>0.46168981481481</v>
      </c>
      <c r="S1268" t="str">
        <v>X</v>
      </c>
      <c r="W1268" t="str">
        <v>S01K912140</v>
      </c>
    </row>
    <row r="1269">
      <c r="A1269" t="str">
        <v>WAPA</v>
      </c>
      <c r="B1269" t="str">
        <v>ZPTP_PO_LINE</v>
      </c>
      <c r="C1269" t="str">
        <v>WAPP</v>
      </c>
      <c r="D1269" t="str">
        <v>ZPTP_PO_LINE                  UI5F4AF3EB3DB6353A1FFDAB8583D4F57948A0BC73A</v>
      </c>
      <c r="G1269" t="str">
        <v>ALL</v>
      </c>
      <c r="K1269" t="str">
        <v>E</v>
      </c>
      <c r="L1269">
        <v>50103014</v>
      </c>
      <c r="M1269">
        <v>44349</v>
      </c>
      <c r="N1269">
        <v>0.46179398148148</v>
      </c>
      <c r="S1269" t="str">
        <v>X</v>
      </c>
      <c r="W1269" t="str">
        <v>S01K912140</v>
      </c>
    </row>
    <row r="1270">
      <c r="A1270" t="str">
        <v>WAPA</v>
      </c>
      <c r="B1270" t="str">
        <v>ZPTP_PO_SO_REP</v>
      </c>
      <c r="C1270" t="str">
        <v>WAPP</v>
      </c>
      <c r="D1270" t="str">
        <v>ZPTP_PO_SO_REP                COMPONENT.JS</v>
      </c>
      <c r="G1270" t="str">
        <v>ALL</v>
      </c>
      <c r="K1270" t="str">
        <v>E</v>
      </c>
      <c r="L1270">
        <v>50103014</v>
      </c>
      <c r="M1270">
        <v>44405</v>
      </c>
      <c r="N1270">
        <v>0.47966435185185</v>
      </c>
      <c r="S1270" t="str">
        <v>X</v>
      </c>
    </row>
    <row r="1271">
      <c r="A1271" t="str">
        <v>WAPA</v>
      </c>
      <c r="B1271" t="str">
        <v>ZPTP_PO_SO_REP</v>
      </c>
      <c r="C1271" t="str">
        <v>WAPP</v>
      </c>
      <c r="D1271" t="str">
        <v>ZPTP_PO_SO_REP                CONTROLLER/LISTPAGE.CONTROLLER.JS</v>
      </c>
      <c r="G1271" t="str">
        <v>ALL</v>
      </c>
      <c r="K1271" t="str">
        <v>E</v>
      </c>
      <c r="L1271">
        <v>50103014</v>
      </c>
      <c r="M1271">
        <v>44405</v>
      </c>
      <c r="N1271">
        <v>0.47979166666667</v>
      </c>
      <c r="S1271" t="str">
        <v>X</v>
      </c>
    </row>
    <row r="1272">
      <c r="A1272" t="str">
        <v>WAPA</v>
      </c>
      <c r="B1272" t="str">
        <v>ZPTP_PO_SO_REP</v>
      </c>
      <c r="C1272" t="str">
        <v>WAPP</v>
      </c>
      <c r="D1272" t="str">
        <v>ZPTP_PO_SO_REP                CSS/STYLE.CSS</v>
      </c>
      <c r="G1272" t="str">
        <v>ALL</v>
      </c>
      <c r="K1272" t="str">
        <v>E</v>
      </c>
      <c r="L1272">
        <v>50103014</v>
      </c>
      <c r="M1272">
        <v>44405</v>
      </c>
      <c r="N1272">
        <v>0.47980324074074</v>
      </c>
      <c r="S1272" t="str">
        <v>X</v>
      </c>
    </row>
    <row r="1273">
      <c r="A1273" t="str">
        <v>WAPA</v>
      </c>
      <c r="B1273" t="str">
        <v>ZPTP_PO_SO_REP</v>
      </c>
      <c r="C1273" t="str">
        <v>WAPP</v>
      </c>
      <c r="D1273" t="str">
        <v>ZPTP_PO_SO_REP                I18N/I18N.PROPERTIES</v>
      </c>
      <c r="G1273" t="str">
        <v>ALL</v>
      </c>
      <c r="K1273" t="str">
        <v>E</v>
      </c>
      <c r="L1273">
        <v>50103014</v>
      </c>
      <c r="M1273">
        <v>44405</v>
      </c>
      <c r="N1273">
        <v>0.47978009259259</v>
      </c>
      <c r="S1273" t="str">
        <v>X</v>
      </c>
    </row>
    <row r="1274">
      <c r="A1274" t="str">
        <v>WAPA</v>
      </c>
      <c r="B1274" t="str">
        <v>ZPTP_PO_SO_REP</v>
      </c>
      <c r="C1274" t="str">
        <v>WAPP</v>
      </c>
      <c r="D1274" t="str">
        <v>ZPTP_PO_SO_REP                INDEX.HTML</v>
      </c>
      <c r="G1274" t="str">
        <v>ALL</v>
      </c>
      <c r="K1274" t="str">
        <v>E</v>
      </c>
      <c r="L1274">
        <v>50103014</v>
      </c>
      <c r="M1274">
        <v>44405</v>
      </c>
      <c r="N1274">
        <v>0.47967592592593</v>
      </c>
      <c r="S1274" t="str">
        <v>X</v>
      </c>
    </row>
    <row r="1275">
      <c r="A1275" t="str">
        <v>WAPA</v>
      </c>
      <c r="B1275" t="str">
        <v>ZPTP_PO_SO_REP</v>
      </c>
      <c r="C1275" t="str">
        <v>WAPP</v>
      </c>
      <c r="D1275" t="str">
        <v>ZPTP_PO_SO_REP                LOCALSERVICE/METADATA.XML</v>
      </c>
      <c r="G1275" t="str">
        <v>ALL</v>
      </c>
      <c r="K1275" t="str">
        <v>E</v>
      </c>
      <c r="L1275">
        <v>50103014</v>
      </c>
      <c r="M1275">
        <v>44405</v>
      </c>
      <c r="N1275">
        <v>0.47981481481481</v>
      </c>
      <c r="S1275" t="str">
        <v>X</v>
      </c>
    </row>
    <row r="1276">
      <c r="A1276" t="str">
        <v>WAPA</v>
      </c>
      <c r="B1276" t="str">
        <v>ZPTP_PO_SO_REP</v>
      </c>
      <c r="C1276" t="str">
        <v>WAPP</v>
      </c>
      <c r="D1276" t="str">
        <v>ZPTP_PO_SO_REP                MANIFEST.JSON</v>
      </c>
      <c r="G1276" t="str">
        <v>ALL</v>
      </c>
      <c r="K1276" t="str">
        <v>E</v>
      </c>
      <c r="L1276">
        <v>50103014</v>
      </c>
      <c r="M1276">
        <v>44405</v>
      </c>
      <c r="N1276">
        <v>0.47971064814815</v>
      </c>
      <c r="S1276" t="str">
        <v>X</v>
      </c>
    </row>
    <row r="1277">
      <c r="A1277" t="str">
        <v>WAPA</v>
      </c>
      <c r="B1277" t="str">
        <v>ZPTP_PO_SO_REP</v>
      </c>
      <c r="C1277" t="str">
        <v>WAPP</v>
      </c>
      <c r="D1277" t="str">
        <v>ZPTP_PO_SO_REP                MODEL/MODELS.JS</v>
      </c>
      <c r="G1277" t="str">
        <v>ALL</v>
      </c>
      <c r="K1277" t="str">
        <v>E</v>
      </c>
      <c r="L1277">
        <v>50103014</v>
      </c>
      <c r="M1277">
        <v>44405</v>
      </c>
      <c r="N1277">
        <v>0.47986111111111</v>
      </c>
      <c r="S1277" t="str">
        <v>X</v>
      </c>
    </row>
    <row r="1278">
      <c r="A1278" t="str">
        <v>WAPA</v>
      </c>
      <c r="B1278" t="str">
        <v>ZPTP_PO_SO_REP</v>
      </c>
      <c r="C1278" t="str">
        <v>WAPP</v>
      </c>
      <c r="D1278" t="str">
        <v>ZPTP_PO_SO_REP                RESOURCES.JSON</v>
      </c>
      <c r="G1278" t="str">
        <v>ALL</v>
      </c>
      <c r="K1278" t="str">
        <v>E</v>
      </c>
      <c r="L1278">
        <v>50103014</v>
      </c>
      <c r="M1278">
        <v>44405</v>
      </c>
      <c r="N1278">
        <v>0.4797337962963</v>
      </c>
      <c r="S1278" t="str">
        <v>X</v>
      </c>
    </row>
    <row r="1279">
      <c r="A1279" t="str">
        <v>WAPA</v>
      </c>
      <c r="B1279" t="str">
        <v>ZPTP_PO_SO_REP</v>
      </c>
      <c r="C1279" t="str">
        <v>WAPP</v>
      </c>
      <c r="D1279" t="str">
        <v>ZPTP_PO_SO_REP                SERVICEBINDING.JS</v>
      </c>
      <c r="G1279" t="str">
        <v>ALL</v>
      </c>
      <c r="K1279" t="str">
        <v>E</v>
      </c>
      <c r="L1279">
        <v>50103014</v>
      </c>
      <c r="M1279">
        <v>44405</v>
      </c>
      <c r="N1279">
        <v>0.47975694444444</v>
      </c>
      <c r="S1279" t="str">
        <v>X</v>
      </c>
    </row>
    <row r="1280">
      <c r="A1280" t="str">
        <v>WAPA</v>
      </c>
      <c r="B1280" t="str">
        <v>ZPTP_PO_SO_REP</v>
      </c>
      <c r="C1280" t="str">
        <v>WAPP</v>
      </c>
      <c r="D1280" t="str">
        <v>ZPTP_PO_SO_REP                TEST/INTEGRATION/ALLJOURNEYS.JS</v>
      </c>
      <c r="G1280" t="str">
        <v>ALL</v>
      </c>
      <c r="K1280" t="str">
        <v>E</v>
      </c>
      <c r="L1280">
        <v>50103014</v>
      </c>
      <c r="M1280">
        <v>44405</v>
      </c>
      <c r="N1280">
        <v>0.47993055555556</v>
      </c>
      <c r="S1280" t="str">
        <v>X</v>
      </c>
    </row>
    <row r="1281">
      <c r="A1281" t="str">
        <v>WAPA</v>
      </c>
      <c r="B1281" t="str">
        <v>ZPTP_PO_SO_REP</v>
      </c>
      <c r="C1281" t="str">
        <v>WAPP</v>
      </c>
      <c r="D1281" t="str">
        <v>ZPTP_PO_SO_REP                TEST/INTEGRATION/ARRANGEMENTS/STARTUP.JS</v>
      </c>
      <c r="G1281" t="str">
        <v>ALL</v>
      </c>
      <c r="K1281" t="str">
        <v>E</v>
      </c>
      <c r="L1281">
        <v>50103014</v>
      </c>
      <c r="M1281">
        <v>44405</v>
      </c>
      <c r="N1281">
        <v>0.48002314814815</v>
      </c>
      <c r="S1281" t="str">
        <v>X</v>
      </c>
    </row>
    <row r="1282">
      <c r="A1282" t="str">
        <v>WAPA</v>
      </c>
      <c r="B1282" t="str">
        <v>ZPTP_PO_SO_REP</v>
      </c>
      <c r="C1282" t="str">
        <v>WAPP</v>
      </c>
      <c r="D1282" t="str">
        <v>ZPTP_PO_SO_REP                TEST/INTEGRATION/NAVIGATIONJOURNEY.JS</v>
      </c>
      <c r="G1282" t="str">
        <v>ALL</v>
      </c>
      <c r="K1282" t="str">
        <v>E</v>
      </c>
      <c r="L1282">
        <v>50103014</v>
      </c>
      <c r="M1282">
        <v>44405</v>
      </c>
      <c r="N1282">
        <v>0.47994212962963</v>
      </c>
      <c r="S1282" t="str">
        <v>X</v>
      </c>
    </row>
    <row r="1283">
      <c r="A1283" t="str">
        <v>WAPA</v>
      </c>
      <c r="B1283" t="str">
        <v>ZPTP_PO_SO_REP</v>
      </c>
      <c r="C1283" t="str">
        <v>WAPP</v>
      </c>
      <c r="D1283" t="str">
        <v>ZPTP_PO_SO_REP                TEST/INTEGRATION/OPATESTS.QUNIT.HTML</v>
      </c>
      <c r="G1283" t="str">
        <v>ALL</v>
      </c>
      <c r="K1283" t="str">
        <v>E</v>
      </c>
      <c r="L1283">
        <v>50103014</v>
      </c>
      <c r="M1283">
        <v>44405</v>
      </c>
      <c r="N1283">
        <v>0.4799537037037</v>
      </c>
      <c r="S1283" t="str">
        <v>X</v>
      </c>
    </row>
    <row r="1284">
      <c r="A1284" t="str">
        <v>WAPA</v>
      </c>
      <c r="B1284" t="str">
        <v>ZPTP_PO_SO_REP</v>
      </c>
      <c r="C1284" t="str">
        <v>WAPP</v>
      </c>
      <c r="D1284" t="str">
        <v>ZPTP_PO_SO_REP                TEST/INTEGRATION/OPATESTS.QUNIT.JS</v>
      </c>
      <c r="G1284" t="str">
        <v>ALL</v>
      </c>
      <c r="K1284" t="str">
        <v>E</v>
      </c>
      <c r="L1284">
        <v>50103014</v>
      </c>
      <c r="M1284">
        <v>44405</v>
      </c>
      <c r="N1284">
        <v>0.47996527777778</v>
      </c>
      <c r="S1284" t="str">
        <v>X</v>
      </c>
    </row>
    <row r="1285">
      <c r="A1285" t="str">
        <v>WAPA</v>
      </c>
      <c r="B1285" t="str">
        <v>ZPTP_PO_SO_REP</v>
      </c>
      <c r="C1285" t="str">
        <v>WAPP</v>
      </c>
      <c r="D1285" t="str">
        <v>ZPTP_PO_SO_REP                TEST/INTEGRATION/PAGES/LISTPAGE.JS</v>
      </c>
      <c r="G1285" t="str">
        <v>ALL</v>
      </c>
      <c r="K1285" t="str">
        <v>E</v>
      </c>
      <c r="L1285">
        <v>50103014</v>
      </c>
      <c r="M1285">
        <v>44405</v>
      </c>
      <c r="N1285">
        <v>0.48</v>
      </c>
      <c r="S1285" t="str">
        <v>X</v>
      </c>
    </row>
    <row r="1286">
      <c r="A1286" t="str">
        <v>WAPA</v>
      </c>
      <c r="B1286" t="str">
        <v>ZPTP_PO_SO_REP</v>
      </c>
      <c r="C1286" t="str">
        <v>WAPP</v>
      </c>
      <c r="D1286" t="str">
        <v>ZPTP_PO_SO_REP                TEST/TESTSUITE.QUNIT.HTML</v>
      </c>
      <c r="G1286" t="str">
        <v>ALL</v>
      </c>
      <c r="K1286" t="str">
        <v>E</v>
      </c>
      <c r="L1286">
        <v>50103014</v>
      </c>
      <c r="M1286">
        <v>44405</v>
      </c>
      <c r="N1286">
        <v>0.47983796296296</v>
      </c>
      <c r="S1286" t="str">
        <v>X</v>
      </c>
    </row>
    <row r="1287">
      <c r="A1287" t="str">
        <v>WAPA</v>
      </c>
      <c r="B1287" t="str">
        <v>ZPTP_PO_SO_REP</v>
      </c>
      <c r="C1287" t="str">
        <v>WAPP</v>
      </c>
      <c r="D1287" t="str">
        <v>ZPTP_PO_SO_REP                TEST/TESTSUITE.QUNIT.JS</v>
      </c>
      <c r="G1287" t="str">
        <v>ALL</v>
      </c>
      <c r="K1287" t="str">
        <v>E</v>
      </c>
      <c r="L1287">
        <v>50103014</v>
      </c>
      <c r="M1287">
        <v>44405</v>
      </c>
      <c r="N1287">
        <v>0.47983796296296</v>
      </c>
      <c r="S1287" t="str">
        <v>X</v>
      </c>
    </row>
    <row r="1288">
      <c r="A1288" t="str">
        <v>WAPA</v>
      </c>
      <c r="B1288" t="str">
        <v>ZPTP_PO_SO_REP</v>
      </c>
      <c r="C1288" t="str">
        <v>WAPP</v>
      </c>
      <c r="D1288" t="str">
        <v>ZPTP_PO_SO_REP                TEST/UNIT/ALLTESTS.JS</v>
      </c>
      <c r="G1288" t="str">
        <v>ALL</v>
      </c>
      <c r="K1288" t="str">
        <v>E</v>
      </c>
      <c r="L1288">
        <v>50103014</v>
      </c>
      <c r="M1288">
        <v>44405</v>
      </c>
      <c r="N1288">
        <v>0.47989583333333</v>
      </c>
      <c r="S1288" t="str">
        <v>X</v>
      </c>
    </row>
    <row r="1289">
      <c r="A1289" t="str">
        <v>WAPA</v>
      </c>
      <c r="B1289" t="str">
        <v>ZPTP_PO_SO_REP</v>
      </c>
      <c r="C1289" t="str">
        <v>WAPP</v>
      </c>
      <c r="D1289" t="str">
        <v>ZPTP_PO_SO_REP                TEST/UNIT/CONTROLLER/LISTPAGE.CONTROLLER.JS</v>
      </c>
      <c r="G1289" t="str">
        <v>ALL</v>
      </c>
      <c r="K1289" t="str">
        <v>E</v>
      </c>
      <c r="L1289">
        <v>50103014</v>
      </c>
      <c r="M1289">
        <v>44405</v>
      </c>
      <c r="N1289">
        <v>0.47998842592593</v>
      </c>
      <c r="S1289" t="str">
        <v>X</v>
      </c>
    </row>
    <row r="1290">
      <c r="A1290" t="str">
        <v>WAPA</v>
      </c>
      <c r="B1290" t="str">
        <v>ZPTP_PO_SO_REP</v>
      </c>
      <c r="C1290" t="str">
        <v>WAPP</v>
      </c>
      <c r="D1290" t="str">
        <v>ZPTP_PO_SO_REP                TEST/UNIT/UNITTESTS.QUNIT.HTML</v>
      </c>
      <c r="G1290" t="str">
        <v>ALL</v>
      </c>
      <c r="K1290" t="str">
        <v>E</v>
      </c>
      <c r="L1290">
        <v>50103014</v>
      </c>
      <c r="M1290">
        <v>44405</v>
      </c>
      <c r="N1290">
        <v>0.47991898148148</v>
      </c>
      <c r="S1290" t="str">
        <v>X</v>
      </c>
    </row>
    <row r="1291">
      <c r="A1291" t="str">
        <v>WAPA</v>
      </c>
      <c r="B1291" t="str">
        <v>ZPTP_PO_SO_REP</v>
      </c>
      <c r="C1291" t="str">
        <v>WAPP</v>
      </c>
      <c r="D1291" t="str">
        <v>ZPTP_PO_SO_REP                TEST/UNIT/UNITTESTS.QUNIT.JS</v>
      </c>
      <c r="G1291" t="str">
        <v>ALL</v>
      </c>
      <c r="K1291" t="str">
        <v>E</v>
      </c>
      <c r="L1291">
        <v>50103014</v>
      </c>
      <c r="M1291">
        <v>44405</v>
      </c>
      <c r="N1291">
        <v>0.47990740740741</v>
      </c>
      <c r="S1291" t="str">
        <v>X</v>
      </c>
    </row>
    <row r="1292">
      <c r="A1292" t="str">
        <v>WAPA</v>
      </c>
      <c r="B1292" t="str">
        <v>ZPTP_PO_SO_REP</v>
      </c>
      <c r="C1292" t="str">
        <v>WAPP</v>
      </c>
      <c r="D1292" t="str">
        <v>ZPTP_PO_SO_REP                UI501A97A8D48C58F1538268E13F54B72DFAFC16186</v>
      </c>
      <c r="G1292" t="str">
        <v>ALL</v>
      </c>
      <c r="K1292" t="str">
        <v>E</v>
      </c>
      <c r="L1292">
        <v>50103014</v>
      </c>
      <c r="M1292">
        <v>44405</v>
      </c>
      <c r="N1292">
        <v>0.47978009259259</v>
      </c>
      <c r="S1292" t="str">
        <v>X</v>
      </c>
    </row>
    <row r="1293">
      <c r="A1293" t="str">
        <v>WAPA</v>
      </c>
      <c r="B1293" t="str">
        <v>ZPTP_PO_SO_REP</v>
      </c>
      <c r="C1293" t="str">
        <v>WAPP</v>
      </c>
      <c r="D1293" t="str">
        <v>ZPTP_PO_SO_REP                UI50257745F05FBF0F4AE480BDA74B6A8663B732039</v>
      </c>
      <c r="G1293" t="str">
        <v>ALL</v>
      </c>
      <c r="K1293" t="str">
        <v>E</v>
      </c>
      <c r="L1293">
        <v>50103014</v>
      </c>
      <c r="M1293">
        <v>44405</v>
      </c>
      <c r="N1293">
        <v>0.48</v>
      </c>
      <c r="S1293" t="str">
        <v>X</v>
      </c>
    </row>
    <row r="1294">
      <c r="A1294" t="str">
        <v>WAPA</v>
      </c>
      <c r="B1294" t="str">
        <v>ZPTP_PO_SO_REP</v>
      </c>
      <c r="C1294" t="str">
        <v>WAPP</v>
      </c>
      <c r="D1294" t="str">
        <v>ZPTP_PO_SO_REP                UI508F82450CDF3F862DC74B7320B28EDD6109B8B94</v>
      </c>
      <c r="G1294" t="str">
        <v>ALL</v>
      </c>
      <c r="K1294" t="str">
        <v>E</v>
      </c>
      <c r="L1294">
        <v>50103014</v>
      </c>
      <c r="M1294">
        <v>44405</v>
      </c>
      <c r="N1294">
        <v>0.4799537037037</v>
      </c>
      <c r="S1294" t="str">
        <v>X</v>
      </c>
    </row>
    <row r="1295">
      <c r="A1295" t="str">
        <v>WAPA</v>
      </c>
      <c r="B1295" t="str">
        <v>ZPTP_PO_SO_REP</v>
      </c>
      <c r="C1295" t="str">
        <v>WAPP</v>
      </c>
      <c r="D1295" t="str">
        <v>ZPTP_PO_SO_REP                UI527267F5474D62E6D21B3897754C2BC39AB97EA98</v>
      </c>
      <c r="G1295" t="str">
        <v>ALL</v>
      </c>
      <c r="K1295" t="str">
        <v>E</v>
      </c>
      <c r="L1295">
        <v>50103014</v>
      </c>
      <c r="M1295">
        <v>44405</v>
      </c>
      <c r="N1295">
        <v>0.47988425925926</v>
      </c>
      <c r="S1295" t="str">
        <v>X</v>
      </c>
    </row>
    <row r="1296">
      <c r="A1296" t="str">
        <v>WAPA</v>
      </c>
      <c r="B1296" t="str">
        <v>ZPTP_PO_SO_REP</v>
      </c>
      <c r="C1296" t="str">
        <v>WAPP</v>
      </c>
      <c r="D1296" t="str">
        <v>ZPTP_PO_SO_REP                UI52768EEB452F61BA8F0F8D4F2703489E00D8476BA</v>
      </c>
      <c r="G1296" t="str">
        <v>ALL</v>
      </c>
      <c r="K1296" t="str">
        <v>E</v>
      </c>
      <c r="L1296">
        <v>50103014</v>
      </c>
      <c r="M1296">
        <v>44405</v>
      </c>
      <c r="N1296">
        <v>0.47989583333333</v>
      </c>
      <c r="S1296" t="str">
        <v>X</v>
      </c>
    </row>
    <row r="1297">
      <c r="A1297" t="str">
        <v>WAPA</v>
      </c>
      <c r="B1297" t="str">
        <v>ZPTP_PO_SO_REP</v>
      </c>
      <c r="C1297" t="str">
        <v>WAPP</v>
      </c>
      <c r="D1297" t="str">
        <v>ZPTP_PO_SO_REP                UI5429D1FCC905A37DCC96B86C417CD8ED860AFEEE5</v>
      </c>
      <c r="G1297" t="str">
        <v>ALL</v>
      </c>
      <c r="K1297" t="str">
        <v>E</v>
      </c>
      <c r="L1297">
        <v>50103014</v>
      </c>
      <c r="M1297">
        <v>44405</v>
      </c>
      <c r="N1297">
        <v>0.47980324074074</v>
      </c>
      <c r="S1297" t="str">
        <v>X</v>
      </c>
    </row>
    <row r="1298">
      <c r="A1298" t="str">
        <v>WAPA</v>
      </c>
      <c r="B1298" t="str">
        <v>ZPTP_PO_SO_REP</v>
      </c>
      <c r="C1298" t="str">
        <v>WAPP</v>
      </c>
      <c r="D1298" t="str">
        <v>ZPTP_PO_SO_REP                UI546CCB7BA293F78299C9795D5CFCCB84DBB075535</v>
      </c>
      <c r="G1298" t="str">
        <v>ALL</v>
      </c>
      <c r="K1298" t="str">
        <v>E</v>
      </c>
      <c r="L1298">
        <v>50103014</v>
      </c>
      <c r="M1298">
        <v>44405</v>
      </c>
      <c r="N1298">
        <v>0.47975694444444</v>
      </c>
      <c r="S1298" t="str">
        <v>X</v>
      </c>
    </row>
    <row r="1299">
      <c r="A1299" t="str">
        <v>WAPA</v>
      </c>
      <c r="B1299" t="str">
        <v>ZPTP_PO_SO_REP</v>
      </c>
      <c r="C1299" t="str">
        <v>WAPP</v>
      </c>
      <c r="D1299" t="str">
        <v>ZPTP_PO_SO_REP                UI55EA81C193C52B757C16DE73DF25FDC168CA09071</v>
      </c>
      <c r="G1299" t="str">
        <v>ALL</v>
      </c>
      <c r="K1299" t="str">
        <v>E</v>
      </c>
      <c r="L1299">
        <v>50103014</v>
      </c>
      <c r="M1299">
        <v>44405</v>
      </c>
      <c r="N1299">
        <v>0.47997685185185</v>
      </c>
      <c r="S1299" t="str">
        <v>X</v>
      </c>
    </row>
    <row r="1300">
      <c r="A1300" t="str">
        <v>WAPA</v>
      </c>
      <c r="B1300" t="str">
        <v>ZPTP_PO_SO_REP</v>
      </c>
      <c r="C1300" t="str">
        <v>WAPP</v>
      </c>
      <c r="D1300" t="str">
        <v>ZPTP_PO_SO_REP                UI56DF211C1A129239F14A2C10EA481F361D87C2951</v>
      </c>
      <c r="G1300" t="str">
        <v>ALL</v>
      </c>
      <c r="K1300" t="str">
        <v>E</v>
      </c>
      <c r="L1300">
        <v>50103014</v>
      </c>
      <c r="M1300">
        <v>44405</v>
      </c>
      <c r="N1300">
        <v>0.47982638888889</v>
      </c>
      <c r="S1300" t="str">
        <v>X</v>
      </c>
    </row>
    <row r="1301">
      <c r="A1301" t="str">
        <v>WAPA</v>
      </c>
      <c r="B1301" t="str">
        <v>ZPTP_PO_SO_REP</v>
      </c>
      <c r="C1301" t="str">
        <v>WAPP</v>
      </c>
      <c r="D1301" t="str">
        <v>ZPTP_PO_SO_REP                UI5998D97B267DCF6C31BD1569E8D040163B49B6B1B</v>
      </c>
      <c r="G1301" t="str">
        <v>ALL</v>
      </c>
      <c r="K1301" t="str">
        <v>E</v>
      </c>
      <c r="L1301">
        <v>50103014</v>
      </c>
      <c r="M1301">
        <v>44405</v>
      </c>
      <c r="N1301">
        <v>0.47962962962963</v>
      </c>
      <c r="S1301" t="str">
        <v>X</v>
      </c>
    </row>
    <row r="1302">
      <c r="A1302" t="str">
        <v>WAPA</v>
      </c>
      <c r="B1302" t="str">
        <v>ZPTP_PO_SO_REP</v>
      </c>
      <c r="C1302" t="str">
        <v>WAPP</v>
      </c>
      <c r="D1302" t="str">
        <v>ZPTP_PO_SO_REP                UI5A8F975298998C8C4C5BA02CD322A891D320070AF</v>
      </c>
      <c r="G1302" t="str">
        <v>ALL</v>
      </c>
      <c r="K1302" t="str">
        <v>E</v>
      </c>
      <c r="L1302">
        <v>50103014</v>
      </c>
      <c r="M1302">
        <v>44405</v>
      </c>
      <c r="N1302">
        <v>0.47984953703704</v>
      </c>
      <c r="S1302" t="str">
        <v>X</v>
      </c>
    </row>
    <row r="1303">
      <c r="A1303" t="str">
        <v>WAPA</v>
      </c>
      <c r="B1303" t="str">
        <v>ZPTP_PO_SO_REP</v>
      </c>
      <c r="C1303" t="str">
        <v>WAPP</v>
      </c>
      <c r="D1303" t="str">
        <v>ZPTP_PO_SO_REP                UI5B286271A536B86ED651FBB5320BA4B907C4EB39A</v>
      </c>
      <c r="G1303" t="str">
        <v>ALL</v>
      </c>
      <c r="K1303" t="str">
        <v>E</v>
      </c>
      <c r="L1303">
        <v>50103014</v>
      </c>
      <c r="M1303">
        <v>44405</v>
      </c>
      <c r="N1303">
        <v>0.47972222222222</v>
      </c>
      <c r="S1303" t="str">
        <v>X</v>
      </c>
    </row>
    <row r="1304">
      <c r="A1304" t="str">
        <v>WAPA</v>
      </c>
      <c r="B1304" t="str">
        <v>ZPTP_PO_SO_REP</v>
      </c>
      <c r="C1304" t="str">
        <v>WAPP</v>
      </c>
      <c r="D1304" t="str">
        <v>ZPTP_PO_SO_REP                UI5B2B5D24238268DEF4FA05063EBE5142BBCACE17B</v>
      </c>
      <c r="G1304" t="str">
        <v>ALL</v>
      </c>
      <c r="K1304" t="str">
        <v>E</v>
      </c>
      <c r="L1304">
        <v>50103014</v>
      </c>
      <c r="M1304">
        <v>44405</v>
      </c>
      <c r="N1304">
        <v>0.47965277777778</v>
      </c>
      <c r="S1304" t="str">
        <v>X</v>
      </c>
    </row>
    <row r="1305">
      <c r="A1305" t="str">
        <v>WAPA</v>
      </c>
      <c r="B1305" t="str">
        <v>ZPTP_PO_SO_REP</v>
      </c>
      <c r="C1305" t="str">
        <v>WAPP</v>
      </c>
      <c r="D1305" t="str">
        <v>ZPTP_PO_SO_REP                UI5BC370299FE22A567D948D1562993D8A264D2F495</v>
      </c>
      <c r="G1305" t="str">
        <v>ALL</v>
      </c>
      <c r="K1305" t="str">
        <v>E</v>
      </c>
      <c r="L1305">
        <v>50103014</v>
      </c>
      <c r="M1305">
        <v>44405</v>
      </c>
      <c r="N1305">
        <v>0.47997685185185</v>
      </c>
      <c r="S1305" t="str">
        <v>X</v>
      </c>
    </row>
    <row r="1306">
      <c r="A1306" t="str">
        <v>WAPA</v>
      </c>
      <c r="B1306" t="str">
        <v>ZPTP_PO_SO_REP</v>
      </c>
      <c r="C1306" t="str">
        <v>WAPP</v>
      </c>
      <c r="D1306" t="str">
        <v>ZPTP_PO_SO_REP                UI5C1988FC21E729302CE0154DCECD5D701AFF8B551</v>
      </c>
      <c r="G1306" t="str">
        <v>ALL</v>
      </c>
      <c r="K1306" t="str">
        <v>E</v>
      </c>
      <c r="L1306">
        <v>50103014</v>
      </c>
      <c r="M1306">
        <v>44405</v>
      </c>
      <c r="N1306">
        <v>0.47974537037037</v>
      </c>
      <c r="S1306" t="str">
        <v>X</v>
      </c>
    </row>
    <row r="1307">
      <c r="A1307" t="str">
        <v>WAPA</v>
      </c>
      <c r="B1307" t="str">
        <v>ZPTP_PO_SO_REP</v>
      </c>
      <c r="C1307" t="str">
        <v>WAPP</v>
      </c>
      <c r="D1307" t="str">
        <v>ZPTP_PO_SO_REP                UI5D0509BCA4761B02D4C560D48F432882FE3618B85</v>
      </c>
      <c r="G1307" t="str">
        <v>ALL</v>
      </c>
      <c r="K1307" t="str">
        <v>E</v>
      </c>
      <c r="L1307">
        <v>50103014</v>
      </c>
      <c r="M1307">
        <v>44405</v>
      </c>
      <c r="N1307">
        <v>0.47966435185185</v>
      </c>
      <c r="S1307" t="str">
        <v>X</v>
      </c>
    </row>
    <row r="1308">
      <c r="A1308" t="str">
        <v>WAPA</v>
      </c>
      <c r="B1308" t="str">
        <v>ZPTP_PO_SO_REP</v>
      </c>
      <c r="C1308" t="str">
        <v>WAPP</v>
      </c>
      <c r="D1308" t="str">
        <v>ZPTP_PO_SO_REP                UI5D3D872099E5E512CBF7792B8AE2A3286B6A31446</v>
      </c>
      <c r="G1308" t="str">
        <v>ALL</v>
      </c>
      <c r="K1308" t="str">
        <v>E</v>
      </c>
      <c r="L1308">
        <v>50103014</v>
      </c>
      <c r="M1308">
        <v>44405</v>
      </c>
      <c r="N1308">
        <v>0.48001157407407</v>
      </c>
      <c r="S1308" t="str">
        <v>X</v>
      </c>
    </row>
    <row r="1309">
      <c r="A1309" t="str">
        <v>WAPA</v>
      </c>
      <c r="B1309" t="str">
        <v>ZPTP_PO_SO_REP</v>
      </c>
      <c r="C1309" t="str">
        <v>WAPP</v>
      </c>
      <c r="D1309" t="str">
        <v>ZPTP_PO_SO_REP                UI5E63C00F892E980886060A10B1B3A27841D4B3451</v>
      </c>
      <c r="G1309" t="str">
        <v>ALL</v>
      </c>
      <c r="K1309" t="str">
        <v>E</v>
      </c>
      <c r="L1309">
        <v>50103014</v>
      </c>
      <c r="M1309">
        <v>44405</v>
      </c>
      <c r="N1309">
        <v>0.47991898148148</v>
      </c>
      <c r="S1309" t="str">
        <v>X</v>
      </c>
    </row>
    <row r="1310">
      <c r="A1310" t="str">
        <v>WAPA</v>
      </c>
      <c r="B1310" t="str">
        <v>ZPTP_PO_SO_REP</v>
      </c>
      <c r="C1310" t="str">
        <v>WAPP</v>
      </c>
      <c r="D1310" t="str">
        <v>ZPTP_PO_SO_REP                UI5REPOSITORYPATHMAPPING.XML</v>
      </c>
      <c r="G1310" t="str">
        <v>ALL</v>
      </c>
      <c r="K1310" t="str">
        <v>E</v>
      </c>
      <c r="L1310">
        <v>50103014</v>
      </c>
      <c r="M1310">
        <v>44384</v>
      </c>
      <c r="N1310">
        <v>0.31363425925926</v>
      </c>
      <c r="S1310" t="str">
        <v>X</v>
      </c>
    </row>
    <row r="1311">
      <c r="A1311" t="str">
        <v>WAPA</v>
      </c>
      <c r="B1311" t="str">
        <v>ZPTP_PO_SO_REP</v>
      </c>
      <c r="C1311" t="str">
        <v>WAPP</v>
      </c>
      <c r="D1311" t="str">
        <v>ZPTP_PO_SO_REP                VIEW/LISTPAGE.VIEW.XML</v>
      </c>
      <c r="G1311" t="str">
        <v>ALL</v>
      </c>
      <c r="K1311" t="str">
        <v>E</v>
      </c>
      <c r="L1311">
        <v>50103014</v>
      </c>
      <c r="M1311">
        <v>44405</v>
      </c>
      <c r="N1311">
        <v>0.47987268518519</v>
      </c>
      <c r="S1311" t="str">
        <v>X</v>
      </c>
    </row>
    <row r="1312">
      <c r="A1312" t="str">
        <v>WAPA</v>
      </c>
      <c r="B1312" t="str">
        <v>ZPTP_PO_SO_REP</v>
      </c>
      <c r="C1312" t="str">
        <v>WAPP</v>
      </c>
      <c r="D1312" t="str">
        <v>ZPTP_PO_SO_REP                VIEW/POPOVER.FRAGMENT.XML</v>
      </c>
      <c r="G1312" t="str">
        <v>ALL</v>
      </c>
      <c r="K1312" t="str">
        <v>E</v>
      </c>
      <c r="L1312">
        <v>50103014</v>
      </c>
      <c r="M1312">
        <v>44405</v>
      </c>
      <c r="N1312">
        <v>0.47986111111111</v>
      </c>
      <c r="S1312" t="str">
        <v>X</v>
      </c>
    </row>
    <row r="1313">
      <c r="A1313" t="str">
        <v>WAPA</v>
      </c>
      <c r="B1313" t="str">
        <v>ZPTP_PURCH_REQ</v>
      </c>
      <c r="C1313" t="str">
        <v>WAPP</v>
      </c>
      <c r="D1313" t="str">
        <v>ZPTP_PURCH_REQ                INDEX.HTML</v>
      </c>
      <c r="G1313" t="str">
        <v>ALL</v>
      </c>
      <c r="K1313" t="str">
        <v>E</v>
      </c>
      <c r="L1313" t="str">
        <v>CST_RSENTHIL</v>
      </c>
      <c r="M1313">
        <v>46072</v>
      </c>
      <c r="N1313">
        <v>0.51850694444444</v>
      </c>
      <c r="S1313" t="str">
        <v>X</v>
      </c>
      <c r="W1313" t="str">
        <v>S01K928401</v>
      </c>
    </row>
    <row r="1314">
      <c r="A1314" t="str">
        <v>WAPA</v>
      </c>
      <c r="B1314" t="str">
        <v>ZPTP_PURCH_REQ</v>
      </c>
      <c r="C1314" t="str">
        <v>WAPP</v>
      </c>
      <c r="D1314" t="str">
        <v>ZPTP_PURCH_REQ                LOCALSERVICE/ZPTP_PURCHASEREQ_SRV/METADATA.XML</v>
      </c>
      <c r="G1314" t="str">
        <v>ALL</v>
      </c>
      <c r="K1314" t="str">
        <v>E</v>
      </c>
      <c r="L1314" t="str">
        <v>CST_RSENTHIL</v>
      </c>
      <c r="M1314">
        <v>46072</v>
      </c>
      <c r="N1314">
        <v>0.51854166666667</v>
      </c>
      <c r="S1314" t="str">
        <v>X</v>
      </c>
      <c r="W1314" t="str">
        <v>S01K928401</v>
      </c>
    </row>
    <row r="1315">
      <c r="A1315" t="str">
        <v>WAPA</v>
      </c>
      <c r="B1315" t="str">
        <v>ZPTP_PURCH_REQ</v>
      </c>
      <c r="C1315" t="str">
        <v>WAPP</v>
      </c>
      <c r="D1315" t="str">
        <v>ZPTP_PURCH_REQ                MANIFEST.JSON</v>
      </c>
      <c r="G1315" t="str">
        <v>ALL</v>
      </c>
      <c r="K1315" t="str">
        <v>E</v>
      </c>
      <c r="L1315" t="str">
        <v>CST_RSENTHIL</v>
      </c>
      <c r="M1315">
        <v>46072</v>
      </c>
      <c r="N1315">
        <v>0.51855324074074</v>
      </c>
      <c r="S1315" t="str">
        <v>X</v>
      </c>
      <c r="W1315" t="str">
        <v>S01K928401</v>
      </c>
    </row>
    <row r="1316">
      <c r="A1316" t="str">
        <v>WAPA</v>
      </c>
      <c r="B1316" t="str">
        <v>ZPTP_PURCH_REQ</v>
      </c>
      <c r="C1316" t="str">
        <v>WAPP</v>
      </c>
      <c r="D1316" t="str">
        <v>ZPTP_PURCH_REQ                UI50157B075E8707EC52C2964ACDDB27586D8D3C838</v>
      </c>
      <c r="G1316" t="str">
        <v>ALL</v>
      </c>
      <c r="K1316" t="str">
        <v>E</v>
      </c>
      <c r="L1316" t="str">
        <v>CST_RSENTHIL</v>
      </c>
      <c r="M1316">
        <v>46072</v>
      </c>
      <c r="N1316">
        <v>0.51849537037037</v>
      </c>
      <c r="S1316" t="str">
        <v>X</v>
      </c>
      <c r="W1316" t="str">
        <v>S01K928401</v>
      </c>
    </row>
    <row r="1317">
      <c r="A1317" t="str">
        <v>WAPA</v>
      </c>
      <c r="B1317" t="str">
        <v>ZPTP_PURCH_REQ</v>
      </c>
      <c r="C1317" t="str">
        <v>WAPP</v>
      </c>
      <c r="D1317" t="str">
        <v>ZPTP_PURCH_REQ                UI50364B9A678757871751B9E60695D01A9994731A1</v>
      </c>
      <c r="G1317" t="str">
        <v>ALL</v>
      </c>
      <c r="K1317" t="str">
        <v>E</v>
      </c>
      <c r="L1317" t="str">
        <v>CST_RSENTHIL</v>
      </c>
      <c r="M1317">
        <v>46072</v>
      </c>
      <c r="N1317">
        <v>0.5184375</v>
      </c>
      <c r="S1317" t="str">
        <v>X</v>
      </c>
      <c r="W1317" t="str">
        <v>S01K928401</v>
      </c>
    </row>
    <row r="1318">
      <c r="A1318" t="str">
        <v>WAPA</v>
      </c>
      <c r="B1318" t="str">
        <v>ZPTP_PURCH_REQ</v>
      </c>
      <c r="C1318" t="str">
        <v>WAPP</v>
      </c>
      <c r="D1318" t="str">
        <v>ZPTP_PURCH_REQ                UI50D7C78AE7DBEE42336A597BD534B5881C57B3C9E</v>
      </c>
      <c r="G1318" t="str">
        <v>ALL</v>
      </c>
      <c r="K1318" t="str">
        <v>E</v>
      </c>
      <c r="L1318" t="str">
        <v>CST_RSENTHIL</v>
      </c>
      <c r="M1318">
        <v>46072</v>
      </c>
      <c r="N1318">
        <v>0.5184837962963</v>
      </c>
      <c r="S1318" t="str">
        <v>X</v>
      </c>
      <c r="W1318" t="str">
        <v>S01K928401</v>
      </c>
    </row>
    <row r="1319">
      <c r="A1319" t="str">
        <v>WAPA</v>
      </c>
      <c r="B1319" t="str">
        <v>ZPTP_PURCH_REQ</v>
      </c>
      <c r="C1319" t="str">
        <v>WAPP</v>
      </c>
      <c r="D1319" t="str">
        <v>ZPTP_PURCH_REQ                UI53016FA8B95730CA662753641FF57FC1BDA4982AE</v>
      </c>
      <c r="G1319" t="str">
        <v>ALL</v>
      </c>
      <c r="K1319" t="str">
        <v>E</v>
      </c>
      <c r="L1319" t="str">
        <v>CST_RSENTHIL</v>
      </c>
      <c r="M1319">
        <v>46072</v>
      </c>
      <c r="N1319">
        <v>0.51846064814815</v>
      </c>
      <c r="S1319" t="str">
        <v>X</v>
      </c>
      <c r="W1319" t="str">
        <v>S01K928401</v>
      </c>
    </row>
    <row r="1320">
      <c r="A1320" t="str">
        <v>WAPA</v>
      </c>
      <c r="B1320" t="str">
        <v>ZPTP_PURCH_REQ</v>
      </c>
      <c r="C1320" t="str">
        <v>WAPP</v>
      </c>
      <c r="D1320" t="str">
        <v>ZPTP_PURCH_REQ                UI53A1D7BD907D98D109DC73BD02EA4323FFBBE5966</v>
      </c>
      <c r="G1320" t="str">
        <v>ALL</v>
      </c>
      <c r="K1320" t="str">
        <v>E</v>
      </c>
      <c r="L1320" t="str">
        <v>CST_RSENTHIL</v>
      </c>
      <c r="M1320">
        <v>46072</v>
      </c>
      <c r="N1320">
        <v>0.51853009259259</v>
      </c>
      <c r="S1320" t="str">
        <v>X</v>
      </c>
      <c r="W1320" t="str">
        <v>S01K928401</v>
      </c>
    </row>
    <row r="1321">
      <c r="A1321" t="str">
        <v>WAPA</v>
      </c>
      <c r="B1321" t="str">
        <v>ZPTP_PURCH_REQ</v>
      </c>
      <c r="C1321" t="str">
        <v>WAPP</v>
      </c>
      <c r="D1321" t="str">
        <v>ZPTP_PURCH_REQ                UI54531F75EB88227A431062A8105335935B6792E6A</v>
      </c>
      <c r="G1321" t="str">
        <v>ALL</v>
      </c>
      <c r="K1321" t="str">
        <v>E</v>
      </c>
      <c r="L1321" t="str">
        <v>CST_RSENTHIL</v>
      </c>
      <c r="M1321">
        <v>46072</v>
      </c>
      <c r="N1321">
        <v>0.51853009259259</v>
      </c>
      <c r="S1321" t="str">
        <v>X</v>
      </c>
      <c r="W1321" t="str">
        <v>S01K928401</v>
      </c>
    </row>
    <row r="1322">
      <c r="A1322" t="str">
        <v>WAPA</v>
      </c>
      <c r="B1322" t="str">
        <v>ZPTP_PURCH_REQ</v>
      </c>
      <c r="C1322" t="str">
        <v>WAPP</v>
      </c>
      <c r="D1322" t="str">
        <v>ZPTP_PURCH_REQ                UI546CCB7BA293F78299C9795D5CFCCB84DBB075535</v>
      </c>
      <c r="G1322" t="str">
        <v>ALL</v>
      </c>
      <c r="K1322" t="str">
        <v>E</v>
      </c>
      <c r="L1322" t="str">
        <v>CST_RSENTHIL</v>
      </c>
      <c r="M1322">
        <v>46072</v>
      </c>
      <c r="N1322">
        <v>0.51857638888889</v>
      </c>
      <c r="S1322" t="str">
        <v>X</v>
      </c>
      <c r="W1322" t="str">
        <v>S01K928401</v>
      </c>
    </row>
    <row r="1323">
      <c r="A1323" t="str">
        <v>WAPA</v>
      </c>
      <c r="B1323" t="str">
        <v>ZPTP_PURCH_REQ</v>
      </c>
      <c r="C1323" t="str">
        <v>WAPP</v>
      </c>
      <c r="D1323" t="str">
        <v>ZPTP_PURCH_REQ                UI548523DCED9B7CACAB7C5AE285DD3B8CC12C84940</v>
      </c>
      <c r="G1323" t="str">
        <v>ALL</v>
      </c>
      <c r="K1323" t="str">
        <v>E</v>
      </c>
      <c r="L1323" t="str">
        <v>CST_RSENTHIL</v>
      </c>
      <c r="M1323">
        <v>46072</v>
      </c>
      <c r="N1323">
        <v>0.51856481481481</v>
      </c>
      <c r="S1323" t="str">
        <v>X</v>
      </c>
      <c r="W1323" t="str">
        <v>S01K928401</v>
      </c>
    </row>
    <row r="1324">
      <c r="A1324" t="str">
        <v>WAPA</v>
      </c>
      <c r="B1324" t="str">
        <v>ZPTP_PURCH_REQ</v>
      </c>
      <c r="C1324" t="str">
        <v>WAPP</v>
      </c>
      <c r="D1324" t="str">
        <v>ZPTP_PURCH_REQ                UI557CF5CD537FC7FD6ABD94DE90D5321044743BE20</v>
      </c>
      <c r="G1324" t="str">
        <v>ALL</v>
      </c>
      <c r="K1324" t="str">
        <v>E</v>
      </c>
      <c r="L1324" t="str">
        <v>CST_RSENTHIL</v>
      </c>
      <c r="M1324">
        <v>46072</v>
      </c>
      <c r="N1324">
        <v>0.5184837962963</v>
      </c>
      <c r="S1324" t="str">
        <v>X</v>
      </c>
      <c r="W1324" t="str">
        <v>S01K928401</v>
      </c>
    </row>
    <row r="1325">
      <c r="A1325" t="str">
        <v>WAPA</v>
      </c>
      <c r="B1325" t="str">
        <v>ZPTP_PURCH_REQ</v>
      </c>
      <c r="C1325" t="str">
        <v>WAPP</v>
      </c>
      <c r="D1325" t="str">
        <v>ZPTP_PURCH_REQ                UI565ADD1C5F37B70DDCD9A3A3EB4CA4B9969403047</v>
      </c>
      <c r="G1325" t="str">
        <v>ALL</v>
      </c>
      <c r="K1325" t="str">
        <v>E</v>
      </c>
      <c r="L1325" t="str">
        <v>CST_RSENTHIL</v>
      </c>
      <c r="M1325">
        <v>46072</v>
      </c>
      <c r="N1325">
        <v>0.51849537037037</v>
      </c>
      <c r="S1325" t="str">
        <v>X</v>
      </c>
      <c r="W1325" t="str">
        <v>S01K928401</v>
      </c>
    </row>
    <row r="1326">
      <c r="A1326" t="str">
        <v>WAPA</v>
      </c>
      <c r="B1326" t="str">
        <v>ZPTP_PURCH_REQ</v>
      </c>
      <c r="C1326" t="str">
        <v>WAPP</v>
      </c>
      <c r="D1326" t="str">
        <v>ZPTP_PURCH_REQ                UI5998D97B267DCF6C31BD1569E8D040163B49B6B1B</v>
      </c>
      <c r="G1326" t="str">
        <v>ALL</v>
      </c>
      <c r="K1326" t="str">
        <v>E</v>
      </c>
      <c r="L1326" t="str">
        <v>CST_RSENTHIL</v>
      </c>
      <c r="M1326">
        <v>46072</v>
      </c>
      <c r="N1326">
        <v>0.51846064814815</v>
      </c>
      <c r="S1326" t="str">
        <v>X</v>
      </c>
      <c r="W1326" t="str">
        <v>S01K928401</v>
      </c>
    </row>
    <row r="1327">
      <c r="A1327" t="str">
        <v>WAPA</v>
      </c>
      <c r="B1327" t="str">
        <v>ZPTP_PURCH_REQ</v>
      </c>
      <c r="C1327" t="str">
        <v>WAPP</v>
      </c>
      <c r="D1327" t="str">
        <v>ZPTP_PURCH_REQ                UI5A8F975298998C8C4C5BA02CD322A891D320070AF</v>
      </c>
      <c r="G1327" t="str">
        <v>ALL</v>
      </c>
      <c r="K1327" t="str">
        <v>E</v>
      </c>
      <c r="L1327" t="str">
        <v>CST_RSENTHIL</v>
      </c>
      <c r="M1327">
        <v>46072</v>
      </c>
      <c r="N1327">
        <v>0.51855324074074</v>
      </c>
      <c r="S1327" t="str">
        <v>X</v>
      </c>
      <c r="W1327" t="str">
        <v>S01K928401</v>
      </c>
    </row>
    <row r="1328">
      <c r="A1328" t="str">
        <v>WAPA</v>
      </c>
      <c r="B1328" t="str">
        <v>ZPTP_PURCH_REQ</v>
      </c>
      <c r="C1328" t="str">
        <v>WAPP</v>
      </c>
      <c r="D1328" t="str">
        <v>ZPTP_PURCH_REQ                UI5B2B5D24238268DEF4FA05063EBE5142BBCACE17B</v>
      </c>
      <c r="G1328" t="str">
        <v>ALL</v>
      </c>
      <c r="K1328" t="str">
        <v>E</v>
      </c>
      <c r="L1328" t="str">
        <v>CST_RSENTHIL</v>
      </c>
      <c r="M1328">
        <v>46072</v>
      </c>
      <c r="N1328">
        <v>0.5184837962963</v>
      </c>
      <c r="S1328" t="str">
        <v>X</v>
      </c>
      <c r="W1328" t="str">
        <v>S01K928401</v>
      </c>
    </row>
    <row r="1329">
      <c r="A1329" t="str">
        <v>WAPA</v>
      </c>
      <c r="B1329" t="str">
        <v>ZPTP_PURCH_REQ</v>
      </c>
      <c r="C1329" t="str">
        <v>WAPP</v>
      </c>
      <c r="D1329" t="str">
        <v>ZPTP_PURCH_REQ                UI5C1988FC21E729302CE0154DCECD5D701AFF8B551</v>
      </c>
      <c r="G1329" t="str">
        <v>ALL</v>
      </c>
      <c r="K1329" t="str">
        <v>E</v>
      </c>
      <c r="L1329" t="str">
        <v>CST_RSENTHIL</v>
      </c>
      <c r="M1329">
        <v>46072</v>
      </c>
      <c r="N1329">
        <v>0.51856481481481</v>
      </c>
      <c r="S1329" t="str">
        <v>X</v>
      </c>
      <c r="W1329" t="str">
        <v>S01K928401</v>
      </c>
    </row>
    <row r="1330">
      <c r="A1330" t="str">
        <v>WAPA</v>
      </c>
      <c r="B1330" t="str">
        <v>ZPTP_PURCH_REQ</v>
      </c>
      <c r="C1330" t="str">
        <v>WAPP</v>
      </c>
      <c r="D1330" t="str">
        <v>ZPTP_PURCH_REQ                UI5CAAC2BDE6E3CD83E3B9C89C6883AEFF6B1381670</v>
      </c>
      <c r="G1330" t="str">
        <v>ALL</v>
      </c>
      <c r="K1330" t="str">
        <v>E</v>
      </c>
      <c r="L1330" t="str">
        <v>CST_RSENTHIL</v>
      </c>
      <c r="M1330">
        <v>46072</v>
      </c>
      <c r="N1330">
        <v>0.51856481481481</v>
      </c>
      <c r="S1330" t="str">
        <v>X</v>
      </c>
      <c r="W1330" t="str">
        <v>S01K928401</v>
      </c>
    </row>
    <row r="1331">
      <c r="A1331" t="str">
        <v>WAPA</v>
      </c>
      <c r="B1331" t="str">
        <v>ZPTP_PURCH_REQ</v>
      </c>
      <c r="C1331" t="str">
        <v>WAPP</v>
      </c>
      <c r="D1331" t="str">
        <v>ZPTP_PURCH_REQ                UI5D5187D1D3090AAC0B08A983FECA7CF10894C593C</v>
      </c>
      <c r="G1331" t="str">
        <v>ALL</v>
      </c>
      <c r="K1331" t="str">
        <v>E</v>
      </c>
      <c r="L1331" t="str">
        <v>CST_RSENTHIL</v>
      </c>
      <c r="M1331">
        <v>46072</v>
      </c>
      <c r="N1331">
        <v>0.51853009259259</v>
      </c>
      <c r="S1331" t="str">
        <v>X</v>
      </c>
      <c r="W1331" t="str">
        <v>S01K928401</v>
      </c>
    </row>
    <row r="1332">
      <c r="A1332" t="str">
        <v>WAPA</v>
      </c>
      <c r="B1332" t="str">
        <v>ZPTP_PURCH_REQ</v>
      </c>
      <c r="C1332" t="str">
        <v>WAPP</v>
      </c>
      <c r="D1332" t="str">
        <v>ZPTP_PURCH_REQ                UI5DADAFF58131ECB1A06A7736E7230B403006A6CE7</v>
      </c>
      <c r="G1332" t="str">
        <v>ALL</v>
      </c>
      <c r="K1332" t="str">
        <v>E</v>
      </c>
      <c r="L1332" t="str">
        <v>CST_RSENTHIL</v>
      </c>
      <c r="M1332">
        <v>46072</v>
      </c>
      <c r="N1332">
        <v>0.51855324074074</v>
      </c>
      <c r="S1332" t="str">
        <v>X</v>
      </c>
      <c r="W1332" t="str">
        <v>S01K928401</v>
      </c>
    </row>
    <row r="1333">
      <c r="A1333" t="str">
        <v>WAPA</v>
      </c>
      <c r="B1333" t="str">
        <v>ZPTP_PURCH_REQ</v>
      </c>
      <c r="C1333" t="str">
        <v>WAPP</v>
      </c>
      <c r="D1333" t="str">
        <v>ZPTP_PURCH_REQ                UI5E62D8F767A4A5279D1CB86C18AF167BD261D2EA8</v>
      </c>
      <c r="G1333" t="str">
        <v>ALL</v>
      </c>
      <c r="K1333" t="str">
        <v>E</v>
      </c>
      <c r="L1333" t="str">
        <v>CST_RSENTHIL</v>
      </c>
      <c r="M1333">
        <v>46072</v>
      </c>
      <c r="N1333">
        <v>0.51847222222222</v>
      </c>
      <c r="S1333" t="str">
        <v>X</v>
      </c>
      <c r="W1333" t="str">
        <v>S01K928401</v>
      </c>
    </row>
    <row r="1334">
      <c r="A1334" t="str">
        <v>WAPA</v>
      </c>
      <c r="B1334" t="str">
        <v>ZPTP_PURCH_REQ</v>
      </c>
      <c r="C1334" t="str">
        <v>WAPP</v>
      </c>
      <c r="D1334" t="str">
        <v>ZPTP_PURCH_REQ                UI5F7FB25B45418EDB770DA3CA0EEF583418C5EC372</v>
      </c>
      <c r="G1334" t="str">
        <v>ALL</v>
      </c>
      <c r="K1334" t="str">
        <v>E</v>
      </c>
      <c r="L1334" t="str">
        <v>CST_RSENTHIL</v>
      </c>
      <c r="M1334">
        <v>46072</v>
      </c>
      <c r="N1334">
        <v>0.51857638888889</v>
      </c>
      <c r="S1334" t="str">
        <v>X</v>
      </c>
      <c r="W1334" t="str">
        <v>S01K928401</v>
      </c>
    </row>
    <row r="1335">
      <c r="A1335" t="str">
        <v>WAPA</v>
      </c>
      <c r="B1335" t="str">
        <v>ZPTP_PURCH_REQ</v>
      </c>
      <c r="C1335" t="str">
        <v>WAPP</v>
      </c>
      <c r="D1335" t="str">
        <v>ZPTP_PURCH_REQ                UI5F998A7BB9C7E61B337E31DA3925ABBEE36047825</v>
      </c>
      <c r="G1335" t="str">
        <v>ALL</v>
      </c>
      <c r="K1335" t="str">
        <v>E</v>
      </c>
      <c r="L1335" t="str">
        <v>CST_RSENTHIL</v>
      </c>
      <c r="M1335">
        <v>46072</v>
      </c>
      <c r="N1335">
        <v>0.51847222222222</v>
      </c>
      <c r="S1335" t="str">
        <v>X</v>
      </c>
      <c r="W1335" t="str">
        <v>S01K928401</v>
      </c>
    </row>
    <row r="1336">
      <c r="A1336" t="str">
        <v>WAPA</v>
      </c>
      <c r="B1336" t="str">
        <v>ZPTP_PURCH_REQ</v>
      </c>
      <c r="C1336" t="str">
        <v>WAPP</v>
      </c>
      <c r="D1336" t="str">
        <v>ZPTP_PURCH_REQ                UI5REPOSITORYPATHMAPPING.XML</v>
      </c>
      <c r="G1336" t="str">
        <v>ALL</v>
      </c>
      <c r="K1336" t="str">
        <v>E</v>
      </c>
      <c r="L1336" t="str">
        <v>CST_RSENTHIL</v>
      </c>
      <c r="M1336">
        <v>46072</v>
      </c>
      <c r="N1336">
        <v>0.51859953703704</v>
      </c>
      <c r="S1336" t="str">
        <v>X</v>
      </c>
      <c r="W1336" t="str">
        <v>S01K928401</v>
      </c>
    </row>
    <row r="1337">
      <c r="A1337" t="str">
        <v>WAPA</v>
      </c>
      <c r="B1337" t="str">
        <v>ZPTP_PURCH_REQ</v>
      </c>
      <c r="C1337" t="str">
        <v>WAPP</v>
      </c>
      <c r="D1337" t="str">
        <v>ZPTP_PURCH_REQ                VIEW/PURCHASEREQ.VIEW.XML</v>
      </c>
      <c r="G1337" t="str">
        <v>ALL</v>
      </c>
      <c r="K1337" t="str">
        <v>E</v>
      </c>
      <c r="L1337" t="str">
        <v>CST_RSENTHIL</v>
      </c>
      <c r="M1337">
        <v>46072</v>
      </c>
      <c r="N1337">
        <v>0.51858796296296</v>
      </c>
      <c r="S1337" t="str">
        <v>X</v>
      </c>
      <c r="W1337" t="str">
        <v>S01K928401</v>
      </c>
    </row>
    <row r="1338">
      <c r="A1338" t="str">
        <v>WAPA</v>
      </c>
      <c r="B1338" t="str">
        <v>ZRTR_CL_CA</v>
      </c>
      <c r="C1338" t="str">
        <v>WAPP</v>
      </c>
      <c r="D1338" t="str">
        <v>ZRTR_CL_CA                    COMPONENT.JS</v>
      </c>
      <c r="G1338" t="str">
        <v>ALL</v>
      </c>
      <c r="K1338" t="str">
        <v>E</v>
      </c>
      <c r="L1338" t="str">
        <v>CST_VIBHAROR</v>
      </c>
      <c r="M1338">
        <v>43937</v>
      </c>
      <c r="N1338">
        <v>0.9722337962963</v>
      </c>
      <c r="S1338" t="str">
        <v>X</v>
      </c>
      <c r="W1338" t="str">
        <v>S01K907371</v>
      </c>
    </row>
    <row r="1339">
      <c r="A1339" t="str">
        <v>WAPA</v>
      </c>
      <c r="B1339" t="str">
        <v>ZRTR_CL_CA</v>
      </c>
      <c r="C1339" t="str">
        <v>WAPP</v>
      </c>
      <c r="D1339" t="str">
        <v>ZRTR_CL_CA                    CONTROLLER/MAIN.CONTROLLER.JS</v>
      </c>
      <c r="G1339" t="str">
        <v>ALL</v>
      </c>
      <c r="K1339" t="str">
        <v>E</v>
      </c>
      <c r="L1339" t="str">
        <v>CST_VIBHAROR</v>
      </c>
      <c r="M1339">
        <v>43937</v>
      </c>
      <c r="N1339">
        <v>0.97234953703704</v>
      </c>
      <c r="S1339" t="str">
        <v>X</v>
      </c>
      <c r="W1339" t="str">
        <v>S01K907371</v>
      </c>
    </row>
    <row r="1340">
      <c r="A1340" t="str">
        <v>WAPA</v>
      </c>
      <c r="B1340" t="str">
        <v>ZRTR_CL_CA</v>
      </c>
      <c r="C1340" t="str">
        <v>WAPP</v>
      </c>
      <c r="D1340" t="str">
        <v>ZRTR_CL_CA                    CSS/STYLE.CSS</v>
      </c>
      <c r="G1340" t="str">
        <v>ALL</v>
      </c>
      <c r="K1340" t="str">
        <v>E</v>
      </c>
      <c r="L1340" t="str">
        <v>CST_VIBHAROR</v>
      </c>
      <c r="M1340">
        <v>43937</v>
      </c>
      <c r="N1340">
        <v>0.9722337962963</v>
      </c>
      <c r="S1340" t="str">
        <v>X</v>
      </c>
      <c r="W1340" t="str">
        <v>S01K907371</v>
      </c>
    </row>
    <row r="1341">
      <c r="A1341" t="str">
        <v>WAPA</v>
      </c>
      <c r="B1341" t="str">
        <v>ZRTR_CL_CA</v>
      </c>
      <c r="C1341" t="str">
        <v>WAPP</v>
      </c>
      <c r="D1341" t="str">
        <v>ZRTR_CL_CA                    FRAGMENTS/INPUTVALUEHELPACCPRINCIPLE.FRAGMENT.XML</v>
      </c>
      <c r="G1341" t="str">
        <v>ALL</v>
      </c>
      <c r="K1341" t="str">
        <v>E</v>
      </c>
      <c r="L1341" t="str">
        <v>CST_VIBHAROR</v>
      </c>
      <c r="M1341">
        <v>43937</v>
      </c>
      <c r="N1341">
        <v>0.97224537037037</v>
      </c>
      <c r="S1341" t="str">
        <v>X</v>
      </c>
      <c r="W1341" t="str">
        <v>S01K907371</v>
      </c>
    </row>
    <row r="1342">
      <c r="A1342" t="str">
        <v>WAPA</v>
      </c>
      <c r="B1342" t="str">
        <v>ZRTR_CL_CA</v>
      </c>
      <c r="C1342" t="str">
        <v>WAPP</v>
      </c>
      <c r="D1342" t="str">
        <v>ZRTR_CL_CA                    FRAGMENTS/INPUTVALUEHELPCOMPANYCODE.FRAGMENT.XML</v>
      </c>
      <c r="G1342" t="str">
        <v>ALL</v>
      </c>
      <c r="K1342" t="str">
        <v>E</v>
      </c>
      <c r="L1342" t="str">
        <v>CST_VIBHAROR</v>
      </c>
      <c r="M1342">
        <v>43937</v>
      </c>
      <c r="N1342">
        <v>0.97225694444444</v>
      </c>
      <c r="S1342" t="str">
        <v>X</v>
      </c>
      <c r="W1342" t="str">
        <v>S01K907371</v>
      </c>
    </row>
    <row r="1343">
      <c r="A1343" t="str">
        <v>WAPA</v>
      </c>
      <c r="B1343" t="str">
        <v>ZRTR_CL_CA</v>
      </c>
      <c r="C1343" t="str">
        <v>WAPP</v>
      </c>
      <c r="D1343" t="str">
        <v>ZRTR_CL_CA                    FRAGMENTS/INPUTVALUEHELPCONTRACTID.FRAGMENT.XML</v>
      </c>
      <c r="G1343" t="str">
        <v>ALL</v>
      </c>
      <c r="K1343" t="str">
        <v>E</v>
      </c>
      <c r="L1343" t="str">
        <v>CST_VIBHAROR</v>
      </c>
      <c r="M1343">
        <v>43937</v>
      </c>
      <c r="N1343">
        <v>0.97226851851852</v>
      </c>
      <c r="S1343" t="str">
        <v>X</v>
      </c>
      <c r="W1343" t="str">
        <v>S01K907371</v>
      </c>
    </row>
    <row r="1344">
      <c r="A1344" t="str">
        <v>WAPA</v>
      </c>
      <c r="B1344" t="str">
        <v>ZRTR_CL_CA</v>
      </c>
      <c r="C1344" t="str">
        <v>WAPP</v>
      </c>
      <c r="D1344" t="str">
        <v>ZRTR_CL_CA                    FRAGMENTS/INPUTVALUEHELPFISCALPERIOD.FRAGMENT.XML</v>
      </c>
      <c r="G1344" t="str">
        <v>ALL</v>
      </c>
      <c r="K1344" t="str">
        <v>E</v>
      </c>
      <c r="L1344" t="str">
        <v>CST_VIBHAROR</v>
      </c>
      <c r="M1344">
        <v>43937</v>
      </c>
      <c r="N1344">
        <v>0.97226851851852</v>
      </c>
      <c r="S1344" t="str">
        <v>X</v>
      </c>
      <c r="W1344" t="str">
        <v>S01K907371</v>
      </c>
    </row>
    <row r="1345">
      <c r="A1345" t="str">
        <v>WAPA</v>
      </c>
      <c r="B1345" t="str">
        <v>ZRTR_CL_CA</v>
      </c>
      <c r="C1345" t="str">
        <v>WAPP</v>
      </c>
      <c r="D1345" t="str">
        <v>ZRTR_CL_CA                    FRAGMENTS/INPUTVALUEHELPFISCALYEAR.FRAGMENT.XML</v>
      </c>
      <c r="G1345" t="str">
        <v>ALL</v>
      </c>
      <c r="K1345" t="str">
        <v>E</v>
      </c>
      <c r="L1345" t="str">
        <v>CST_VIBHAROR</v>
      </c>
      <c r="M1345">
        <v>43937</v>
      </c>
      <c r="N1345">
        <v>0.97224537037037</v>
      </c>
      <c r="S1345" t="str">
        <v>X</v>
      </c>
      <c r="W1345" t="str">
        <v>S01K907371</v>
      </c>
    </row>
    <row r="1346">
      <c r="A1346" t="str">
        <v>WAPA</v>
      </c>
      <c r="B1346" t="str">
        <v>ZRTR_CL_CA</v>
      </c>
      <c r="C1346" t="str">
        <v>WAPP</v>
      </c>
      <c r="D1346" t="str">
        <v>ZRTR_CL_CA                    FRAGMENTS/INPUTVALUEHELPGL.FRAGMENT.XML</v>
      </c>
      <c r="G1346" t="str">
        <v>ALL</v>
      </c>
      <c r="K1346" t="str">
        <v>E</v>
      </c>
      <c r="L1346" t="str">
        <v>CST_VIBHAROR</v>
      </c>
      <c r="M1346">
        <v>43937</v>
      </c>
      <c r="N1346">
        <v>0.97228009259259</v>
      </c>
      <c r="S1346" t="str">
        <v>X</v>
      </c>
      <c r="W1346" t="str">
        <v>S01K907371</v>
      </c>
    </row>
    <row r="1347">
      <c r="A1347" t="str">
        <v>WAPA</v>
      </c>
      <c r="B1347" t="str">
        <v>ZRTR_CL_CA</v>
      </c>
      <c r="C1347" t="str">
        <v>WAPP</v>
      </c>
      <c r="D1347" t="str">
        <v>ZRTR_CL_CA                    FRAGMENTS/INPUTVALUEHELPPOC.FRAGMENT.XML</v>
      </c>
      <c r="G1347" t="str">
        <v>ALL</v>
      </c>
      <c r="K1347" t="str">
        <v>E</v>
      </c>
      <c r="L1347" t="str">
        <v>CST_VIBHAROR</v>
      </c>
      <c r="M1347">
        <v>43937</v>
      </c>
      <c r="N1347">
        <v>0.97229166666667</v>
      </c>
      <c r="S1347" t="str">
        <v>X</v>
      </c>
      <c r="W1347" t="str">
        <v>S01K907371</v>
      </c>
    </row>
    <row r="1348">
      <c r="A1348" t="str">
        <v>WAPA</v>
      </c>
      <c r="B1348" t="str">
        <v>ZRTR_CL_CA</v>
      </c>
      <c r="C1348" t="str">
        <v>WAPP</v>
      </c>
      <c r="D1348" t="str">
        <v>ZRTR_CL_CA                    I18N/I18N.PROPERTIES</v>
      </c>
      <c r="G1348" t="str">
        <v>ALL</v>
      </c>
      <c r="K1348" t="str">
        <v>E</v>
      </c>
      <c r="L1348" t="str">
        <v>CST_VIBHAROR</v>
      </c>
      <c r="M1348">
        <v>43937</v>
      </c>
      <c r="N1348">
        <v>0.97232638888889</v>
      </c>
      <c r="S1348" t="str">
        <v>X</v>
      </c>
      <c r="W1348" t="str">
        <v>S01K907371</v>
      </c>
    </row>
    <row r="1349">
      <c r="A1349" t="str">
        <v>WAPA</v>
      </c>
      <c r="B1349" t="str">
        <v>ZRTR_CL_CA</v>
      </c>
      <c r="C1349" t="str">
        <v>WAPP</v>
      </c>
      <c r="D1349" t="str">
        <v>ZRTR_CL_CA                    INDEX.HTML</v>
      </c>
      <c r="G1349" t="str">
        <v>ALL</v>
      </c>
      <c r="K1349" t="str">
        <v>E</v>
      </c>
      <c r="L1349" t="str">
        <v>CST_VIBHAROR</v>
      </c>
      <c r="M1349">
        <v>43937</v>
      </c>
      <c r="N1349">
        <v>0.97211805555556</v>
      </c>
      <c r="S1349" t="str">
        <v>X</v>
      </c>
      <c r="W1349" t="str">
        <v>S01K907371</v>
      </c>
    </row>
    <row r="1350">
      <c r="A1350" t="str">
        <v>WAPA</v>
      </c>
      <c r="B1350" t="str">
        <v>ZRTR_CL_CA</v>
      </c>
      <c r="C1350" t="str">
        <v>WAPP</v>
      </c>
      <c r="D1350" t="str">
        <v>ZRTR_CL_CA                    LOCALSERVICE/METADATA.XML</v>
      </c>
      <c r="G1350" t="str">
        <v>ALL</v>
      </c>
      <c r="K1350" t="str">
        <v>E</v>
      </c>
      <c r="L1350" t="str">
        <v>CST_VIBHAROR</v>
      </c>
      <c r="M1350">
        <v>43937</v>
      </c>
      <c r="N1350">
        <v>0.97230324074074</v>
      </c>
      <c r="S1350" t="str">
        <v>X</v>
      </c>
      <c r="W1350" t="str">
        <v>S01K907371</v>
      </c>
    </row>
    <row r="1351">
      <c r="A1351" t="str">
        <v>WAPA</v>
      </c>
      <c r="B1351" t="str">
        <v>ZRTR_CL_CA</v>
      </c>
      <c r="C1351" t="str">
        <v>WAPP</v>
      </c>
      <c r="D1351" t="str">
        <v>ZRTR_CL_CA                    MANIFEST.JSON</v>
      </c>
      <c r="G1351" t="str">
        <v>ALL</v>
      </c>
      <c r="K1351" t="str">
        <v>E</v>
      </c>
      <c r="L1351" t="str">
        <v>CST_VIBHAROR</v>
      </c>
      <c r="M1351">
        <v>43937</v>
      </c>
      <c r="N1351">
        <v>0.97222222222222</v>
      </c>
      <c r="S1351" t="str">
        <v>X</v>
      </c>
      <c r="W1351" t="str">
        <v>S01K907371</v>
      </c>
    </row>
    <row r="1352">
      <c r="A1352" t="str">
        <v>WAPA</v>
      </c>
      <c r="B1352" t="str">
        <v>ZRTR_CL_CA</v>
      </c>
      <c r="C1352" t="str">
        <v>WAPP</v>
      </c>
      <c r="D1352" t="str">
        <v>ZRTR_CL_CA                    MODEL/MODELS.JS</v>
      </c>
      <c r="G1352" t="str">
        <v>ALL</v>
      </c>
      <c r="K1352" t="str">
        <v>E</v>
      </c>
      <c r="L1352" t="str">
        <v>CST_VIBHAROR</v>
      </c>
      <c r="M1352">
        <v>43937</v>
      </c>
      <c r="N1352">
        <v>0.97239583333333</v>
      </c>
      <c r="S1352" t="str">
        <v>X</v>
      </c>
      <c r="W1352" t="str">
        <v>S01K907371</v>
      </c>
    </row>
    <row r="1353">
      <c r="A1353" t="str">
        <v>WAPA</v>
      </c>
      <c r="B1353" t="str">
        <v>ZRTR_CL_CA</v>
      </c>
      <c r="C1353" t="str">
        <v>WAPP</v>
      </c>
      <c r="D1353" t="str">
        <v>ZRTR_CL_CA                    RESOURCES.JSON</v>
      </c>
      <c r="G1353" t="str">
        <v>ALL</v>
      </c>
      <c r="K1353" t="str">
        <v>E</v>
      </c>
      <c r="L1353" t="str">
        <v>CST_VIBHAROR</v>
      </c>
      <c r="M1353">
        <v>43937</v>
      </c>
      <c r="N1353">
        <v>0.9721412037037</v>
      </c>
      <c r="S1353" t="str">
        <v>X</v>
      </c>
      <c r="W1353" t="str">
        <v>S01K907371</v>
      </c>
    </row>
    <row r="1354">
      <c r="A1354" t="str">
        <v>WAPA</v>
      </c>
      <c r="B1354" t="str">
        <v>ZRTR_CL_CA</v>
      </c>
      <c r="C1354" t="str">
        <v>WAPP</v>
      </c>
      <c r="D1354" t="str">
        <v>ZRTR_CL_CA                    SERVICEBINDING.JS</v>
      </c>
      <c r="G1354" t="str">
        <v>ALL</v>
      </c>
      <c r="K1354" t="str">
        <v>E</v>
      </c>
      <c r="L1354" t="str">
        <v>CST_VIBHAROR</v>
      </c>
      <c r="M1354">
        <v>43937</v>
      </c>
      <c r="N1354">
        <v>0.97221064814815</v>
      </c>
      <c r="S1354" t="str">
        <v>X</v>
      </c>
      <c r="W1354" t="str">
        <v>S01K907371</v>
      </c>
    </row>
    <row r="1355">
      <c r="A1355" t="str">
        <v>WAPA</v>
      </c>
      <c r="B1355" t="str">
        <v>ZRTR_CL_CA</v>
      </c>
      <c r="C1355" t="str">
        <v>WAPP</v>
      </c>
      <c r="D1355" t="str">
        <v>ZRTR_CL_CA                    TEST/INTEGRATION/ALLJOURNEYS.JS</v>
      </c>
      <c r="G1355" t="str">
        <v>ALL</v>
      </c>
      <c r="K1355" t="str">
        <v>E</v>
      </c>
      <c r="L1355" t="str">
        <v>CST_VIBHAROR</v>
      </c>
      <c r="M1355">
        <v>43937</v>
      </c>
      <c r="N1355">
        <v>0.97239583333333</v>
      </c>
      <c r="S1355" t="str">
        <v>X</v>
      </c>
      <c r="W1355" t="str">
        <v>S01K907371</v>
      </c>
    </row>
    <row r="1356">
      <c r="A1356" t="str">
        <v>WAPA</v>
      </c>
      <c r="B1356" t="str">
        <v>ZRTR_CL_CA</v>
      </c>
      <c r="C1356" t="str">
        <v>WAPP</v>
      </c>
      <c r="D1356" t="str">
        <v>ZRTR_CL_CA                    TEST/INTEGRATION/ARRANGEMENTS/STARTUP.JS</v>
      </c>
      <c r="G1356" t="str">
        <v>ALL</v>
      </c>
      <c r="K1356" t="str">
        <v>E</v>
      </c>
      <c r="L1356" t="str">
        <v>CST_VIBHAROR</v>
      </c>
      <c r="M1356">
        <v>43937</v>
      </c>
      <c r="N1356">
        <v>0.97248842592593</v>
      </c>
      <c r="S1356" t="str">
        <v>X</v>
      </c>
      <c r="W1356" t="str">
        <v>S01K907371</v>
      </c>
    </row>
    <row r="1357">
      <c r="A1357" t="str">
        <v>WAPA</v>
      </c>
      <c r="B1357" t="str">
        <v>ZRTR_CL_CA</v>
      </c>
      <c r="C1357" t="str">
        <v>WAPP</v>
      </c>
      <c r="D1357" t="str">
        <v>ZRTR_CL_CA                    TEST/INTEGRATION/NAVIGATIONJOURNEY.JS</v>
      </c>
      <c r="G1357" t="str">
        <v>ALL</v>
      </c>
      <c r="K1357" t="str">
        <v>E</v>
      </c>
      <c r="L1357" t="str">
        <v>CST_VIBHAROR</v>
      </c>
      <c r="M1357">
        <v>43937</v>
      </c>
      <c r="N1357">
        <v>0.97240740740741</v>
      </c>
      <c r="S1357" t="str">
        <v>X</v>
      </c>
      <c r="W1357" t="str">
        <v>S01K907371</v>
      </c>
    </row>
    <row r="1358">
      <c r="A1358" t="str">
        <v>WAPA</v>
      </c>
      <c r="B1358" t="str">
        <v>ZRTR_CL_CA</v>
      </c>
      <c r="C1358" t="str">
        <v>WAPP</v>
      </c>
      <c r="D1358" t="str">
        <v>ZRTR_CL_CA                    TEST/INTEGRATION/OPATESTS.QUNIT.HTML</v>
      </c>
      <c r="G1358" t="str">
        <v>ALL</v>
      </c>
      <c r="K1358" t="str">
        <v>E</v>
      </c>
      <c r="L1358" t="str">
        <v>CST_VIBHAROR</v>
      </c>
      <c r="M1358">
        <v>43937</v>
      </c>
      <c r="N1358">
        <v>0.97241898148148</v>
      </c>
      <c r="S1358" t="str">
        <v>X</v>
      </c>
      <c r="W1358" t="str">
        <v>S01K907371</v>
      </c>
    </row>
    <row r="1359">
      <c r="A1359" t="str">
        <v>WAPA</v>
      </c>
      <c r="B1359" t="str">
        <v>ZRTR_CL_CA</v>
      </c>
      <c r="C1359" t="str">
        <v>WAPP</v>
      </c>
      <c r="D1359" t="str">
        <v>ZRTR_CL_CA                    TEST/INTEGRATION/OPATESTS.QUNIT.JS</v>
      </c>
      <c r="G1359" t="str">
        <v>ALL</v>
      </c>
      <c r="K1359" t="str">
        <v>E</v>
      </c>
      <c r="L1359" t="str">
        <v>CST_VIBHAROR</v>
      </c>
      <c r="M1359">
        <v>43937</v>
      </c>
      <c r="N1359">
        <v>0.97240740740741</v>
      </c>
      <c r="S1359" t="str">
        <v>X</v>
      </c>
      <c r="W1359" t="str">
        <v>S01K907371</v>
      </c>
    </row>
    <row r="1360">
      <c r="A1360" t="str">
        <v>WAPA</v>
      </c>
      <c r="B1360" t="str">
        <v>ZRTR_CL_CA</v>
      </c>
      <c r="C1360" t="str">
        <v>WAPP</v>
      </c>
      <c r="D1360" t="str">
        <v>ZRTR_CL_CA                    TEST/INTEGRATION/PAGES/MAIN.JS</v>
      </c>
      <c r="G1360" t="str">
        <v>ALL</v>
      </c>
      <c r="K1360" t="str">
        <v>E</v>
      </c>
      <c r="L1360" t="str">
        <v>CST_VIBHAROR</v>
      </c>
      <c r="M1360">
        <v>43937</v>
      </c>
      <c r="N1360">
        <v>0.9725</v>
      </c>
      <c r="S1360" t="str">
        <v>X</v>
      </c>
      <c r="W1360" t="str">
        <v>S01K907371</v>
      </c>
    </row>
    <row r="1361">
      <c r="A1361" t="str">
        <v>WAPA</v>
      </c>
      <c r="B1361" t="str">
        <v>ZRTR_CL_CA</v>
      </c>
      <c r="C1361" t="str">
        <v>WAPP</v>
      </c>
      <c r="D1361" t="str">
        <v>ZRTR_CL_CA                    TEST/TESTSUITE.QUNIT.HTML</v>
      </c>
      <c r="G1361" t="str">
        <v>ALL</v>
      </c>
      <c r="K1361" t="str">
        <v>E</v>
      </c>
      <c r="L1361" t="str">
        <v>CST_VIBHAROR</v>
      </c>
      <c r="M1361">
        <v>43937</v>
      </c>
      <c r="N1361">
        <v>0.97236111111111</v>
      </c>
      <c r="S1361" t="str">
        <v>X</v>
      </c>
      <c r="W1361" t="str">
        <v>S01K907371</v>
      </c>
    </row>
    <row r="1362">
      <c r="A1362" t="str">
        <v>WAPA</v>
      </c>
      <c r="B1362" t="str">
        <v>ZRTR_CL_CA</v>
      </c>
      <c r="C1362" t="str">
        <v>WAPP</v>
      </c>
      <c r="D1362" t="str">
        <v>ZRTR_CL_CA                    TEST/TESTSUITE.QUNIT.JS</v>
      </c>
      <c r="G1362" t="str">
        <v>ALL</v>
      </c>
      <c r="K1362" t="str">
        <v>E</v>
      </c>
      <c r="L1362" t="str">
        <v>CST_VIBHAROR</v>
      </c>
      <c r="M1362">
        <v>43937</v>
      </c>
      <c r="N1362">
        <v>0.97237268518519</v>
      </c>
      <c r="S1362" t="str">
        <v>X</v>
      </c>
      <c r="W1362" t="str">
        <v>S01K907371</v>
      </c>
    </row>
    <row r="1363">
      <c r="A1363" t="str">
        <v>WAPA</v>
      </c>
      <c r="B1363" t="str">
        <v>ZRTR_CL_CA</v>
      </c>
      <c r="C1363" t="str">
        <v>WAPP</v>
      </c>
      <c r="D1363" t="str">
        <v>ZRTR_CL_CA                    TEST/UNIT/ALLTESTS.JS</v>
      </c>
      <c r="G1363" t="str">
        <v>ALL</v>
      </c>
      <c r="K1363" t="str">
        <v>E</v>
      </c>
      <c r="L1363" t="str">
        <v>CST_VIBHAROR</v>
      </c>
      <c r="M1363">
        <v>43937</v>
      </c>
      <c r="N1363">
        <v>0.9724537037037</v>
      </c>
      <c r="S1363" t="str">
        <v>X</v>
      </c>
      <c r="W1363" t="str">
        <v>S01K907371</v>
      </c>
    </row>
    <row r="1364">
      <c r="A1364" t="str">
        <v>WAPA</v>
      </c>
      <c r="B1364" t="str">
        <v>ZRTR_CL_CA</v>
      </c>
      <c r="C1364" t="str">
        <v>WAPP</v>
      </c>
      <c r="D1364" t="str">
        <v>ZRTR_CL_CA                    TEST/UNIT/CONTROLLER/MAIN.CONTROLLER.JS</v>
      </c>
      <c r="G1364" t="str">
        <v>ALL</v>
      </c>
      <c r="K1364" t="str">
        <v>E</v>
      </c>
      <c r="L1364" t="str">
        <v>CST_VIBHAROR</v>
      </c>
      <c r="M1364">
        <v>43937</v>
      </c>
      <c r="N1364">
        <v>0.97251157407407</v>
      </c>
      <c r="S1364" t="str">
        <v>X</v>
      </c>
      <c r="W1364" t="str">
        <v>S01K907371</v>
      </c>
    </row>
    <row r="1365">
      <c r="A1365" t="str">
        <v>WAPA</v>
      </c>
      <c r="B1365" t="str">
        <v>ZRTR_CL_CA</v>
      </c>
      <c r="C1365" t="str">
        <v>WAPP</v>
      </c>
      <c r="D1365" t="str">
        <v>ZRTR_CL_CA                    TEST/UNIT/UNITTESTS.QUNIT.HTML</v>
      </c>
      <c r="G1365" t="str">
        <v>ALL</v>
      </c>
      <c r="K1365" t="str">
        <v>E</v>
      </c>
      <c r="L1365" t="str">
        <v>CST_VIBHAROR</v>
      </c>
      <c r="M1365">
        <v>43937</v>
      </c>
      <c r="N1365">
        <v>0.97246527777778</v>
      </c>
      <c r="S1365" t="str">
        <v>X</v>
      </c>
      <c r="W1365" t="str">
        <v>S01K907371</v>
      </c>
    </row>
    <row r="1366">
      <c r="A1366" t="str">
        <v>WAPA</v>
      </c>
      <c r="B1366" t="str">
        <v>ZRTR_CL_CA</v>
      </c>
      <c r="C1366" t="str">
        <v>WAPP</v>
      </c>
      <c r="D1366" t="str">
        <v>ZRTR_CL_CA                    TEST/UNIT/UNITTESTS.QUNIT.JS</v>
      </c>
      <c r="G1366" t="str">
        <v>ALL</v>
      </c>
      <c r="K1366" t="str">
        <v>E</v>
      </c>
      <c r="L1366" t="str">
        <v>CST_VIBHAROR</v>
      </c>
      <c r="M1366">
        <v>43937</v>
      </c>
      <c r="N1366">
        <v>0.9724537037037</v>
      </c>
      <c r="S1366" t="str">
        <v>X</v>
      </c>
      <c r="W1366" t="str">
        <v>S01K907371</v>
      </c>
    </row>
    <row r="1367">
      <c r="A1367" t="str">
        <v>WAPA</v>
      </c>
      <c r="B1367" t="str">
        <v>ZRTR_CL_CA</v>
      </c>
      <c r="C1367" t="str">
        <v>WAPP</v>
      </c>
      <c r="D1367" t="str">
        <v>ZRTR_CL_CA                    UI502C57D3F16783AA03CA14F3F2DA3D6DAAF17BF0C</v>
      </c>
      <c r="G1367" t="str">
        <v>ALL</v>
      </c>
      <c r="K1367" t="str">
        <v>E</v>
      </c>
      <c r="L1367" t="str">
        <v>CST_VIBHAROR</v>
      </c>
      <c r="M1367">
        <v>43937</v>
      </c>
      <c r="N1367">
        <v>0.97252314814815</v>
      </c>
      <c r="S1367" t="str">
        <v>X</v>
      </c>
      <c r="W1367" t="str">
        <v>S01K907371</v>
      </c>
    </row>
    <row r="1368">
      <c r="A1368" t="str">
        <v>WAPA</v>
      </c>
      <c r="B1368" t="str">
        <v>ZRTR_CL_CA</v>
      </c>
      <c r="C1368" t="str">
        <v>WAPP</v>
      </c>
      <c r="D1368" t="str">
        <v>ZRTR_CL_CA                    UI508F82450CDF3F862DC74B7320B28EDD6109B8B94</v>
      </c>
      <c r="G1368" t="str">
        <v>ALL</v>
      </c>
      <c r="K1368" t="str">
        <v>E</v>
      </c>
      <c r="L1368" t="str">
        <v>CST_VIBHAROR</v>
      </c>
      <c r="M1368">
        <v>43937</v>
      </c>
      <c r="N1368">
        <v>0.97244212962963</v>
      </c>
      <c r="S1368" t="str">
        <v>X</v>
      </c>
      <c r="W1368" t="str">
        <v>S01K907371</v>
      </c>
    </row>
    <row r="1369">
      <c r="A1369" t="str">
        <v>WAPA</v>
      </c>
      <c r="B1369" t="str">
        <v>ZRTR_CL_CA</v>
      </c>
      <c r="C1369" t="str">
        <v>WAPP</v>
      </c>
      <c r="D1369" t="str">
        <v>ZRTR_CL_CA                    UI514AE574FAC2537651C7E8AB7978E8F448521E111</v>
      </c>
      <c r="G1369" t="str">
        <v>ALL</v>
      </c>
      <c r="K1369" t="str">
        <v>E</v>
      </c>
      <c r="L1369" t="str">
        <v>CST_VIBHAROR</v>
      </c>
      <c r="M1369">
        <v>43937</v>
      </c>
      <c r="N1369">
        <v>0.9725</v>
      </c>
      <c r="S1369" t="str">
        <v>X</v>
      </c>
      <c r="W1369" t="str">
        <v>S01K907371</v>
      </c>
    </row>
    <row r="1370">
      <c r="A1370" t="str">
        <v>WAPA</v>
      </c>
      <c r="B1370" t="str">
        <v>ZRTR_CL_CA</v>
      </c>
      <c r="C1370" t="str">
        <v>WAPP</v>
      </c>
      <c r="D1370" t="str">
        <v>ZRTR_CL_CA                    UI527267F5474D62E6D21B3897754C2BC39AB97EA98</v>
      </c>
      <c r="G1370" t="str">
        <v>ALL</v>
      </c>
      <c r="K1370" t="str">
        <v>E</v>
      </c>
      <c r="L1370" t="str">
        <v>CST_VIBHAROR</v>
      </c>
      <c r="M1370">
        <v>43937</v>
      </c>
      <c r="N1370">
        <v>0.97247685185185</v>
      </c>
      <c r="S1370" t="str">
        <v>X</v>
      </c>
      <c r="W1370" t="str">
        <v>S01K907371</v>
      </c>
    </row>
    <row r="1371">
      <c r="A1371" t="str">
        <v>WAPA</v>
      </c>
      <c r="B1371" t="str">
        <v>ZRTR_CL_CA</v>
      </c>
      <c r="C1371" t="str">
        <v>WAPP</v>
      </c>
      <c r="D1371" t="str">
        <v>ZRTR_CL_CA                    UI52768EEB452F61BA8F0F8D4F2703489E00D8476BA</v>
      </c>
      <c r="G1371" t="str">
        <v>ALL</v>
      </c>
      <c r="K1371" t="str">
        <v>E</v>
      </c>
      <c r="L1371" t="str">
        <v>CST_VIBHAROR</v>
      </c>
      <c r="M1371">
        <v>43937</v>
      </c>
      <c r="N1371">
        <v>0.97246527777778</v>
      </c>
      <c r="S1371" t="str">
        <v>X</v>
      </c>
      <c r="W1371" t="str">
        <v>S01K907371</v>
      </c>
    </row>
    <row r="1372">
      <c r="A1372" t="str">
        <v>WAPA</v>
      </c>
      <c r="B1372" t="str">
        <v>ZRTR_CL_CA</v>
      </c>
      <c r="C1372" t="str">
        <v>WAPP</v>
      </c>
      <c r="D1372" t="str">
        <v>ZRTR_CL_CA                    UI5429D1FCC905A37DCC96B86C417CD8ED860AFEEE5</v>
      </c>
      <c r="G1372" t="str">
        <v>ALL</v>
      </c>
      <c r="K1372" t="str">
        <v>E</v>
      </c>
      <c r="L1372" t="str">
        <v>CST_VIBHAROR</v>
      </c>
      <c r="M1372">
        <v>43937</v>
      </c>
      <c r="N1372">
        <v>0.97232638888889</v>
      </c>
      <c r="S1372" t="str">
        <v>X</v>
      </c>
      <c r="W1372" t="str">
        <v>S01K907371</v>
      </c>
    </row>
    <row r="1373">
      <c r="A1373" t="str">
        <v>WAPA</v>
      </c>
      <c r="B1373" t="str">
        <v>ZRTR_CL_CA</v>
      </c>
      <c r="C1373" t="str">
        <v>WAPP</v>
      </c>
      <c r="D1373" t="str">
        <v>ZRTR_CL_CA                    UI546CCB7BA293F78299C9795D5CFCCB84DBB075535</v>
      </c>
      <c r="G1373" t="str">
        <v>ALL</v>
      </c>
      <c r="K1373" t="str">
        <v>E</v>
      </c>
      <c r="L1373" t="str">
        <v>CST_VIBHAROR</v>
      </c>
      <c r="M1373">
        <v>43937</v>
      </c>
      <c r="N1373">
        <v>0.9721875</v>
      </c>
      <c r="S1373" t="str">
        <v>X</v>
      </c>
      <c r="W1373" t="str">
        <v>S01K907371</v>
      </c>
    </row>
    <row r="1374">
      <c r="A1374" t="str">
        <v>WAPA</v>
      </c>
      <c r="B1374" t="str">
        <v>ZRTR_CL_CA</v>
      </c>
      <c r="C1374" t="str">
        <v>WAPP</v>
      </c>
      <c r="D1374" t="str">
        <v>ZRTR_CL_CA                    UI55EA81C193C52B757C16DE73DF25FDC168CA09071</v>
      </c>
      <c r="G1374" t="str">
        <v>ALL</v>
      </c>
      <c r="K1374" t="str">
        <v>E</v>
      </c>
      <c r="L1374" t="str">
        <v>CST_VIBHAROR</v>
      </c>
      <c r="M1374">
        <v>43937</v>
      </c>
      <c r="N1374">
        <v>0.97243055555556</v>
      </c>
      <c r="S1374" t="str">
        <v>X</v>
      </c>
      <c r="W1374" t="str">
        <v>S01K907371</v>
      </c>
    </row>
    <row r="1375">
      <c r="A1375" t="str">
        <v>WAPA</v>
      </c>
      <c r="B1375" t="str">
        <v>ZRTR_CL_CA</v>
      </c>
      <c r="C1375" t="str">
        <v>WAPP</v>
      </c>
      <c r="D1375" t="str">
        <v>ZRTR_CL_CA                    UI56DF211C1A129239F14A2C10EA481F361D87C2951</v>
      </c>
      <c r="G1375" t="str">
        <v>ALL</v>
      </c>
      <c r="K1375" t="str">
        <v>E</v>
      </c>
      <c r="L1375" t="str">
        <v>CST_VIBHAROR</v>
      </c>
      <c r="M1375">
        <v>43937</v>
      </c>
      <c r="N1375">
        <v>0.97237268518519</v>
      </c>
      <c r="S1375" t="str">
        <v>X</v>
      </c>
      <c r="W1375" t="str">
        <v>S01K907371</v>
      </c>
    </row>
    <row r="1376">
      <c r="A1376" t="str">
        <v>WAPA</v>
      </c>
      <c r="B1376" t="str">
        <v>ZRTR_CL_CA</v>
      </c>
      <c r="C1376" t="str">
        <v>WAPP</v>
      </c>
      <c r="D1376" t="str">
        <v>ZRTR_CL_CA                    UI5998D97B267DCF6C31BD1569E8D040163B49B6B1B</v>
      </c>
      <c r="G1376" t="str">
        <v>ALL</v>
      </c>
      <c r="K1376" t="str">
        <v>E</v>
      </c>
      <c r="L1376" t="str">
        <v>CST_VIBHAROR</v>
      </c>
      <c r="M1376">
        <v>43937</v>
      </c>
      <c r="N1376">
        <v>0.97217592592593</v>
      </c>
      <c r="S1376" t="str">
        <v>X</v>
      </c>
      <c r="W1376" t="str">
        <v>S01K907371</v>
      </c>
    </row>
    <row r="1377">
      <c r="A1377" t="str">
        <v>WAPA</v>
      </c>
      <c r="B1377" t="str">
        <v>ZRTR_CL_CA</v>
      </c>
      <c r="C1377" t="str">
        <v>WAPP</v>
      </c>
      <c r="D1377" t="str">
        <v>ZRTR_CL_CA                    UI5A8F975298998C8C4C5BA02CD322A891D320070AF</v>
      </c>
      <c r="G1377" t="str">
        <v>ALL</v>
      </c>
      <c r="K1377" t="str">
        <v>E</v>
      </c>
      <c r="L1377" t="str">
        <v>CST_VIBHAROR</v>
      </c>
      <c r="M1377">
        <v>43937</v>
      </c>
      <c r="N1377">
        <v>0.97238425925926</v>
      </c>
      <c r="S1377" t="str">
        <v>X</v>
      </c>
      <c r="W1377" t="str">
        <v>S01K907371</v>
      </c>
    </row>
    <row r="1378">
      <c r="A1378" t="str">
        <v>WAPA</v>
      </c>
      <c r="B1378" t="str">
        <v>ZRTR_CL_CA</v>
      </c>
      <c r="C1378" t="str">
        <v>WAPP</v>
      </c>
      <c r="D1378" t="str">
        <v>ZRTR_CL_CA                    UI5AB11C809432C3E549FA423376BFF1E24191C6FDE</v>
      </c>
      <c r="G1378" t="str">
        <v>ALL</v>
      </c>
      <c r="K1378" t="str">
        <v>E</v>
      </c>
      <c r="L1378" t="str">
        <v>CST_VIBHAROR</v>
      </c>
      <c r="M1378">
        <v>43937</v>
      </c>
      <c r="N1378">
        <v>0.97233796296296</v>
      </c>
      <c r="S1378" t="str">
        <v>X</v>
      </c>
      <c r="W1378" t="str">
        <v>S01K907371</v>
      </c>
    </row>
    <row r="1379">
      <c r="A1379" t="str">
        <v>WAPA</v>
      </c>
      <c r="B1379" t="str">
        <v>ZRTR_CL_CA</v>
      </c>
      <c r="C1379" t="str">
        <v>WAPP</v>
      </c>
      <c r="D1379" t="str">
        <v>ZRTR_CL_CA                    UI5B286271A536B86ED651FBB5320BA4B907C4EB39A</v>
      </c>
      <c r="G1379" t="str">
        <v>ALL</v>
      </c>
      <c r="K1379" t="str">
        <v>E</v>
      </c>
      <c r="L1379" t="str">
        <v>CST_VIBHAROR</v>
      </c>
      <c r="M1379">
        <v>43937</v>
      </c>
      <c r="N1379">
        <v>0.97215277777778</v>
      </c>
      <c r="S1379" t="str">
        <v>X</v>
      </c>
      <c r="W1379" t="str">
        <v>S01K907371</v>
      </c>
    </row>
    <row r="1380">
      <c r="A1380" t="str">
        <v>WAPA</v>
      </c>
      <c r="B1380" t="str">
        <v>ZRTR_CL_CA</v>
      </c>
      <c r="C1380" t="str">
        <v>WAPP</v>
      </c>
      <c r="D1380" t="str">
        <v>ZRTR_CL_CA                    UI5C1988FC21E729302CE0154DCECD5D701AFF8B551</v>
      </c>
      <c r="G1380" t="str">
        <v>ALL</v>
      </c>
      <c r="K1380" t="str">
        <v>E</v>
      </c>
      <c r="L1380" t="str">
        <v>CST_VIBHAROR</v>
      </c>
      <c r="M1380">
        <v>43937</v>
      </c>
      <c r="N1380">
        <v>0.97212962962963</v>
      </c>
      <c r="S1380" t="str">
        <v>X</v>
      </c>
      <c r="W1380" t="str">
        <v>S01K907371</v>
      </c>
    </row>
    <row r="1381">
      <c r="A1381" t="str">
        <v>WAPA</v>
      </c>
      <c r="B1381" t="str">
        <v>ZRTR_CL_CA</v>
      </c>
      <c r="C1381" t="str">
        <v>WAPP</v>
      </c>
      <c r="D1381" t="str">
        <v>ZRTR_CL_CA                    UI5D0509BCA4761B02D4C560D48F432882FE3618B85</v>
      </c>
      <c r="G1381" t="str">
        <v>ALL</v>
      </c>
      <c r="K1381" t="str">
        <v>E</v>
      </c>
      <c r="L1381" t="str">
        <v>CST_VIBHAROR</v>
      </c>
      <c r="M1381">
        <v>43937</v>
      </c>
      <c r="N1381">
        <v>0.97215277777778</v>
      </c>
      <c r="S1381" t="str">
        <v>X</v>
      </c>
      <c r="W1381" t="str">
        <v>S01K907371</v>
      </c>
    </row>
    <row r="1382">
      <c r="A1382" t="str">
        <v>WAPA</v>
      </c>
      <c r="B1382" t="str">
        <v>ZRTR_CL_CA</v>
      </c>
      <c r="C1382" t="str">
        <v>WAPP</v>
      </c>
      <c r="D1382" t="str">
        <v>ZRTR_CL_CA                    UI5D3D872099E5E512CBF7792B8AE2A3286B6A31446</v>
      </c>
      <c r="G1382" t="str">
        <v>ALL</v>
      </c>
      <c r="K1382" t="str">
        <v>E</v>
      </c>
      <c r="L1382" t="str">
        <v>CST_VIBHAROR</v>
      </c>
      <c r="M1382">
        <v>43937</v>
      </c>
      <c r="N1382">
        <v>0.97248842592593</v>
      </c>
      <c r="S1382" t="str">
        <v>X</v>
      </c>
      <c r="W1382" t="str">
        <v>S01K907371</v>
      </c>
    </row>
    <row r="1383">
      <c r="A1383" t="str">
        <v>WAPA</v>
      </c>
      <c r="B1383" t="str">
        <v>ZRTR_CL_CA</v>
      </c>
      <c r="C1383" t="str">
        <v>WAPP</v>
      </c>
      <c r="D1383" t="str">
        <v>ZRTR_CL_CA                    UI5E63C00F892E980886060A10B1B3A27841D4B3451</v>
      </c>
      <c r="G1383" t="str">
        <v>ALL</v>
      </c>
      <c r="K1383" t="str">
        <v>E</v>
      </c>
      <c r="L1383" t="str">
        <v>CST_VIBHAROR</v>
      </c>
      <c r="M1383">
        <v>43937</v>
      </c>
      <c r="N1383">
        <v>0.97243055555556</v>
      </c>
      <c r="S1383" t="str">
        <v>X</v>
      </c>
      <c r="W1383" t="str">
        <v>S01K907371</v>
      </c>
    </row>
    <row r="1384">
      <c r="A1384" t="str">
        <v>WAPA</v>
      </c>
      <c r="B1384" t="str">
        <v>ZRTR_CL_CA</v>
      </c>
      <c r="C1384" t="str">
        <v>WAPP</v>
      </c>
      <c r="D1384" t="str">
        <v>ZRTR_CL_CA                    VIEW/MAIN.VIEW.XML</v>
      </c>
      <c r="G1384" t="str">
        <v>ALL</v>
      </c>
      <c r="K1384" t="str">
        <v>E</v>
      </c>
      <c r="L1384" t="str">
        <v>CST_VIBHAROR</v>
      </c>
      <c r="M1384">
        <v>43937</v>
      </c>
      <c r="N1384">
        <v>0.97231481481481</v>
      </c>
      <c r="S1384" t="str">
        <v>X</v>
      </c>
      <c r="W1384" t="str">
        <v>S01K907371</v>
      </c>
    </row>
    <row r="1385">
      <c r="A1385" t="str">
        <v>WAPA</v>
      </c>
      <c r="B1385" t="str">
        <v>Z_STR_COCKPIT</v>
      </c>
      <c r="C1385" t="str">
        <v>WAPP</v>
      </c>
      <c r="D1385" t="str">
        <v>Z_STR_COCKPIT                 COMPONENT.JS.MAP</v>
      </c>
      <c r="G1385" t="str">
        <v>ALL</v>
      </c>
      <c r="K1385" t="str">
        <v>E</v>
      </c>
      <c r="L1385">
        <v>50103014</v>
      </c>
      <c r="M1385">
        <v>46195</v>
      </c>
      <c r="N1385">
        <v>0.52667824074074</v>
      </c>
      <c r="S1385" t="str">
        <v>X</v>
      </c>
      <c r="W1385" t="str">
        <v>S01K929981</v>
      </c>
    </row>
    <row r="1386">
      <c r="A1386" t="str">
        <v>WAPA</v>
      </c>
      <c r="B1386" t="str">
        <v>Z_STR_COCKPIT</v>
      </c>
      <c r="C1386" t="str">
        <v>WAPP</v>
      </c>
      <c r="D1386" t="str">
        <v>Z_STR_COCKPIT                 CONTROLLER/ASFOUNDREPORT.CONTROLLER.JS.MAP</v>
      </c>
      <c r="G1386" t="str">
        <v>ALL</v>
      </c>
      <c r="K1386" t="str">
        <v>E</v>
      </c>
      <c r="L1386" t="str">
        <v>CST_VSOMANCH</v>
      </c>
      <c r="M1386">
        <v>46024</v>
      </c>
      <c r="N1386">
        <v>0.41652777777778</v>
      </c>
      <c r="S1386" t="str">
        <v>X</v>
      </c>
      <c r="W1386" t="str">
        <v>S01K927360</v>
      </c>
    </row>
    <row r="1387">
      <c r="A1387" t="str">
        <v>WAPA</v>
      </c>
      <c r="B1387" t="str">
        <v>Z_STR_COCKPIT</v>
      </c>
      <c r="C1387" t="str">
        <v>WAPP</v>
      </c>
      <c r="D1387" t="str">
        <v>Z_STR_COCKPIT                 CONTROLLER/DETAIL.CONTROLLER.JS</v>
      </c>
      <c r="G1387" t="str">
        <v>ALL</v>
      </c>
      <c r="K1387" t="str">
        <v>E</v>
      </c>
      <c r="L1387" t="str">
        <v>CST_VSOMANCH</v>
      </c>
      <c r="M1387">
        <v>46069</v>
      </c>
      <c r="N1387">
        <v>0.66871527777778</v>
      </c>
      <c r="S1387" t="str">
        <v>X</v>
      </c>
      <c r="W1387" t="str">
        <v>S01K927360</v>
      </c>
    </row>
    <row r="1388">
      <c r="A1388" t="str">
        <v>WAPA</v>
      </c>
      <c r="B1388" t="str">
        <v>Z_STR_COCKPIT</v>
      </c>
      <c r="C1388" t="str">
        <v>WAPP</v>
      </c>
      <c r="D1388" t="str">
        <v>Z_STR_COCKPIT                 CONTROLLER/DETAIL.CONTROLLER.JS.MAP</v>
      </c>
      <c r="G1388" t="str">
        <v>ALL</v>
      </c>
      <c r="K1388" t="str">
        <v>E</v>
      </c>
      <c r="L1388">
        <v>50103014</v>
      </c>
      <c r="M1388">
        <v>46195</v>
      </c>
      <c r="N1388">
        <v>0.52671296296296</v>
      </c>
      <c r="S1388" t="str">
        <v>X</v>
      </c>
      <c r="W1388" t="str">
        <v>S01K929981</v>
      </c>
    </row>
    <row r="1389">
      <c r="A1389" t="str">
        <v>WAPA</v>
      </c>
      <c r="B1389" t="str">
        <v>Z_STR_COCKPIT</v>
      </c>
      <c r="C1389" t="str">
        <v>WAPP</v>
      </c>
      <c r="D1389" t="str">
        <v>Z_STR_COCKPIT                 MANIFEST.JSON</v>
      </c>
      <c r="G1389" t="str">
        <v>ALL</v>
      </c>
      <c r="K1389" t="str">
        <v>E</v>
      </c>
      <c r="L1389" t="str">
        <v>CST_VSOMANCH</v>
      </c>
      <c r="M1389">
        <v>46024</v>
      </c>
      <c r="N1389">
        <v>0.41662037037037</v>
      </c>
      <c r="S1389" t="str">
        <v>X</v>
      </c>
      <c r="W1389" t="str">
        <v>S01K927360</v>
      </c>
    </row>
    <row r="1390">
      <c r="A1390" t="str">
        <v>WAPA</v>
      </c>
      <c r="B1390" t="str">
        <v>Z_STR_COCKPIT</v>
      </c>
      <c r="C1390" t="str">
        <v>WAPP</v>
      </c>
      <c r="D1390" t="str">
        <v>Z_STR_COCKPIT                 MODEL/MODELS.JS.MAP</v>
      </c>
      <c r="G1390" t="str">
        <v>ALL</v>
      </c>
      <c r="K1390" t="str">
        <v>E</v>
      </c>
      <c r="L1390" t="str">
        <v>CST_VSOMANCH</v>
      </c>
      <c r="M1390">
        <v>46024</v>
      </c>
      <c r="N1390">
        <v>0.41664351851852</v>
      </c>
      <c r="S1390" t="str">
        <v>X</v>
      </c>
      <c r="W1390" t="str">
        <v>S01K927360</v>
      </c>
    </row>
    <row r="1391">
      <c r="A1391" t="str">
        <v>WAPA</v>
      </c>
      <c r="B1391" t="str">
        <v>Z_STR_COCKPIT</v>
      </c>
      <c r="C1391" t="str">
        <v>WAPP</v>
      </c>
      <c r="D1391" t="str">
        <v>Z_STR_COCKPIT                 UI50364B9A678757871751B9E60695D01A9994731A1</v>
      </c>
      <c r="G1391" t="str">
        <v>ALL</v>
      </c>
      <c r="K1391" t="str">
        <v>E</v>
      </c>
      <c r="L1391">
        <v>50103014</v>
      </c>
      <c r="M1391">
        <v>46189</v>
      </c>
      <c r="N1391">
        <v>0.69585648148148</v>
      </c>
      <c r="S1391" t="str">
        <v>X</v>
      </c>
      <c r="W1391" t="str">
        <v>S01K929883</v>
      </c>
    </row>
    <row r="1392">
      <c r="A1392" t="str">
        <v>WAPA</v>
      </c>
      <c r="B1392" t="str">
        <v>Z_STR_COCKPIT</v>
      </c>
      <c r="C1392" t="str">
        <v>WAPP</v>
      </c>
      <c r="D1392" t="str">
        <v>Z_STR_COCKPIT                 UI513FC263D7AED914EDE921D2582482782B3CCCC1E</v>
      </c>
      <c r="G1392" t="str">
        <v>ALL</v>
      </c>
      <c r="K1392" t="str">
        <v>E</v>
      </c>
      <c r="L1392">
        <v>50103014</v>
      </c>
      <c r="M1392">
        <v>46195</v>
      </c>
      <c r="N1392">
        <v>0.52670138888889</v>
      </c>
      <c r="S1392" t="str">
        <v>X</v>
      </c>
      <c r="W1392" t="str">
        <v>S01K929981</v>
      </c>
    </row>
    <row r="1393">
      <c r="A1393" t="str">
        <v>WAPA</v>
      </c>
      <c r="B1393" t="str">
        <v>Z_STR_COCKPIT</v>
      </c>
      <c r="C1393" t="str">
        <v>WAPP</v>
      </c>
      <c r="D1393" t="str">
        <v>Z_STR_COCKPIT                 UI5182CB1076181CC48D8B7FB628CEAE3120D4306DF</v>
      </c>
      <c r="G1393" t="str">
        <v>ALL</v>
      </c>
      <c r="K1393" t="str">
        <v>E</v>
      </c>
      <c r="L1393" t="str">
        <v>CST_VSOMANCH</v>
      </c>
      <c r="M1393">
        <v>46024</v>
      </c>
      <c r="N1393">
        <v>0.4165162037037</v>
      </c>
      <c r="S1393" t="str">
        <v>X</v>
      </c>
      <c r="W1393" t="str">
        <v>S01K927360</v>
      </c>
    </row>
    <row r="1394">
      <c r="A1394" t="str">
        <v>WAPA</v>
      </c>
      <c r="B1394" t="str">
        <v>Z_STR_COCKPIT</v>
      </c>
      <c r="C1394" t="str">
        <v>WAPP</v>
      </c>
      <c r="D1394" t="str">
        <v>Z_STR_COCKPIT                 UI53016FA8B95730CA662753641FF57FC1BDA4982AE</v>
      </c>
      <c r="G1394" t="str">
        <v>ALL</v>
      </c>
      <c r="K1394" t="str">
        <v>E</v>
      </c>
      <c r="L1394">
        <v>50103014</v>
      </c>
      <c r="M1394">
        <v>46189</v>
      </c>
      <c r="N1394">
        <v>0.70309027777778</v>
      </c>
      <c r="S1394" t="str">
        <v>X</v>
      </c>
      <c r="W1394" t="str">
        <v>S01K929883</v>
      </c>
    </row>
    <row r="1395">
      <c r="A1395" t="str">
        <v>WAPA</v>
      </c>
      <c r="B1395" t="str">
        <v>Z_STR_COCKPIT</v>
      </c>
      <c r="C1395" t="str">
        <v>WAPP</v>
      </c>
      <c r="D1395" t="str">
        <v>Z_STR_COCKPIT                 UI5414E2FB362688F3DC5804867F37C00A8015662FC</v>
      </c>
      <c r="G1395" t="str">
        <v>ALL</v>
      </c>
      <c r="K1395" t="str">
        <v>E</v>
      </c>
      <c r="L1395" t="str">
        <v>CST_VSOMANCH</v>
      </c>
      <c r="M1395">
        <v>46024</v>
      </c>
      <c r="N1395">
        <v>0.4165625</v>
      </c>
      <c r="S1395" t="str">
        <v>X</v>
      </c>
      <c r="W1395" t="str">
        <v>S01K927360</v>
      </c>
    </row>
    <row r="1396">
      <c r="A1396" t="str">
        <v>WAPA</v>
      </c>
      <c r="B1396" t="str">
        <v>Z_STR_COCKPIT</v>
      </c>
      <c r="C1396" t="str">
        <v>WAPP</v>
      </c>
      <c r="D1396" t="str">
        <v>Z_STR_COCKPIT                 UI548523DCED9B7CACAB7C5AE285DD3B8CC12C84940</v>
      </c>
      <c r="G1396" t="str">
        <v>ALL</v>
      </c>
      <c r="K1396" t="str">
        <v>E</v>
      </c>
      <c r="L1396">
        <v>50103014</v>
      </c>
      <c r="M1396">
        <v>46189</v>
      </c>
      <c r="N1396">
        <v>0.71018518518519</v>
      </c>
      <c r="S1396" t="str">
        <v>X</v>
      </c>
      <c r="W1396" t="str">
        <v>S01K929883</v>
      </c>
    </row>
    <row r="1397">
      <c r="A1397" t="str">
        <v>WAPA</v>
      </c>
      <c r="B1397" t="str">
        <v>Z_STR_COCKPIT</v>
      </c>
      <c r="C1397" t="str">
        <v>WAPP</v>
      </c>
      <c r="D1397" t="str">
        <v>Z_STR_COCKPIT                 UI557CF5CD537FC7FD6ABD94DE90D5321044743BE20</v>
      </c>
      <c r="G1397" t="str">
        <v>ALL</v>
      </c>
      <c r="K1397" t="str">
        <v>E</v>
      </c>
      <c r="L1397">
        <v>50103014</v>
      </c>
      <c r="M1397">
        <v>46195</v>
      </c>
      <c r="N1397">
        <v>0.52665509259259</v>
      </c>
      <c r="S1397" t="str">
        <v>X</v>
      </c>
      <c r="W1397" t="str">
        <v>S01K929981</v>
      </c>
    </row>
    <row r="1398">
      <c r="A1398" t="str">
        <v>WAPA</v>
      </c>
      <c r="B1398" t="str">
        <v>Z_STR_COCKPIT</v>
      </c>
      <c r="C1398" t="str">
        <v>WAPP</v>
      </c>
      <c r="D1398" t="str">
        <v>Z_STR_COCKPIT                 UI5998D97B267DCF6C31BD1569E8D040163B49B6B1B</v>
      </c>
      <c r="G1398" t="str">
        <v>ALL</v>
      </c>
      <c r="K1398" t="str">
        <v>E</v>
      </c>
      <c r="L1398">
        <v>50103014</v>
      </c>
      <c r="M1398">
        <v>46189</v>
      </c>
      <c r="N1398">
        <v>0.7030787037037</v>
      </c>
      <c r="S1398" t="str">
        <v>X</v>
      </c>
      <c r="W1398" t="str">
        <v>S01K929883</v>
      </c>
    </row>
    <row r="1399">
      <c r="A1399" t="str">
        <v>WAPA</v>
      </c>
      <c r="B1399" t="str">
        <v>Z_STR_COCKPIT</v>
      </c>
      <c r="C1399" t="str">
        <v>WAPP</v>
      </c>
      <c r="D1399" t="str">
        <v>Z_STR_COCKPIT                 UI5A8F975298998C8C4C5BA02CD322A891D320070AF</v>
      </c>
      <c r="G1399" t="str">
        <v>ALL</v>
      </c>
      <c r="K1399" t="str">
        <v>E</v>
      </c>
      <c r="L1399">
        <v>50103014</v>
      </c>
      <c r="M1399">
        <v>46189</v>
      </c>
      <c r="N1399">
        <v>0.71018518518519</v>
      </c>
      <c r="S1399" t="str">
        <v>X</v>
      </c>
      <c r="W1399" t="str">
        <v>S01K929883</v>
      </c>
    </row>
    <row r="1400">
      <c r="A1400" t="str">
        <v>WAPA</v>
      </c>
      <c r="B1400" t="str">
        <v>Z_STR_COCKPIT</v>
      </c>
      <c r="C1400" t="str">
        <v>WAPP</v>
      </c>
      <c r="D1400" t="str">
        <v>Z_STR_COCKPIT                 UI5B2B5D24238268DEF4FA05063EBE5142BBCACE17B</v>
      </c>
      <c r="G1400" t="str">
        <v>ALL</v>
      </c>
      <c r="K1400" t="str">
        <v>E</v>
      </c>
      <c r="L1400">
        <v>50103014</v>
      </c>
      <c r="M1400">
        <v>46195</v>
      </c>
      <c r="N1400">
        <v>0.52665509259259</v>
      </c>
      <c r="S1400" t="str">
        <v>X</v>
      </c>
      <c r="W1400" t="str">
        <v>S01K929981</v>
      </c>
    </row>
    <row r="1401">
      <c r="A1401" t="str">
        <v>WAPA</v>
      </c>
      <c r="B1401" t="str">
        <v>Z_STR_COCKPIT</v>
      </c>
      <c r="C1401" t="str">
        <v>WAPP</v>
      </c>
      <c r="D1401" t="str">
        <v>Z_STR_COCKPIT                 UI5C1988FC21E729302CE0154DCECD5D701AFF8B551</v>
      </c>
      <c r="G1401" t="str">
        <v>ALL</v>
      </c>
      <c r="K1401" t="str">
        <v>E</v>
      </c>
      <c r="L1401">
        <v>50103014</v>
      </c>
      <c r="M1401">
        <v>46195</v>
      </c>
      <c r="N1401">
        <v>0.52671296296296</v>
      </c>
      <c r="S1401" t="str">
        <v>X</v>
      </c>
      <c r="W1401" t="str">
        <v>S01K929981</v>
      </c>
    </row>
    <row r="1402">
      <c r="A1402" t="str">
        <v>WAPA</v>
      </c>
      <c r="B1402" t="str">
        <v>Z_STR_COCKPIT</v>
      </c>
      <c r="C1402" t="str">
        <v>WAPP</v>
      </c>
      <c r="D1402" t="str">
        <v>Z_STR_COCKPIT                 UI5DADAFF58131ECB1A06A7736E7230B403006A6CE7</v>
      </c>
      <c r="G1402" t="str">
        <v>ALL</v>
      </c>
      <c r="K1402" t="str">
        <v>E</v>
      </c>
      <c r="L1402">
        <v>50103014</v>
      </c>
      <c r="M1402">
        <v>46189</v>
      </c>
      <c r="N1402">
        <v>0.69590277777778</v>
      </c>
      <c r="S1402" t="str">
        <v>X</v>
      </c>
      <c r="W1402" t="str">
        <v>S01K929883</v>
      </c>
    </row>
    <row r="1403">
      <c r="A1403" t="str">
        <v>WAPA</v>
      </c>
      <c r="B1403" t="str">
        <v>Z_STR_COCKPIT</v>
      </c>
      <c r="C1403" t="str">
        <v>WAPP</v>
      </c>
      <c r="D1403" t="str">
        <v>Z_STR_COCKPIT                 UI5F998A7BB9C7E61B337E31DA3925ABBEE36047825</v>
      </c>
      <c r="G1403" t="str">
        <v>ALL</v>
      </c>
      <c r="K1403" t="str">
        <v>E</v>
      </c>
      <c r="L1403">
        <v>50103014</v>
      </c>
      <c r="M1403">
        <v>46195</v>
      </c>
      <c r="N1403">
        <v>0.52663194444444</v>
      </c>
      <c r="S1403" t="str">
        <v>X</v>
      </c>
      <c r="W1403" t="str">
        <v>S01K929981</v>
      </c>
    </row>
    <row r="1404">
      <c r="A1404" t="str">
        <v>WAPA</v>
      </c>
      <c r="B1404" t="str">
        <v>Z_STR_COCKPIT</v>
      </c>
      <c r="C1404" t="str">
        <v>WAPP</v>
      </c>
      <c r="D1404" t="str">
        <v>Z_STR_COCKPIT                 UI5REPOSITORYPATHMAPPING.XML</v>
      </c>
      <c r="G1404" t="str">
        <v>ALL</v>
      </c>
      <c r="K1404" t="str">
        <v>E</v>
      </c>
      <c r="L1404">
        <v>50103014</v>
      </c>
      <c r="M1404">
        <v>46195</v>
      </c>
      <c r="N1404">
        <v>0.52674768518519</v>
      </c>
      <c r="S1404" t="str">
        <v>X</v>
      </c>
      <c r="W1404" t="str">
        <v>S01K929981</v>
      </c>
    </row>
    <row r="1405">
      <c r="A1405" t="str">
        <v>WAPA</v>
      </c>
      <c r="B1405" t="str">
        <v>Z_STR_COCKPIT</v>
      </c>
      <c r="C1405" t="str">
        <v>WAPP</v>
      </c>
      <c r="D1405" t="str">
        <v>Z_STR_COCKPIT                 VIEW/FRAGMENTS/PRINTOPTIONS.FRAGMENT.XML</v>
      </c>
      <c r="G1405" t="str">
        <v>ALL</v>
      </c>
      <c r="K1405" t="str">
        <v>E</v>
      </c>
      <c r="L1405">
        <v>50103014</v>
      </c>
      <c r="M1405">
        <v>46189</v>
      </c>
      <c r="N1405">
        <v>0.69592592592593</v>
      </c>
      <c r="S1405" t="str">
        <v>X</v>
      </c>
      <c r="W1405" t="str">
        <v>S01K929883</v>
      </c>
    </row>
    <row r="1406">
      <c r="A1406" t="str">
        <v>WDCC</v>
      </c>
      <c r="B1406" t="str">
        <v>ZBS_BP_IDEN_DETAILS             00</v>
      </c>
      <c r="C1406" t="str">
        <v>WDCC</v>
      </c>
      <c r="D1406" t="str">
        <v>ZBS_BP_IDEN_DETAILS             00</v>
      </c>
      <c r="G1406" t="str">
        <v>ALL</v>
      </c>
      <c r="L1406" t="str">
        <v>ADEVAN</v>
      </c>
      <c r="M1406">
        <v>46028</v>
      </c>
      <c r="N1406">
        <v>0.36655092592593</v>
      </c>
      <c r="R1406" t="str">
        <v>S</v>
      </c>
      <c r="S1406" t="str">
        <v>X</v>
      </c>
    </row>
  </sheetData>
  <pageMargins left="0.7" right="0.7" top="0.75" bottom="0.75" header="0.3" footer="0.3"/>
  <ignoredErrors>
    <ignoredError numberStoredAsText="1" sqref="A1:AK140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471"/>
  <sheetViews>
    <sheetView workbookViewId="0" rightToLeft="0"/>
  </sheetViews>
  <sheetData>
    <row r="1">
      <c r="A1" t="str">
        <v>NAMESPACE</v>
      </c>
      <c r="B1" t="str">
        <v>ROLE</v>
      </c>
      <c r="C1" t="str">
        <v>REPLICENSE</v>
      </c>
      <c r="D1" t="str">
        <v>SSCRFLAG</v>
      </c>
      <c r="E1" t="str">
        <v>SAPFLAG</v>
      </c>
      <c r="F1" t="str">
        <v>GEN_ONLY</v>
      </c>
      <c r="G1" t="str">
        <v>CHANGEUSER</v>
      </c>
      <c r="H1" t="str">
        <v>CHANGEDATE</v>
      </c>
      <c r="I1" t="str">
        <v>Description</v>
      </c>
      <c r="J1" t="str">
        <v>Owner</v>
      </c>
    </row>
    <row r="2">
      <c r="A2" t="str">
        <v>/0CUST/</v>
      </c>
      <c r="B2" t="str">
        <v>P</v>
      </c>
      <c r="G2" t="str">
        <v>SAP</v>
      </c>
      <c r="H2">
        <v>35674</v>
      </c>
      <c r="J2" t="str">
        <v>Customer Name Range</v>
      </c>
    </row>
    <row r="3">
      <c r="A3" t="str">
        <v>/0SAP/</v>
      </c>
      <c r="B3" t="str">
        <v>C</v>
      </c>
      <c r="D3" t="str">
        <v>X</v>
      </c>
      <c r="E3" t="str">
        <v>X</v>
      </c>
      <c r="G3" t="str">
        <v>SAP</v>
      </c>
      <c r="H3">
        <v>37875</v>
      </c>
      <c r="J3" t="str">
        <v>General SAP Name Range</v>
      </c>
    </row>
    <row r="4">
      <c r="A4" t="str">
        <v>/0SJ1G/</v>
      </c>
      <c r="B4" t="str">
        <v>C</v>
      </c>
      <c r="D4" t="str">
        <v>X</v>
      </c>
      <c r="E4" t="str">
        <v>X</v>
      </c>
      <c r="G4" t="str">
        <v>SAP</v>
      </c>
      <c r="H4">
        <v>42137</v>
      </c>
      <c r="J4" t="str">
        <v>/0SJ1G/</v>
      </c>
    </row>
    <row r="5">
      <c r="A5" t="str">
        <v>/0SJ1U/</v>
      </c>
      <c r="B5" t="str">
        <v>C</v>
      </c>
      <c r="D5" t="str">
        <v>X</v>
      </c>
      <c r="E5" t="str">
        <v>X</v>
      </c>
      <c r="G5" t="str">
        <v>SAP</v>
      </c>
      <c r="H5">
        <v>42137</v>
      </c>
      <c r="J5" t="str">
        <v>/0SJ1U/</v>
      </c>
    </row>
    <row r="6">
      <c r="A6" t="str">
        <v>/0SJ2G/</v>
      </c>
      <c r="B6" t="str">
        <v>C</v>
      </c>
      <c r="D6" t="str">
        <v>X</v>
      </c>
      <c r="E6" t="str">
        <v>X</v>
      </c>
      <c r="G6" t="str">
        <v>SAP</v>
      </c>
      <c r="H6">
        <v>42137</v>
      </c>
      <c r="J6" t="str">
        <v>/0SJ2G/</v>
      </c>
    </row>
    <row r="7">
      <c r="A7" t="str">
        <v>/0SJ3G/</v>
      </c>
      <c r="B7" t="str">
        <v>C</v>
      </c>
      <c r="G7" t="str">
        <v>SAP</v>
      </c>
      <c r="H7">
        <v>38544</v>
      </c>
    </row>
    <row r="8">
      <c r="A8" t="str">
        <v>/0SJ3K/</v>
      </c>
      <c r="B8" t="str">
        <v>C</v>
      </c>
      <c r="D8" t="str">
        <v>X</v>
      </c>
      <c r="E8" t="str">
        <v>X</v>
      </c>
      <c r="G8" t="str">
        <v>SAP</v>
      </c>
      <c r="H8">
        <v>42137</v>
      </c>
      <c r="J8" t="str">
        <v>/0SJ3K/</v>
      </c>
    </row>
    <row r="9">
      <c r="A9" t="str">
        <v>/0SJ3R/</v>
      </c>
      <c r="B9" t="str">
        <v>C</v>
      </c>
      <c r="D9" t="str">
        <v>X</v>
      </c>
      <c r="E9" t="str">
        <v>X</v>
      </c>
      <c r="G9" t="str">
        <v>SAP</v>
      </c>
      <c r="H9">
        <v>38153</v>
      </c>
      <c r="J9" t="str">
        <v>SAP SE</v>
      </c>
    </row>
    <row r="10">
      <c r="A10" t="str">
        <v>/0SJ4G/</v>
      </c>
      <c r="B10" t="str">
        <v>C</v>
      </c>
      <c r="G10" t="str">
        <v>SAP</v>
      </c>
      <c r="H10">
        <v>38544</v>
      </c>
    </row>
    <row r="11">
      <c r="A11" t="str">
        <v>/0SJ5K/</v>
      </c>
      <c r="B11" t="str">
        <v>C</v>
      </c>
      <c r="D11" t="str">
        <v>X</v>
      </c>
      <c r="E11" t="str">
        <v>X</v>
      </c>
      <c r="G11" t="str">
        <v>SAP</v>
      </c>
      <c r="H11">
        <v>42137</v>
      </c>
      <c r="J11" t="str">
        <v>/0SJ5K/</v>
      </c>
    </row>
    <row r="12">
      <c r="A12" t="str">
        <v>/0SJ6N/</v>
      </c>
      <c r="B12" t="str">
        <v>C</v>
      </c>
      <c r="G12" t="str">
        <v>SAP</v>
      </c>
      <c r="H12">
        <v>41683</v>
      </c>
      <c r="J12" t="str">
        <v>Namespace of IXOS Software AG, 3.x/4.0</v>
      </c>
    </row>
    <row r="13">
      <c r="A13" t="str">
        <v>/0SJ7L/</v>
      </c>
      <c r="B13" t="str">
        <v>C</v>
      </c>
      <c r="G13" t="str">
        <v>SAP</v>
      </c>
      <c r="H13">
        <v>41771</v>
      </c>
      <c r="J13" t="str">
        <v>Recycling Administration</v>
      </c>
    </row>
    <row r="14">
      <c r="A14" t="str">
        <v>/0SJ8A/</v>
      </c>
      <c r="B14" t="str">
        <v>C</v>
      </c>
      <c r="G14" t="str">
        <v>SAP</v>
      </c>
      <c r="H14">
        <v>44048</v>
      </c>
      <c r="J14" t="str">
        <v>Namespace OpenText(IXOS)</v>
      </c>
    </row>
    <row r="15">
      <c r="A15" t="str">
        <v>/1ACC/</v>
      </c>
      <c r="B15" t="str">
        <v>C</v>
      </c>
      <c r="D15" t="str">
        <v>X</v>
      </c>
      <c r="E15" t="str">
        <v>X</v>
      </c>
      <c r="F15" t="str">
        <v>X</v>
      </c>
      <c r="G15" t="str">
        <v>SAP</v>
      </c>
      <c r="H15">
        <v>37011</v>
      </c>
      <c r="J15" t="str">
        <v>Financials Development, Generated Objects for e-Accounting</v>
      </c>
    </row>
    <row r="16">
      <c r="A16" t="str">
        <v>/1APO/</v>
      </c>
      <c r="B16" t="str">
        <v>C</v>
      </c>
      <c r="F16" t="str">
        <v>X</v>
      </c>
      <c r="G16" t="str">
        <v>SAP</v>
      </c>
      <c r="H16">
        <v>36381</v>
      </c>
      <c r="J16" t="str">
        <v>Test Generation Namespace for BW</v>
      </c>
    </row>
    <row r="17">
      <c r="A17" t="str">
        <v>/1B0/</v>
      </c>
      <c r="B17" t="str">
        <v>C</v>
      </c>
      <c r="C17">
        <v>34705073621112365000</v>
      </c>
      <c r="D17" t="str">
        <v>X</v>
      </c>
      <c r="E17" t="str">
        <v>X</v>
      </c>
      <c r="F17" t="str">
        <v>X</v>
      </c>
      <c r="G17" t="str">
        <v>SAP</v>
      </c>
      <c r="H17">
        <v>41554</v>
      </c>
      <c r="J17" t="str">
        <v>SAP SE</v>
      </c>
    </row>
    <row r="18">
      <c r="A18" t="str">
        <v>/1BA/</v>
      </c>
      <c r="B18" t="str">
        <v>C</v>
      </c>
      <c r="C18">
        <v>9952403131012516000</v>
      </c>
      <c r="D18" t="str">
        <v>X</v>
      </c>
      <c r="F18" t="str">
        <v>X</v>
      </c>
      <c r="G18" t="str">
        <v>SAP</v>
      </c>
      <c r="H18">
        <v>43227</v>
      </c>
      <c r="J18" t="str">
        <v>Bank Analyzer: Generated Objects</v>
      </c>
    </row>
    <row r="19">
      <c r="A19" t="str">
        <v>/1BCABA/</v>
      </c>
      <c r="B19" t="str">
        <v>C</v>
      </c>
      <c r="C19">
        <v>38487669010637980000</v>
      </c>
      <c r="D19" t="str">
        <v>X</v>
      </c>
      <c r="F19" t="str">
        <v>X</v>
      </c>
      <c r="G19" t="str">
        <v>SAP</v>
      </c>
      <c r="H19">
        <v>35640</v>
      </c>
      <c r="J19" t="str">
        <v>ABAP &amp; GUI Tools</v>
      </c>
    </row>
    <row r="20">
      <c r="A20" t="str">
        <v>/1BCAMDP/</v>
      </c>
      <c r="B20" t="str">
        <v>C</v>
      </c>
      <c r="D20" t="str">
        <v>X</v>
      </c>
      <c r="E20" t="str">
        <v>X</v>
      </c>
      <c r="F20" t="str">
        <v>X</v>
      </c>
      <c r="G20" t="str">
        <v>SAP</v>
      </c>
      <c r="H20">
        <v>41526</v>
      </c>
      <c r="J20" t="str">
        <v>Non-DDIC Objects in &lt;sapsid&gt; Schema for Use in AMDP</v>
      </c>
    </row>
    <row r="21">
      <c r="A21" t="str">
        <v>/1BCBCF/</v>
      </c>
      <c r="B21" t="str">
        <v>C</v>
      </c>
      <c r="C21">
        <v>26434631310085997000</v>
      </c>
      <c r="D21" t="str">
        <v>X</v>
      </c>
      <c r="E21" t="str">
        <v>X</v>
      </c>
      <c r="F21" t="str">
        <v>X</v>
      </c>
      <c r="G21" t="str">
        <v>SAP</v>
      </c>
      <c r="H21">
        <v>43258</v>
      </c>
      <c r="J21" t="str">
        <v>SAP</v>
      </c>
    </row>
    <row r="22">
      <c r="A22" t="str">
        <v>/1BCDWB/</v>
      </c>
      <c r="B22" t="str">
        <v>C</v>
      </c>
      <c r="C22">
        <v>4144428173053888000</v>
      </c>
      <c r="D22" t="str">
        <v>X</v>
      </c>
      <c r="F22" t="str">
        <v>X</v>
      </c>
      <c r="G22" t="str">
        <v>SAP</v>
      </c>
      <c r="H22">
        <v>35640</v>
      </c>
      <c r="J22" t="str">
        <v>ABAP Workbench</v>
      </c>
    </row>
    <row r="23">
      <c r="A23" t="str">
        <v>/1BCDWBEN/</v>
      </c>
      <c r="B23" t="str">
        <v>C</v>
      </c>
      <c r="C23">
        <v>18589579400655954000</v>
      </c>
      <c r="D23" t="str">
        <v>X</v>
      </c>
      <c r="F23" t="str">
        <v>X</v>
      </c>
      <c r="G23" t="str">
        <v>SAP</v>
      </c>
      <c r="H23">
        <v>35912</v>
      </c>
      <c r="J23" t="str">
        <v>Enqueue Function Groups</v>
      </c>
    </row>
    <row r="24">
      <c r="A24" t="str">
        <v>/1BCFDT/</v>
      </c>
      <c r="B24" t="str">
        <v>C</v>
      </c>
      <c r="D24" t="str">
        <v>X</v>
      </c>
      <c r="E24" t="str">
        <v>X</v>
      </c>
      <c r="F24" t="str">
        <v>X</v>
      </c>
      <c r="G24" t="str">
        <v>SAP</v>
      </c>
      <c r="H24">
        <v>39153</v>
      </c>
      <c r="J24" t="str">
        <v>SAP SE</v>
      </c>
    </row>
    <row r="25">
      <c r="A25" t="str">
        <v>/1BCMIDRF/</v>
      </c>
      <c r="B25" t="str">
        <v>C</v>
      </c>
      <c r="C25">
        <v>23880645643981087000</v>
      </c>
      <c r="F25" t="str">
        <v>X</v>
      </c>
      <c r="G25" t="str">
        <v>SAP</v>
      </c>
      <c r="H25">
        <v>41479</v>
      </c>
    </row>
    <row r="26">
      <c r="A26" t="str">
        <v>/1BCPPF/</v>
      </c>
      <c r="B26" t="str">
        <v>C</v>
      </c>
      <c r="D26" t="str">
        <v>X</v>
      </c>
      <c r="F26" t="str">
        <v>X</v>
      </c>
      <c r="G26" t="str">
        <v>SAP</v>
      </c>
      <c r="H26">
        <v>36616</v>
      </c>
      <c r="J26" t="str">
        <v>/1BCPPF/ PPF: Generated Objects Only</v>
      </c>
    </row>
    <row r="27">
      <c r="A27" t="str">
        <v>/1BCSDM/</v>
      </c>
      <c r="B27" t="str">
        <v>C</v>
      </c>
      <c r="C27">
        <v>13846317804106590000</v>
      </c>
      <c r="E27" t="str">
        <v>X</v>
      </c>
      <c r="F27" t="str">
        <v>X</v>
      </c>
      <c r="G27" t="str">
        <v>SAP</v>
      </c>
      <c r="H27">
        <v>44222</v>
      </c>
      <c r="J27" t="str">
        <v>SAP SE</v>
      </c>
    </row>
    <row r="28">
      <c r="A28" t="str">
        <v>/1BCWDY/</v>
      </c>
      <c r="B28" t="str">
        <v>C</v>
      </c>
      <c r="D28" t="str">
        <v>X</v>
      </c>
      <c r="F28" t="str">
        <v>X</v>
      </c>
      <c r="G28" t="str">
        <v>SAP</v>
      </c>
      <c r="H28">
        <v>37872</v>
      </c>
      <c r="J28" t="str">
        <v>Generation Namespace for Web Dynpro Components</v>
      </c>
    </row>
    <row r="29">
      <c r="A29" t="str">
        <v>/1BEA/</v>
      </c>
      <c r="B29" t="str">
        <v>C</v>
      </c>
      <c r="C29">
        <v>22095723870857708000</v>
      </c>
      <c r="D29" t="str">
        <v>X</v>
      </c>
      <c r="F29" t="str">
        <v>X</v>
      </c>
      <c r="G29" t="str">
        <v>SAP</v>
      </c>
      <c r="H29">
        <v>43214</v>
      </c>
      <c r="J29" t="str">
        <v>Invoicing Applications in the Billing Engine</v>
      </c>
    </row>
    <row r="30">
      <c r="A30" t="str">
        <v>/1BS/</v>
      </c>
      <c r="B30" t="str">
        <v>C</v>
      </c>
      <c r="C30">
        <v>11333833190108865000</v>
      </c>
      <c r="D30" t="str">
        <v>X</v>
      </c>
      <c r="G30" t="str">
        <v>SAP</v>
      </c>
      <c r="H30">
        <v>41261</v>
      </c>
      <c r="J30" t="str">
        <v>SAP SE</v>
      </c>
    </row>
    <row r="31">
      <c r="A31" t="str">
        <v>/1BT/</v>
      </c>
      <c r="B31" t="str">
        <v>C</v>
      </c>
      <c r="C31">
        <v>28843077990225640000</v>
      </c>
      <c r="D31" t="str">
        <v>X</v>
      </c>
      <c r="E31" t="str">
        <v>X</v>
      </c>
      <c r="F31" t="str">
        <v>X</v>
      </c>
      <c r="G31" t="str">
        <v>SAP</v>
      </c>
      <c r="H31">
        <v>44902</v>
      </c>
      <c r="J31" t="str">
        <v>SAP SE</v>
      </c>
    </row>
    <row r="32">
      <c r="A32" t="str">
        <v>/1BW/</v>
      </c>
      <c r="B32" t="str">
        <v>C</v>
      </c>
      <c r="C32">
        <v>20480459242161290000</v>
      </c>
      <c r="D32" t="str">
        <v>X</v>
      </c>
      <c r="E32" t="str">
        <v>X</v>
      </c>
      <c r="F32" t="str">
        <v>X</v>
      </c>
      <c r="G32" t="str">
        <v>SAP</v>
      </c>
      <c r="H32">
        <v>41620</v>
      </c>
      <c r="J32" t="str">
        <v>SAP SE</v>
      </c>
    </row>
    <row r="33">
      <c r="A33" t="str">
        <v>/1CADMC/</v>
      </c>
      <c r="B33" t="str">
        <v>C</v>
      </c>
      <c r="C33">
        <v>13747294863655340000</v>
      </c>
      <c r="F33" t="str">
        <v>X</v>
      </c>
      <c r="G33" t="str">
        <v>SAP</v>
      </c>
      <c r="H33">
        <v>36668</v>
      </c>
      <c r="J33" t="str">
        <v>Generated DMC Objects</v>
      </c>
    </row>
    <row r="34">
      <c r="A34" t="str">
        <v>/1CAGTF/</v>
      </c>
      <c r="B34" t="str">
        <v>C</v>
      </c>
      <c r="C34">
        <v>14621149951374360000</v>
      </c>
      <c r="D34" t="str">
        <v>X</v>
      </c>
      <c r="F34" t="str">
        <v>X</v>
      </c>
      <c r="G34" t="str">
        <v>SAP</v>
      </c>
      <c r="H34">
        <v>38210</v>
      </c>
      <c r="J34" t="str">
        <v>Generation of Components for Service Control Center</v>
      </c>
    </row>
    <row r="35">
      <c r="A35" t="str">
        <v>/1CM/</v>
      </c>
      <c r="B35" t="str">
        <v>C</v>
      </c>
      <c r="C35">
        <v>7102923902227969000</v>
      </c>
      <c r="D35" t="str">
        <v>X</v>
      </c>
      <c r="E35" t="str">
        <v>X</v>
      </c>
      <c r="F35" t="str">
        <v>X</v>
      </c>
      <c r="G35" t="str">
        <v>SAP</v>
      </c>
      <c r="H35">
        <v>43214</v>
      </c>
      <c r="J35" t="str">
        <v>Generated Objects in CDB (Conditions)</v>
      </c>
    </row>
    <row r="36">
      <c r="A36" t="str">
        <v>/1CMQ/</v>
      </c>
      <c r="B36" t="str">
        <v>C</v>
      </c>
      <c r="C36">
        <v>4934889521804585000</v>
      </c>
      <c r="D36" t="str">
        <v>X</v>
      </c>
      <c r="G36" t="str">
        <v>SAP</v>
      </c>
      <c r="H36">
        <v>43214</v>
      </c>
      <c r="J36" t="str">
        <v>CRM Mobile Client qRFC Queue Analysis</v>
      </c>
    </row>
    <row r="37">
      <c r="A37" t="str">
        <v>/1CMS/</v>
      </c>
      <c r="B37" t="str">
        <v>C</v>
      </c>
      <c r="C37">
        <v>7252259282282165000</v>
      </c>
      <c r="D37" t="str">
        <v>X</v>
      </c>
      <c r="E37" t="str">
        <v>X</v>
      </c>
      <c r="F37" t="str">
        <v>X</v>
      </c>
      <c r="G37" t="str">
        <v>SAP</v>
      </c>
      <c r="H37">
        <v>37504</v>
      </c>
      <c r="J37" t="str">
        <v>Generated Objects for Channel Management Solution</v>
      </c>
    </row>
    <row r="38">
      <c r="A38" t="str">
        <v>/1CN/</v>
      </c>
      <c r="B38" t="str">
        <v>C</v>
      </c>
      <c r="C38">
        <v>42225857490158180000</v>
      </c>
      <c r="D38" t="str">
        <v>X</v>
      </c>
      <c r="E38" t="str">
        <v>X</v>
      </c>
      <c r="F38" t="str">
        <v>X</v>
      </c>
      <c r="G38" t="str">
        <v>SAP</v>
      </c>
      <c r="H38">
        <v>36803</v>
      </c>
      <c r="J38" t="str">
        <v>Generation Namespace</v>
      </c>
    </row>
    <row r="39">
      <c r="A39" t="str">
        <v>/1COPA/</v>
      </c>
      <c r="B39" t="str">
        <v>C</v>
      </c>
      <c r="D39" t="str">
        <v>X</v>
      </c>
      <c r="E39" t="str">
        <v>X</v>
      </c>
      <c r="F39" t="str">
        <v>X</v>
      </c>
      <c r="G39" t="str">
        <v>SAP</v>
      </c>
      <c r="H39">
        <v>36119</v>
      </c>
      <c r="J39" t="str">
        <v>Generated Objects in CO-PA</v>
      </c>
    </row>
    <row r="40">
      <c r="A40" t="str">
        <v>/1CPMB/</v>
      </c>
      <c r="B40" t="str">
        <v>C</v>
      </c>
      <c r="C40">
        <v>8994328312533288000</v>
      </c>
      <c r="D40" t="str">
        <v>X</v>
      </c>
      <c r="F40" t="str">
        <v>X</v>
      </c>
      <c r="G40" t="str">
        <v>SAP</v>
      </c>
      <c r="H40">
        <v>39322</v>
      </c>
      <c r="J40" t="str">
        <v>Generation Namespace CPM BPC</v>
      </c>
    </row>
    <row r="41">
      <c r="A41" t="str">
        <v>/1CPR/</v>
      </c>
      <c r="B41" t="str">
        <v>C</v>
      </c>
      <c r="C41">
        <v>35495786160453880000</v>
      </c>
      <c r="F41" t="str">
        <v>X</v>
      </c>
      <c r="G41" t="str">
        <v>SAP</v>
      </c>
      <c r="H41">
        <v>38778</v>
      </c>
      <c r="J41" t="str">
        <v>cProjects</v>
      </c>
    </row>
    <row r="42">
      <c r="A42" t="str">
        <v>/1CR/</v>
      </c>
      <c r="B42" t="str">
        <v>C</v>
      </c>
      <c r="C42">
        <v>14675298040626336000</v>
      </c>
      <c r="D42" t="str">
        <v>X</v>
      </c>
      <c r="E42" t="str">
        <v>X</v>
      </c>
      <c r="F42" t="str">
        <v>X</v>
      </c>
      <c r="G42" t="str">
        <v>SAP</v>
      </c>
      <c r="H42">
        <v>43214</v>
      </c>
      <c r="J42" t="str">
        <v>Generation Namespace for Condition Technique Enhancements</v>
      </c>
    </row>
    <row r="43">
      <c r="A43" t="str">
        <v>/1CRMBW/</v>
      </c>
      <c r="B43" t="str">
        <v>C</v>
      </c>
      <c r="C43">
        <v>25161118691700730000</v>
      </c>
      <c r="D43" t="str">
        <v>X</v>
      </c>
      <c r="F43" t="str">
        <v>X</v>
      </c>
      <c r="G43" t="str">
        <v>SAP</v>
      </c>
      <c r="H43">
        <v>43214</v>
      </c>
      <c r="J43" t="str">
        <v>Namespace for Generated BW Adapter Tables in CRM</v>
      </c>
    </row>
    <row r="44">
      <c r="A44" t="str">
        <v>/1CRMES/</v>
      </c>
      <c r="B44" t="str">
        <v>C</v>
      </c>
      <c r="C44">
        <v>3176342842770459000</v>
      </c>
      <c r="D44" t="str">
        <v>X</v>
      </c>
      <c r="E44" t="str">
        <v>X</v>
      </c>
      <c r="G44" t="str">
        <v>SAP</v>
      </c>
      <c r="H44">
        <v>41547</v>
      </c>
      <c r="J44" t="str">
        <v>Namespace for CRM Enterprise Search</v>
      </c>
    </row>
    <row r="45">
      <c r="A45" t="str">
        <v>/1CRMG0/</v>
      </c>
      <c r="B45" t="str">
        <v>C</v>
      </c>
      <c r="C45">
        <v>36821476442756290000</v>
      </c>
      <c r="D45" t="str">
        <v>X</v>
      </c>
      <c r="F45" t="str">
        <v>X</v>
      </c>
      <c r="G45" t="str">
        <v>SAP</v>
      </c>
      <c r="H45">
        <v>43214</v>
      </c>
      <c r="J45" t="str">
        <v>Name space for generated CRM Middleware objects</v>
      </c>
    </row>
    <row r="46">
      <c r="A46" t="str">
        <v>/1CRMGC/</v>
      </c>
      <c r="B46" t="str">
        <v>C</v>
      </c>
      <c r="C46">
        <v>20111903571420058000</v>
      </c>
      <c r="D46" t="str">
        <v>X</v>
      </c>
      <c r="F46" t="str">
        <v>X</v>
      </c>
      <c r="G46" t="str">
        <v>SAP</v>
      </c>
      <c r="H46">
        <v>43214</v>
      </c>
      <c r="J46" t="str">
        <v>CRM MW Generation Namespace for Local Objects</v>
      </c>
    </row>
    <row r="47">
      <c r="A47" t="str">
        <v>/1CRMOST/</v>
      </c>
      <c r="B47" t="str">
        <v>C</v>
      </c>
      <c r="C47">
        <v>5454344251524144000</v>
      </c>
      <c r="D47" t="str">
        <v>X</v>
      </c>
      <c r="F47" t="str">
        <v>X</v>
      </c>
      <c r="G47" t="str">
        <v>SAP</v>
      </c>
      <c r="H47">
        <v>43214</v>
      </c>
      <c r="J47" t="str">
        <v>CRM: Open Services Tool</v>
      </c>
    </row>
    <row r="48">
      <c r="A48" t="str">
        <v>/1CRMWSC/</v>
      </c>
      <c r="B48" t="str">
        <v>C</v>
      </c>
      <c r="C48">
        <v>41979857500395225000</v>
      </c>
      <c r="D48" t="str">
        <v>X</v>
      </c>
      <c r="E48" t="str">
        <v>X</v>
      </c>
      <c r="F48" t="str">
        <v>X</v>
      </c>
      <c r="G48" t="str">
        <v>SAP</v>
      </c>
      <c r="H48">
        <v>39482</v>
      </c>
      <c r="J48" t="str">
        <v>CRM Web Service Consumption Tool (for Generated Structures)</v>
      </c>
    </row>
    <row r="49">
      <c r="A49" t="str">
        <v>/1CRR/</v>
      </c>
      <c r="B49" t="str">
        <v>C</v>
      </c>
      <c r="C49">
        <v>12958160261482324000</v>
      </c>
      <c r="D49" t="str">
        <v>X</v>
      </c>
      <c r="F49" t="str">
        <v>X</v>
      </c>
      <c r="G49" t="str">
        <v>SAP</v>
      </c>
      <c r="H49">
        <v>40519</v>
      </c>
      <c r="J49" t="str">
        <v>SAP SE</v>
      </c>
    </row>
    <row r="50">
      <c r="A50" t="str">
        <v>/1CUM/</v>
      </c>
      <c r="B50" t="str">
        <v>C</v>
      </c>
      <c r="C50">
        <v>23404265012370665000</v>
      </c>
      <c r="D50" t="str">
        <v>X</v>
      </c>
      <c r="E50" t="str">
        <v>X</v>
      </c>
      <c r="F50" t="str">
        <v>X</v>
      </c>
      <c r="G50" t="str">
        <v>SAP</v>
      </c>
      <c r="H50">
        <v>39351</v>
      </c>
      <c r="J50" t="str">
        <v>Planning Element BW</v>
      </c>
    </row>
    <row r="51">
      <c r="A51" t="str">
        <v>/1DF/</v>
      </c>
      <c r="B51" t="str">
        <v>C</v>
      </c>
      <c r="C51">
        <v>2382222580945762000</v>
      </c>
      <c r="D51" t="str">
        <v>X</v>
      </c>
      <c r="F51" t="str">
        <v>X</v>
      </c>
      <c r="G51" t="str">
        <v>SAP</v>
      </c>
      <c r="H51">
        <v>37559</v>
      </c>
      <c r="J51" t="str">
        <v>Generation Namespace: Document Flow</v>
      </c>
    </row>
    <row r="52">
      <c r="A52" t="str">
        <v>/1DH/</v>
      </c>
      <c r="B52" t="str">
        <v>C</v>
      </c>
      <c r="C52">
        <v>36612294450776170000</v>
      </c>
      <c r="D52" t="str">
        <v>X</v>
      </c>
      <c r="F52" t="str">
        <v>X</v>
      </c>
      <c r="G52" t="str">
        <v>SAP</v>
      </c>
      <c r="H52">
        <v>43433</v>
      </c>
      <c r="J52" t="str">
        <v>SAP SE</v>
      </c>
    </row>
    <row r="53">
      <c r="A53" t="str">
        <v>/1ES/</v>
      </c>
      <c r="B53" t="str">
        <v>C</v>
      </c>
      <c r="E53" t="str">
        <v>X</v>
      </c>
      <c r="F53" t="str">
        <v>X</v>
      </c>
      <c r="G53" t="str">
        <v>SAP</v>
      </c>
      <c r="H53">
        <v>43397</v>
      </c>
      <c r="J53" t="str">
        <v>Enterprise Search</v>
      </c>
    </row>
    <row r="54">
      <c r="A54" t="str">
        <v>/1FB/</v>
      </c>
      <c r="B54" t="str">
        <v>C</v>
      </c>
      <c r="C54">
        <v>21630811733153526000</v>
      </c>
      <c r="D54" t="str">
        <v>X</v>
      </c>
      <c r="E54" t="str">
        <v>X</v>
      </c>
      <c r="F54" t="str">
        <v>X</v>
      </c>
      <c r="G54" t="str">
        <v>SAP</v>
      </c>
      <c r="H54">
        <v>37099</v>
      </c>
      <c r="J54" t="str">
        <v>GBU Financials, Financials Basis, Generated Objects</v>
      </c>
    </row>
    <row r="55">
      <c r="A55" t="str">
        <v>/1FC/</v>
      </c>
      <c r="B55" t="str">
        <v>C</v>
      </c>
      <c r="D55" t="str">
        <v>X</v>
      </c>
      <c r="E55" t="str">
        <v>X</v>
      </c>
      <c r="F55" t="str">
        <v>X</v>
      </c>
      <c r="G55" t="str">
        <v>SAP</v>
      </c>
      <c r="H55">
        <v>40976</v>
      </c>
      <c r="J55" t="str">
        <v>FI-CA: Generated Objects</v>
      </c>
    </row>
    <row r="56">
      <c r="A56" t="str">
        <v>/1FE/</v>
      </c>
      <c r="B56" t="str">
        <v>C</v>
      </c>
      <c r="D56" t="str">
        <v>X</v>
      </c>
      <c r="E56" t="str">
        <v>X</v>
      </c>
      <c r="F56" t="str">
        <v>X</v>
      </c>
      <c r="G56" t="str">
        <v>SAP</v>
      </c>
      <c r="H56">
        <v>39821</v>
      </c>
      <c r="J56" t="str">
        <v>FI-CA EDR Management: Generated Objects</v>
      </c>
    </row>
    <row r="57">
      <c r="A57" t="str">
        <v>/1FIGL/</v>
      </c>
      <c r="B57" t="str">
        <v>C</v>
      </c>
      <c r="D57" t="str">
        <v>X</v>
      </c>
      <c r="E57" t="str">
        <v>X</v>
      </c>
      <c r="F57" t="str">
        <v>X</v>
      </c>
      <c r="G57" t="str">
        <v>SAP</v>
      </c>
      <c r="H57">
        <v>41968</v>
      </c>
      <c r="J57" t="str">
        <v>SL</v>
      </c>
    </row>
    <row r="58">
      <c r="A58" t="str">
        <v>/1FS/</v>
      </c>
      <c r="B58" t="str">
        <v>C</v>
      </c>
      <c r="C58">
        <v>7009976400208820000</v>
      </c>
      <c r="F58" t="str">
        <v>X</v>
      </c>
      <c r="G58" t="str">
        <v>SAP</v>
      </c>
      <c r="H58">
        <v>38324</v>
      </c>
      <c r="J58" t="str">
        <v>Fast Search Generation Namespace</v>
      </c>
    </row>
    <row r="59">
      <c r="A59" t="str">
        <v>/1FTLM/</v>
      </c>
      <c r="B59" t="str">
        <v>C</v>
      </c>
      <c r="C59">
        <v>26301848831335743000</v>
      </c>
      <c r="D59" t="str">
        <v>X</v>
      </c>
      <c r="E59" t="str">
        <v>X</v>
      </c>
      <c r="F59" t="str">
        <v>X</v>
      </c>
      <c r="G59" t="str">
        <v>SAP</v>
      </c>
      <c r="H59">
        <v>37181</v>
      </c>
      <c r="J59" t="str">
        <v>Risk Limitation: Generated Objects</v>
      </c>
    </row>
    <row r="60">
      <c r="A60" t="str">
        <v>/1GY/</v>
      </c>
      <c r="B60" t="str">
        <v>C</v>
      </c>
      <c r="C60">
        <v>26842293821897912000</v>
      </c>
      <c r="D60" t="str">
        <v>X</v>
      </c>
      <c r="E60" t="str">
        <v>X</v>
      </c>
      <c r="F60" t="str">
        <v>X</v>
      </c>
      <c r="G60" t="str">
        <v>SAP</v>
      </c>
      <c r="H60">
        <v>43227</v>
      </c>
      <c r="J60" t="str">
        <v>Service Mapping Tool: Generated Reports</v>
      </c>
    </row>
    <row r="61">
      <c r="A61" t="str">
        <v>/1IL/</v>
      </c>
      <c r="B61" t="str">
        <v>C</v>
      </c>
      <c r="C61">
        <v>1141798691529030900</v>
      </c>
      <c r="D61" t="str">
        <v>X</v>
      </c>
      <c r="E61" t="str">
        <v>X</v>
      </c>
      <c r="F61" t="str">
        <v>X</v>
      </c>
      <c r="G61" t="str">
        <v>SAP</v>
      </c>
      <c r="H61">
        <v>39548</v>
      </c>
      <c r="J61" t="str">
        <v>SAP SE</v>
      </c>
    </row>
    <row r="62">
      <c r="A62" t="str">
        <v>/1ISB/</v>
      </c>
      <c r="B62" t="str">
        <v>C</v>
      </c>
      <c r="F62" t="str">
        <v>X</v>
      </c>
      <c r="G62" t="str">
        <v>SAP</v>
      </c>
      <c r="H62">
        <v>37182</v>
      </c>
      <c r="J62" t="str">
        <v>Generation Namespace for SAP Banking (IS-B)</v>
      </c>
    </row>
    <row r="63">
      <c r="A63" t="str">
        <v>/1ISLM/</v>
      </c>
      <c r="B63" t="str">
        <v>C</v>
      </c>
      <c r="C63">
        <v>6464953722992345000</v>
      </c>
      <c r="F63" t="str">
        <v>X</v>
      </c>
      <c r="G63" t="str">
        <v>SAP</v>
      </c>
      <c r="H63">
        <v>43711</v>
      </c>
      <c r="J63" t="str">
        <v>Intelligent Scenario Lifecycle Management</v>
      </c>
    </row>
    <row r="64">
      <c r="A64" t="str">
        <v>/1ISRWP/</v>
      </c>
      <c r="B64" t="str">
        <v>C</v>
      </c>
      <c r="D64" t="str">
        <v>X</v>
      </c>
      <c r="E64" t="str">
        <v>X</v>
      </c>
      <c r="F64" t="str">
        <v>X</v>
      </c>
      <c r="G64" t="str">
        <v>SAP</v>
      </c>
      <c r="H64">
        <v>36227</v>
      </c>
      <c r="J64" t="str">
        <v>IS-R Merchandise and Assortment Controlling</v>
      </c>
    </row>
    <row r="65">
      <c r="A65" t="str">
        <v>/1ISU/</v>
      </c>
      <c r="B65" t="str">
        <v>C</v>
      </c>
      <c r="D65" t="str">
        <v>X</v>
      </c>
      <c r="E65" t="str">
        <v>X</v>
      </c>
      <c r="F65" t="str">
        <v>X</v>
      </c>
      <c r="G65" t="str">
        <v>SAP</v>
      </c>
      <c r="H65">
        <v>36264</v>
      </c>
      <c r="J65" t="str">
        <v>Generation Namespace for CIC (Customer Interaction Center)</v>
      </c>
    </row>
    <row r="66">
      <c r="A66" t="str">
        <v>/1LT/</v>
      </c>
      <c r="B66" t="str">
        <v>C</v>
      </c>
      <c r="C66">
        <v>27243318740375732000</v>
      </c>
      <c r="D66" t="str">
        <v>X</v>
      </c>
      <c r="F66" t="str">
        <v>X</v>
      </c>
      <c r="G66" t="str">
        <v>SAP</v>
      </c>
      <c r="H66">
        <v>41337</v>
      </c>
      <c r="J66" t="str">
        <v>SAP Landscape Transformation: Generated Objects</v>
      </c>
    </row>
    <row r="67">
      <c r="A67" t="str">
        <v>/1MC/</v>
      </c>
      <c r="B67" t="str">
        <v>C</v>
      </c>
      <c r="C67">
        <v>41578781802311480000</v>
      </c>
      <c r="D67" t="str">
        <v>X</v>
      </c>
      <c r="G67" t="str">
        <v>SAP</v>
      </c>
      <c r="H67">
        <v>42998</v>
      </c>
      <c r="J67" t="str">
        <v>SAP SE</v>
      </c>
    </row>
    <row r="68">
      <c r="A68" t="str">
        <v>/1MD/</v>
      </c>
      <c r="B68" t="str">
        <v>C</v>
      </c>
      <c r="C68">
        <v>5317044202194167000</v>
      </c>
      <c r="D68" t="str">
        <v>X</v>
      </c>
      <c r="F68" t="str">
        <v>X</v>
      </c>
      <c r="G68" t="str">
        <v>SAP</v>
      </c>
      <c r="H68">
        <v>39493</v>
      </c>
      <c r="J68" t="str">
        <v>Generation Financial MDM</v>
      </c>
    </row>
    <row r="69">
      <c r="A69" t="str">
        <v>/1OM/</v>
      </c>
      <c r="B69" t="str">
        <v>C</v>
      </c>
      <c r="C69">
        <v>24932843592598217000</v>
      </c>
      <c r="D69" t="str">
        <v>X</v>
      </c>
      <c r="E69" t="str">
        <v>X</v>
      </c>
      <c r="F69" t="str">
        <v>X</v>
      </c>
      <c r="G69" t="str">
        <v>SAP</v>
      </c>
      <c r="H69">
        <v>37921</v>
      </c>
      <c r="J69" t="str">
        <v>Order Data Management</v>
      </c>
    </row>
    <row r="70">
      <c r="A70" t="str">
        <v>/1OT/</v>
      </c>
      <c r="B70" t="str">
        <v>C</v>
      </c>
      <c r="C70">
        <v>13170371164273783000</v>
      </c>
      <c r="D70" t="str">
        <v>X</v>
      </c>
      <c r="E70" t="str">
        <v>X</v>
      </c>
      <c r="F70" t="str">
        <v>X</v>
      </c>
      <c r="G70" t="str">
        <v>SAP</v>
      </c>
      <c r="H70">
        <v>37798</v>
      </c>
      <c r="J70" t="str">
        <v>Tracking Data ODM</v>
      </c>
    </row>
    <row r="71">
      <c r="A71" t="str">
        <v>/1PA/</v>
      </c>
      <c r="B71" t="str">
        <v>C</v>
      </c>
      <c r="C71">
        <v>5668349820291737000</v>
      </c>
      <c r="D71" t="str">
        <v>X</v>
      </c>
      <c r="E71" t="str">
        <v>X</v>
      </c>
      <c r="F71" t="str">
        <v>X</v>
      </c>
      <c r="G71" t="str">
        <v>SAP</v>
      </c>
      <c r="H71">
        <v>44321</v>
      </c>
      <c r="J71" t="str">
        <v>SAP SE</v>
      </c>
    </row>
    <row r="72">
      <c r="A72" t="str">
        <v>/1PAPA/</v>
      </c>
      <c r="B72" t="str">
        <v>C</v>
      </c>
      <c r="C72">
        <v>5052287510942501000</v>
      </c>
      <c r="D72" t="str">
        <v>X</v>
      </c>
      <c r="F72" t="str">
        <v>X</v>
      </c>
      <c r="G72" t="str">
        <v>SAP</v>
      </c>
      <c r="H72">
        <v>36259</v>
      </c>
      <c r="J72" t="str">
        <v>Personnel Administration</v>
      </c>
    </row>
    <row r="73">
      <c r="A73" t="str">
        <v>/1PAPA00/</v>
      </c>
      <c r="B73" t="str">
        <v>C</v>
      </c>
      <c r="D73" t="str">
        <v>X</v>
      </c>
      <c r="F73" t="str">
        <v>X</v>
      </c>
      <c r="G73" t="str">
        <v>SAP</v>
      </c>
      <c r="H73">
        <v>36495</v>
      </c>
      <c r="J73" t="str">
        <v>Personnel Administration</v>
      </c>
    </row>
    <row r="74">
      <c r="A74" t="str">
        <v>/1PAPAXX/</v>
      </c>
      <c r="B74" t="str">
        <v>C</v>
      </c>
      <c r="C74">
        <v>7638243551299438000</v>
      </c>
      <c r="F74" t="str">
        <v>X</v>
      </c>
      <c r="G74" t="str">
        <v>SAP</v>
      </c>
      <c r="H74">
        <v>36033</v>
      </c>
      <c r="J74" t="str">
        <v>Personnel Administration, General</v>
      </c>
    </row>
    <row r="75">
      <c r="A75" t="str">
        <v>/1PGWC/</v>
      </c>
      <c r="B75" t="str">
        <v>C</v>
      </c>
      <c r="C75">
        <v>17939613242073570000</v>
      </c>
      <c r="D75" t="str">
        <v>X</v>
      </c>
      <c r="F75" t="str">
        <v>X</v>
      </c>
      <c r="G75" t="str">
        <v>SAP</v>
      </c>
      <c r="H75">
        <v>40953</v>
      </c>
      <c r="J75" t="str">
        <v>SAP SE</v>
      </c>
    </row>
    <row r="76">
      <c r="A76" t="str">
        <v>/1PMD/</v>
      </c>
      <c r="B76" t="str">
        <v>C</v>
      </c>
      <c r="D76" t="str">
        <v>X</v>
      </c>
      <c r="F76" t="str">
        <v>X</v>
      </c>
      <c r="G76" t="str">
        <v>SAP</v>
      </c>
      <c r="H76">
        <v>42578</v>
      </c>
      <c r="J76" t="str">
        <v>SAP SE</v>
      </c>
    </row>
    <row r="77">
      <c r="A77" t="str">
        <v>/1PSIS/</v>
      </c>
      <c r="B77" t="str">
        <v>C</v>
      </c>
      <c r="F77" t="str">
        <v>X</v>
      </c>
      <c r="G77" t="str">
        <v>SAP</v>
      </c>
      <c r="H77">
        <v>35944</v>
      </c>
      <c r="J77" t="str">
        <v>Project Information System - Logical Database PSJ</v>
      </c>
    </row>
    <row r="78">
      <c r="A78" t="str">
        <v>/1PWB/</v>
      </c>
      <c r="B78" t="str">
        <v>C</v>
      </c>
      <c r="D78" t="str">
        <v>X</v>
      </c>
      <c r="F78" t="str">
        <v>X</v>
      </c>
      <c r="G78" t="str">
        <v>SAP</v>
      </c>
      <c r="H78">
        <v>37433</v>
      </c>
      <c r="J78" t="str">
        <v>Namespace for Generated Objects: Print Workbench</v>
      </c>
    </row>
    <row r="79">
      <c r="A79" t="str">
        <v>/1PYDE/</v>
      </c>
      <c r="B79" t="str">
        <v>C</v>
      </c>
      <c r="D79" t="str">
        <v>X</v>
      </c>
      <c r="E79" t="str">
        <v>X</v>
      </c>
      <c r="G79" t="str">
        <v>SAP</v>
      </c>
      <c r="H79">
        <v>39269</v>
      </c>
      <c r="J79" t="str">
        <v>Generation Namespace for Billing in Germany</v>
      </c>
    </row>
    <row r="80">
      <c r="A80" t="str">
        <v>/1PYXXFO/</v>
      </c>
      <c r="B80" t="str">
        <v>C</v>
      </c>
      <c r="C80">
        <v>10094425901032178000</v>
      </c>
      <c r="D80" t="str">
        <v>X</v>
      </c>
      <c r="F80" t="str">
        <v>X</v>
      </c>
      <c r="G80" t="str">
        <v>SAP</v>
      </c>
      <c r="H80">
        <v>36284</v>
      </c>
      <c r="J80" t="str">
        <v>PY-XX Form Tool: Generated Objects</v>
      </c>
    </row>
    <row r="81">
      <c r="A81" t="str">
        <v>/1RA/</v>
      </c>
      <c r="B81" t="str">
        <v>C</v>
      </c>
      <c r="C81">
        <v>25256628980342112000</v>
      </c>
      <c r="D81" t="str">
        <v>X</v>
      </c>
      <c r="E81" t="str">
        <v>X</v>
      </c>
      <c r="F81" t="str">
        <v>X</v>
      </c>
      <c r="G81" t="str">
        <v>SAP</v>
      </c>
      <c r="H81">
        <v>42220</v>
      </c>
      <c r="J81" t="str">
        <v>SAP SE</v>
      </c>
    </row>
    <row r="82">
      <c r="A82" t="str">
        <v>/1RW/</v>
      </c>
      <c r="B82" t="str">
        <v>C</v>
      </c>
      <c r="C82">
        <v>28986970323799420000</v>
      </c>
      <c r="D82" t="str">
        <v>X</v>
      </c>
      <c r="E82" t="str">
        <v>X</v>
      </c>
      <c r="F82" t="str">
        <v>X</v>
      </c>
      <c r="G82" t="str">
        <v>SAP</v>
      </c>
      <c r="H82">
        <v>39737</v>
      </c>
      <c r="J82" t="str">
        <v>/1RW/</v>
      </c>
    </row>
    <row r="83">
      <c r="A83" t="str">
        <v>/1SAI/</v>
      </c>
      <c r="B83" t="str">
        <v>C</v>
      </c>
      <c r="C83">
        <v>25012989611124510000</v>
      </c>
      <c r="D83" t="str">
        <v>X</v>
      </c>
      <c r="F83" t="str">
        <v>X</v>
      </c>
      <c r="G83" t="str">
        <v>SAP</v>
      </c>
      <c r="H83">
        <v>37237</v>
      </c>
      <c r="J83" t="str">
        <v>Generation Namespace: Exchange Infrastructure</v>
      </c>
    </row>
    <row r="84">
      <c r="A84" t="str">
        <v>/1SAP1/</v>
      </c>
      <c r="B84" t="str">
        <v>C</v>
      </c>
      <c r="D84" t="str">
        <v>X</v>
      </c>
      <c r="F84" t="str">
        <v>X</v>
      </c>
      <c r="G84" t="str">
        <v>SAP</v>
      </c>
      <c r="H84">
        <v>36362</v>
      </c>
      <c r="J84" t="str">
        <v>General SAP Generation Namespace</v>
      </c>
    </row>
    <row r="85">
      <c r="A85" t="str">
        <v>/1SCA/</v>
      </c>
      <c r="B85" t="str">
        <v>C</v>
      </c>
      <c r="C85">
        <v>35394972030855930000</v>
      </c>
      <c r="D85" t="str">
        <v>X</v>
      </c>
      <c r="F85" t="str">
        <v>X</v>
      </c>
      <c r="G85" t="str">
        <v>SAP</v>
      </c>
      <c r="H85">
        <v>37519</v>
      </c>
      <c r="J85" t="str">
        <v>Inventory Collaboration Hub ICH: Generation Namespace</v>
      </c>
    </row>
    <row r="86">
      <c r="A86" t="str">
        <v>/1SDBF12L/</v>
      </c>
      <c r="B86" t="str">
        <v>C</v>
      </c>
      <c r="C86">
        <v>31065793352512893000</v>
      </c>
      <c r="D86" t="str">
        <v>X</v>
      </c>
      <c r="E86" t="str">
        <v>X</v>
      </c>
      <c r="F86" t="str">
        <v>X</v>
      </c>
      <c r="G86" t="str">
        <v>SAP</v>
      </c>
      <c r="H86">
        <v>36265</v>
      </c>
      <c r="J86" t="str">
        <v>Generation of Pricing Reports</v>
      </c>
    </row>
    <row r="87">
      <c r="A87" t="str">
        <v>/1SEM/</v>
      </c>
      <c r="B87" t="str">
        <v>C</v>
      </c>
      <c r="D87" t="str">
        <v>X</v>
      </c>
      <c r="E87" t="str">
        <v>X</v>
      </c>
      <c r="F87" t="str">
        <v>X</v>
      </c>
      <c r="G87" t="str">
        <v>SAP</v>
      </c>
      <c r="H87">
        <v>37543</v>
      </c>
      <c r="J87" t="str">
        <v>Generated Objects in SEM-BPS</v>
      </c>
    </row>
    <row r="88">
      <c r="A88" t="str">
        <v>/1SIW/</v>
      </c>
      <c r="B88" t="str">
        <v>C</v>
      </c>
      <c r="C88">
        <v>35545574561061155000</v>
      </c>
      <c r="E88" t="str">
        <v>X</v>
      </c>
      <c r="G88" t="str">
        <v>SAP</v>
      </c>
      <c r="H88">
        <v>40298</v>
      </c>
      <c r="J88" t="str">
        <v>SAP SE</v>
      </c>
    </row>
    <row r="89">
      <c r="A89" t="str">
        <v>/1SWFGP/</v>
      </c>
      <c r="B89" t="str">
        <v>C</v>
      </c>
      <c r="D89" t="str">
        <v>X</v>
      </c>
      <c r="F89" t="str">
        <v>X</v>
      </c>
      <c r="G89" t="str">
        <v>SAP</v>
      </c>
      <c r="H89">
        <v>38327</v>
      </c>
      <c r="J89" t="str">
        <v>Business Workflow Guided Procedures: Generation Namespace</v>
      </c>
    </row>
    <row r="90">
      <c r="A90" t="str">
        <v>/1TMC/</v>
      </c>
      <c r="B90" t="str">
        <v>C</v>
      </c>
      <c r="F90" t="str">
        <v>X</v>
      </c>
      <c r="G90" t="str">
        <v>SAP</v>
      </c>
      <c r="H90">
        <v>43724</v>
      </c>
    </row>
    <row r="91">
      <c r="A91" t="str">
        <v>/1TRIS/</v>
      </c>
      <c r="B91" t="str">
        <v>C</v>
      </c>
      <c r="C91">
        <v>6407703582184833000</v>
      </c>
      <c r="D91" t="str">
        <v>X</v>
      </c>
      <c r="F91" t="str">
        <v>X</v>
      </c>
      <c r="G91" t="str">
        <v>SAP</v>
      </c>
      <c r="H91">
        <v>37182</v>
      </c>
      <c r="J91" t="str">
        <v>Generated Objects: Treasury Information system</v>
      </c>
    </row>
    <row r="92">
      <c r="A92" t="str">
        <v>/1UKM/</v>
      </c>
      <c r="B92" t="str">
        <v>C</v>
      </c>
      <c r="C92">
        <v>33746130543306633000</v>
      </c>
      <c r="E92" t="str">
        <v>X</v>
      </c>
      <c r="F92" t="str">
        <v>X</v>
      </c>
      <c r="G92" t="str">
        <v>SAP</v>
      </c>
      <c r="H92">
        <v>38377</v>
      </c>
      <c r="J92" t="str">
        <v>Generated Database Tables for UNIFIED KEY MAPPING</v>
      </c>
    </row>
    <row r="93">
      <c r="A93" t="str">
        <v>/1VEC/</v>
      </c>
      <c r="B93" t="str">
        <v>C</v>
      </c>
      <c r="C93">
        <v>19208410954070954000</v>
      </c>
      <c r="D93" t="str">
        <v>X</v>
      </c>
      <c r="F93" t="str">
        <v>X</v>
      </c>
      <c r="G93" t="str">
        <v>SAP</v>
      </c>
      <c r="H93">
        <v>43258</v>
      </c>
      <c r="J93" t="str">
        <v>SAP SE</v>
      </c>
    </row>
    <row r="94">
      <c r="A94" t="str">
        <v>/1WDA/</v>
      </c>
      <c r="B94" t="str">
        <v>C</v>
      </c>
      <c r="C94">
        <v>13565367480839199000</v>
      </c>
      <c r="D94" t="str">
        <v>X</v>
      </c>
      <c r="E94" t="str">
        <v>X</v>
      </c>
      <c r="G94" t="str">
        <v>SAP</v>
      </c>
      <c r="H94">
        <v>38022</v>
      </c>
      <c r="J94" t="str">
        <v>Generation Namespace for Web Dynpro SSR Adapter</v>
      </c>
    </row>
    <row r="95">
      <c r="A95" t="str">
        <v>/1WRF/</v>
      </c>
      <c r="B95" t="str">
        <v>C</v>
      </c>
      <c r="D95" t="str">
        <v>X</v>
      </c>
      <c r="F95" t="str">
        <v>X</v>
      </c>
      <c r="G95" t="str">
        <v>SAP</v>
      </c>
      <c r="H95">
        <v>38103</v>
      </c>
      <c r="J95" t="str">
        <v>Retail Fashion</v>
      </c>
    </row>
    <row r="96">
      <c r="A96" t="str">
        <v>/1WRMA/</v>
      </c>
      <c r="B96" t="str">
        <v>C</v>
      </c>
      <c r="C96">
        <v>30825473580330860000</v>
      </c>
      <c r="D96" t="str">
        <v>X</v>
      </c>
      <c r="F96" t="str">
        <v>X</v>
      </c>
      <c r="G96" t="str">
        <v>SAP</v>
      </c>
      <c r="H96">
        <v>37082</v>
      </c>
      <c r="J96" t="str">
        <v>Namespace for RMA Development</v>
      </c>
    </row>
    <row r="97">
      <c r="A97" t="str">
        <v>/ACCGO/</v>
      </c>
      <c r="B97" t="str">
        <v>C</v>
      </c>
      <c r="C97">
        <v>23622368433686757000</v>
      </c>
      <c r="D97" t="str">
        <v>X</v>
      </c>
      <c r="G97" t="str">
        <v>SAP</v>
      </c>
      <c r="H97">
        <v>42742</v>
      </c>
      <c r="J97" t="str">
        <v>SAP SE</v>
      </c>
    </row>
    <row r="98">
      <c r="A98" t="str">
        <v>/ACI/</v>
      </c>
      <c r="B98" t="str">
        <v>C</v>
      </c>
      <c r="C98">
        <v>15111161022942274000</v>
      </c>
      <c r="D98" t="str">
        <v>X</v>
      </c>
      <c r="E98" t="str">
        <v>X</v>
      </c>
      <c r="G98" t="str">
        <v>SAP</v>
      </c>
      <c r="H98">
        <v>43440</v>
      </c>
      <c r="J98" t="str">
        <v>Asset Central Integration</v>
      </c>
    </row>
    <row r="99">
      <c r="A99" t="str">
        <v>/AFS/</v>
      </c>
      <c r="B99" t="str">
        <v>C</v>
      </c>
      <c r="C99">
        <v>16118669072706267000</v>
      </c>
      <c r="G99" t="str">
        <v>SAP</v>
      </c>
      <c r="H99">
        <v>37456</v>
      </c>
      <c r="J99" t="str">
        <v>IS-AFS Namespace /AFS/</v>
      </c>
    </row>
    <row r="100">
      <c r="A100" t="str">
        <v>/AIF/</v>
      </c>
      <c r="B100" t="str">
        <v>C</v>
      </c>
      <c r="C100">
        <v>27264839141722608000</v>
      </c>
      <c r="D100" t="str">
        <v>X</v>
      </c>
      <c r="G100" t="str">
        <v>SAP</v>
      </c>
      <c r="H100">
        <v>43786</v>
      </c>
      <c r="J100" t="str">
        <v>SAP SE</v>
      </c>
    </row>
    <row r="101">
      <c r="A101" t="str">
        <v>/AIFX/</v>
      </c>
      <c r="B101" t="str">
        <v>C</v>
      </c>
      <c r="C101">
        <v>14736778043414057000</v>
      </c>
      <c r="D101" t="str">
        <v>X</v>
      </c>
      <c r="G101" t="str">
        <v>SAP</v>
      </c>
      <c r="H101">
        <v>43786</v>
      </c>
      <c r="J101" t="str">
        <v>SAP SE</v>
      </c>
    </row>
    <row r="102">
      <c r="A102" t="str">
        <v>/AMCTECH/</v>
      </c>
      <c r="B102" t="str">
        <v>C</v>
      </c>
      <c r="C102">
        <v>23670401661607776000</v>
      </c>
      <c r="D102" t="str">
        <v>X</v>
      </c>
      <c r="G102" t="str">
        <v>SAP</v>
      </c>
      <c r="H102">
        <v>43214</v>
      </c>
      <c r="J102" t="str">
        <v>AMC Technology Channel Enablers for CRM</v>
      </c>
    </row>
    <row r="103">
      <c r="A103" t="str">
        <v>/APB/</v>
      </c>
      <c r="B103" t="str">
        <v>C</v>
      </c>
      <c r="C103">
        <v>31192381500838744000</v>
      </c>
      <c r="D103" t="str">
        <v>X</v>
      </c>
      <c r="E103" t="str">
        <v>X</v>
      </c>
      <c r="G103" t="str">
        <v>SAP</v>
      </c>
      <c r="H103">
        <v>38376</v>
      </c>
      <c r="J103" t="str">
        <v>SAP SE</v>
      </c>
    </row>
    <row r="104">
      <c r="A104" t="str">
        <v>/ASAP/</v>
      </c>
      <c r="B104" t="str">
        <v>C</v>
      </c>
      <c r="C104">
        <v>28335238533389115000</v>
      </c>
      <c r="D104" t="str">
        <v>X</v>
      </c>
      <c r="E104" t="str">
        <v>X</v>
      </c>
      <c r="G104" t="str">
        <v>SAP</v>
      </c>
      <c r="H104">
        <v>36908</v>
      </c>
      <c r="J104" t="str">
        <v>Solution Architect</v>
      </c>
    </row>
    <row r="105">
      <c r="A105" t="str">
        <v>/ASU/</v>
      </c>
      <c r="B105" t="str">
        <v>C</v>
      </c>
      <c r="C105">
        <v>15287161162874851000</v>
      </c>
      <c r="D105" t="str">
        <v>X</v>
      </c>
      <c r="E105" t="str">
        <v>X</v>
      </c>
      <c r="G105" t="str">
        <v>SAP</v>
      </c>
      <c r="H105">
        <v>39329</v>
      </c>
      <c r="J105" t="str">
        <v>Application-Specific Upgrade</v>
      </c>
    </row>
    <row r="106">
      <c r="A106" t="str">
        <v>/ATL/</v>
      </c>
      <c r="B106" t="str">
        <v>C</v>
      </c>
      <c r="C106">
        <v>1283657420770511600</v>
      </c>
      <c r="D106" t="str">
        <v>X</v>
      </c>
      <c r="E106" t="str">
        <v>X</v>
      </c>
      <c r="G106" t="str">
        <v>SAP</v>
      </c>
      <c r="H106">
        <v>42137</v>
      </c>
      <c r="J106" t="str">
        <v>SAP SE</v>
      </c>
    </row>
    <row r="107">
      <c r="A107" t="str">
        <v>/ATO/</v>
      </c>
      <c r="B107" t="str">
        <v>C</v>
      </c>
      <c r="G107" t="str">
        <v>SAP</v>
      </c>
      <c r="H107">
        <v>39785</v>
      </c>
    </row>
    <row r="108">
      <c r="A108" t="str">
        <v>/B013/</v>
      </c>
      <c r="B108" t="str">
        <v>C</v>
      </c>
      <c r="C108">
        <v>25537508522268123000</v>
      </c>
      <c r="D108" t="str">
        <v>X</v>
      </c>
      <c r="G108" t="str">
        <v>SAP</v>
      </c>
      <c r="H108">
        <v>43228</v>
      </c>
      <c r="J108" t="str">
        <v>SAP SE</v>
      </c>
    </row>
    <row r="109">
      <c r="A109" t="str">
        <v>/B061/</v>
      </c>
      <c r="B109" t="str">
        <v>C</v>
      </c>
      <c r="D109" t="str">
        <v>X</v>
      </c>
      <c r="F109" t="str">
        <v>X</v>
      </c>
      <c r="G109" t="str">
        <v>SAP</v>
      </c>
      <c r="H109">
        <v>41292</v>
      </c>
      <c r="J109" t="str">
        <v>SAP SE</v>
      </c>
    </row>
    <row r="110">
      <c r="A110" t="str">
        <v>/B10/</v>
      </c>
      <c r="B110" t="str">
        <v>C</v>
      </c>
      <c r="C110">
        <v>8961499140563382000</v>
      </c>
      <c r="D110" t="str">
        <v>X</v>
      </c>
      <c r="E110" t="str">
        <v>X</v>
      </c>
      <c r="F110" t="str">
        <v>X</v>
      </c>
      <c r="G110" t="str">
        <v>SAP</v>
      </c>
      <c r="H110">
        <v>38555</v>
      </c>
      <c r="J110" t="str">
        <v>Generation Namespace for SAP BI Content</v>
      </c>
    </row>
    <row r="111">
      <c r="A111" t="str">
        <v>/B20/</v>
      </c>
      <c r="B111" t="str">
        <v>C</v>
      </c>
      <c r="C111">
        <v>36495884203377300000</v>
      </c>
      <c r="F111" t="str">
        <v>X</v>
      </c>
      <c r="G111" t="str">
        <v>SAP</v>
      </c>
      <c r="H111">
        <v>37523</v>
      </c>
      <c r="J111" t="str">
        <v>Generation Namespace for Bank Analyzer</v>
      </c>
    </row>
    <row r="112">
      <c r="A112" t="str">
        <v>/B28/</v>
      </c>
      <c r="B112" t="str">
        <v>C</v>
      </c>
      <c r="C112">
        <v>28637407060447314000</v>
      </c>
      <c r="D112" t="str">
        <v>X</v>
      </c>
      <c r="F112" t="str">
        <v>X</v>
      </c>
      <c r="G112" t="str">
        <v>SAP</v>
      </c>
      <c r="H112">
        <v>39603</v>
      </c>
      <c r="J112" t="str">
        <v>SAP SE</v>
      </c>
    </row>
    <row r="113">
      <c r="A113" t="str">
        <v>/B333/</v>
      </c>
      <c r="B113" t="str">
        <v>C</v>
      </c>
      <c r="C113">
        <v>39339663920750710000</v>
      </c>
      <c r="D113" t="str">
        <v>X</v>
      </c>
      <c r="E113" t="str">
        <v>X</v>
      </c>
      <c r="F113" t="str">
        <v>X</v>
      </c>
      <c r="G113" t="str">
        <v>SAP</v>
      </c>
      <c r="H113">
        <v>40875</v>
      </c>
      <c r="J113" t="str">
        <v>SAP SE</v>
      </c>
    </row>
    <row r="114">
      <c r="A114" t="str">
        <v>/B364/</v>
      </c>
      <c r="B114" t="str">
        <v>C</v>
      </c>
      <c r="C114">
        <v>37146070264009834000</v>
      </c>
      <c r="D114" t="str">
        <v>X</v>
      </c>
      <c r="F114" t="str">
        <v>X</v>
      </c>
      <c r="G114" t="str">
        <v>SAP</v>
      </c>
      <c r="H114">
        <v>42439</v>
      </c>
      <c r="J114" t="str">
        <v>SAP SE</v>
      </c>
    </row>
    <row r="115">
      <c r="A115" t="str">
        <v>/B365/</v>
      </c>
      <c r="B115" t="str">
        <v>C</v>
      </c>
      <c r="C115">
        <v>33261104102663733000</v>
      </c>
      <c r="D115" t="str">
        <v>X</v>
      </c>
      <c r="F115" t="str">
        <v>X</v>
      </c>
      <c r="G115" t="str">
        <v>SAP</v>
      </c>
      <c r="H115">
        <v>42439</v>
      </c>
      <c r="J115" t="str">
        <v>SAP SE</v>
      </c>
    </row>
    <row r="116">
      <c r="A116" t="str">
        <v>/B4H/</v>
      </c>
      <c r="B116" t="str">
        <v>C</v>
      </c>
      <c r="C116">
        <v>34462832992772653000</v>
      </c>
      <c r="D116" t="str">
        <v>X</v>
      </c>
      <c r="E116" t="str">
        <v>X</v>
      </c>
      <c r="G116" t="str">
        <v>SAP</v>
      </c>
      <c r="H116">
        <v>42249</v>
      </c>
      <c r="J116" t="str">
        <v>SAP SE</v>
      </c>
    </row>
    <row r="117">
      <c r="A117" t="str">
        <v>/B631/</v>
      </c>
      <c r="B117" t="str">
        <v>C</v>
      </c>
      <c r="D117" t="str">
        <v>X</v>
      </c>
      <c r="F117" t="str">
        <v>X</v>
      </c>
      <c r="G117" t="str">
        <v>SAP</v>
      </c>
      <c r="H117">
        <v>40373</v>
      </c>
      <c r="J117" t="str">
        <v>SAP SE</v>
      </c>
    </row>
    <row r="118">
      <c r="A118" t="str">
        <v>/B693/</v>
      </c>
      <c r="B118" t="str">
        <v>C</v>
      </c>
      <c r="C118">
        <v>9067258011541151000</v>
      </c>
      <c r="D118" t="str">
        <v>X</v>
      </c>
      <c r="F118" t="str">
        <v>X</v>
      </c>
      <c r="G118" t="str">
        <v>SAP</v>
      </c>
      <c r="H118">
        <v>43214</v>
      </c>
      <c r="J118" t="str">
        <v>BWGEN Generation Namespace for /CRMBW/ (CRM)</v>
      </c>
    </row>
    <row r="119">
      <c r="A119" t="str">
        <v>/B71/</v>
      </c>
      <c r="B119" t="str">
        <v>C</v>
      </c>
      <c r="C119">
        <v>28055036163765060000</v>
      </c>
      <c r="D119" t="str">
        <v>X</v>
      </c>
      <c r="E119" t="str">
        <v>X</v>
      </c>
      <c r="F119" t="str">
        <v>X</v>
      </c>
      <c r="G119" t="str">
        <v>SAP</v>
      </c>
      <c r="H119">
        <v>38555</v>
      </c>
      <c r="J119" t="str">
        <v>Generation Namespace</v>
      </c>
    </row>
    <row r="120">
      <c r="A120" t="str">
        <v>/B7999/</v>
      </c>
      <c r="B120" t="str">
        <v>C</v>
      </c>
      <c r="C120">
        <v>14584383110999218000</v>
      </c>
      <c r="G120" t="str">
        <v>SAP</v>
      </c>
      <c r="H120">
        <v>42957</v>
      </c>
      <c r="J120" t="str">
        <v>BWGEN Generation Name Space for /OPT/</v>
      </c>
    </row>
    <row r="121">
      <c r="A121" t="str">
        <v>/BA1/</v>
      </c>
      <c r="B121" t="str">
        <v>C</v>
      </c>
      <c r="C121">
        <v>9136415070936583000</v>
      </c>
      <c r="D121" t="str">
        <v>X</v>
      </c>
      <c r="E121" t="str">
        <v>X</v>
      </c>
      <c r="G121" t="str">
        <v>SAP</v>
      </c>
      <c r="H121">
        <v>42293</v>
      </c>
      <c r="J121" t="str">
        <v>Bank Analyzer Development</v>
      </c>
    </row>
    <row r="122">
      <c r="A122" t="str">
        <v>/BA6/</v>
      </c>
      <c r="B122" t="str">
        <v>C</v>
      </c>
      <c r="C122">
        <v>37255961311021120000</v>
      </c>
      <c r="F122" t="str">
        <v>X</v>
      </c>
      <c r="G122" t="str">
        <v>SAP</v>
      </c>
      <c r="H122">
        <v>42242</v>
      </c>
    </row>
    <row r="123">
      <c r="A123" t="str">
        <v>/BCT/</v>
      </c>
      <c r="B123" t="str">
        <v>C</v>
      </c>
      <c r="C123">
        <v>28742429633005003000</v>
      </c>
      <c r="D123" t="str">
        <v>X</v>
      </c>
      <c r="E123" t="str">
        <v>X</v>
      </c>
      <c r="G123" t="str">
        <v>SAP</v>
      </c>
      <c r="H123">
        <v>38555</v>
      </c>
      <c r="J123" t="str">
        <v>SAP BI Content: SAP Namespace</v>
      </c>
    </row>
    <row r="124">
      <c r="A124" t="str">
        <v>/BCV/</v>
      </c>
      <c r="B124" t="str">
        <v>C</v>
      </c>
      <c r="C124">
        <v>9059470574031479000</v>
      </c>
      <c r="D124" t="str">
        <v>X</v>
      </c>
      <c r="E124" t="str">
        <v>X</v>
      </c>
      <c r="G124" t="str">
        <v>SAP</v>
      </c>
      <c r="H124">
        <v>39780</v>
      </c>
      <c r="J124" t="str">
        <v>SAP SE</v>
      </c>
    </row>
    <row r="125">
      <c r="A125" t="str">
        <v>/BDL/</v>
      </c>
      <c r="B125" t="str">
        <v>C</v>
      </c>
      <c r="C125">
        <v>30995211444217180000</v>
      </c>
      <c r="D125" t="str">
        <v>X</v>
      </c>
      <c r="E125" t="str">
        <v>X</v>
      </c>
      <c r="G125" t="str">
        <v>SAP</v>
      </c>
      <c r="H125">
        <v>41654</v>
      </c>
      <c r="J125" t="str">
        <v>SAP Solution Tools Plug-In: Service Data Download</v>
      </c>
    </row>
    <row r="126">
      <c r="A126" t="str">
        <v>/BDTS/</v>
      </c>
      <c r="B126" t="str">
        <v>C</v>
      </c>
      <c r="C126">
        <v>7482486361560359000</v>
      </c>
      <c r="D126" t="str">
        <v>X</v>
      </c>
      <c r="E126" t="str">
        <v>X</v>
      </c>
      <c r="G126" t="str">
        <v>SAP</v>
      </c>
      <c r="H126">
        <v>44650</v>
      </c>
      <c r="J126" t="str">
        <v>SAP SE</v>
      </c>
    </row>
    <row r="127">
      <c r="A127" t="str">
        <v>/BEA/</v>
      </c>
      <c r="B127" t="str">
        <v>C</v>
      </c>
      <c r="C127">
        <v>38743251742369700000</v>
      </c>
      <c r="D127" t="str">
        <v>X</v>
      </c>
      <c r="G127" t="str">
        <v>SAP</v>
      </c>
      <c r="H127">
        <v>43214</v>
      </c>
      <c r="J127" t="str">
        <v>Billing Engine Applications</v>
      </c>
    </row>
    <row r="128">
      <c r="A128" t="str">
        <v>/BEF/</v>
      </c>
      <c r="B128" t="str">
        <v>C</v>
      </c>
      <c r="C128">
        <v>2438285982251330600</v>
      </c>
      <c r="D128" t="str">
        <v>X</v>
      </c>
      <c r="G128" t="str">
        <v>SAP</v>
      </c>
      <c r="H128">
        <v>43214</v>
      </c>
      <c r="J128" t="str">
        <v>Billing Engine Framework</v>
      </c>
    </row>
    <row r="129">
      <c r="A129" t="str">
        <v>/BEV1/</v>
      </c>
      <c r="B129" t="str">
        <v>C</v>
      </c>
      <c r="C129">
        <v>17281726232571570000</v>
      </c>
      <c r="D129" t="str">
        <v>X</v>
      </c>
      <c r="G129" t="str">
        <v>SAP</v>
      </c>
      <c r="H129">
        <v>37804</v>
      </c>
      <c r="J129" t="str">
        <v>Beverage Generic</v>
      </c>
    </row>
    <row r="130">
      <c r="A130" t="str">
        <v>/BEV2/</v>
      </c>
      <c r="B130" t="str">
        <v>C</v>
      </c>
      <c r="C130">
        <v>12494944710185316000</v>
      </c>
      <c r="D130" t="str">
        <v>X</v>
      </c>
      <c r="G130" t="str">
        <v>SAP</v>
      </c>
      <c r="H130">
        <v>37804</v>
      </c>
      <c r="J130" t="str">
        <v>Excise Duty</v>
      </c>
    </row>
    <row r="131">
      <c r="A131" t="str">
        <v>/BEV3/</v>
      </c>
      <c r="B131" t="str">
        <v>C</v>
      </c>
      <c r="C131">
        <v>13643143032060443000</v>
      </c>
      <c r="D131" t="str">
        <v>X</v>
      </c>
      <c r="G131" t="str">
        <v>SAP</v>
      </c>
      <c r="H131">
        <v>37953</v>
      </c>
      <c r="J131" t="str">
        <v>Contract Handling</v>
      </c>
    </row>
    <row r="132">
      <c r="A132" t="str">
        <v>/BEV4/</v>
      </c>
      <c r="B132" t="str">
        <v>C</v>
      </c>
      <c r="C132">
        <v>2774740074046054400</v>
      </c>
      <c r="D132" t="str">
        <v>X</v>
      </c>
      <c r="G132" t="str">
        <v>SAP</v>
      </c>
      <c r="H132">
        <v>37804</v>
      </c>
      <c r="J132" t="str">
        <v>Pendulum List</v>
      </c>
    </row>
    <row r="133">
      <c r="A133" t="str">
        <v>/BGLOCS/</v>
      </c>
      <c r="B133" t="str">
        <v>C</v>
      </c>
      <c r="D133" t="str">
        <v>X</v>
      </c>
      <c r="E133" t="str">
        <v>X</v>
      </c>
      <c r="G133" t="str">
        <v>SAP</v>
      </c>
      <c r="H133">
        <v>42137</v>
      </c>
      <c r="J133" t="str">
        <v>CCEE Add-On - Namespace for Bulgaria</v>
      </c>
    </row>
    <row r="134">
      <c r="A134" t="str">
        <v>/BI0/</v>
      </c>
      <c r="B134" t="str">
        <v>C</v>
      </c>
      <c r="C134">
        <v>35538861380822397000</v>
      </c>
      <c r="D134" t="str">
        <v>X</v>
      </c>
      <c r="E134" t="str">
        <v>X</v>
      </c>
      <c r="F134" t="str">
        <v>X</v>
      </c>
      <c r="G134" t="str">
        <v>SAP</v>
      </c>
      <c r="H134">
        <v>36635</v>
      </c>
      <c r="J134" t="str">
        <v>Business Information Warehouse: SAP Namespace</v>
      </c>
    </row>
    <row r="135">
      <c r="A135" t="str">
        <v>/BI1/</v>
      </c>
      <c r="B135" t="str">
        <v>C</v>
      </c>
      <c r="C135">
        <v>38080217890600690000</v>
      </c>
      <c r="D135" t="str">
        <v>X</v>
      </c>
      <c r="E135" t="str">
        <v>X</v>
      </c>
      <c r="F135" t="str">
        <v>X</v>
      </c>
      <c r="G135" t="str">
        <v>SAP</v>
      </c>
      <c r="H135">
        <v>38931</v>
      </c>
      <c r="J135" t="str">
        <v>BI Namespace for Generated Meta Objects</v>
      </c>
    </row>
    <row r="136">
      <c r="A136" t="str">
        <v>/BI2/</v>
      </c>
      <c r="B136" t="str">
        <v>C</v>
      </c>
      <c r="C136">
        <v>8556680142926339000</v>
      </c>
      <c r="F136" t="str">
        <v>X</v>
      </c>
      <c r="G136" t="str">
        <v>SAP</v>
      </c>
      <c r="H136">
        <v>38931</v>
      </c>
      <c r="J136" t="str">
        <v>BI Namespace for Generation of Generated Meta Objects</v>
      </c>
    </row>
    <row r="137">
      <c r="A137" t="str">
        <v>/BIC/</v>
      </c>
      <c r="B137" t="str">
        <v>C</v>
      </c>
      <c r="C137">
        <v>33309248533497590000</v>
      </c>
      <c r="F137" t="str">
        <v>X</v>
      </c>
      <c r="G137" t="str">
        <v>SAP</v>
      </c>
      <c r="H137">
        <v>36504</v>
      </c>
      <c r="J137" t="str">
        <v>Business Information Warehouse: Customer Namespace</v>
      </c>
    </row>
    <row r="138">
      <c r="A138" t="str">
        <v>/BOBF/</v>
      </c>
      <c r="B138" t="str">
        <v>C</v>
      </c>
      <c r="C138">
        <v>24913220940327793000</v>
      </c>
      <c r="G138" t="str">
        <v>SAP</v>
      </c>
      <c r="H138">
        <v>43375</v>
      </c>
    </row>
    <row r="139">
      <c r="A139" t="str">
        <v>/BODS/</v>
      </c>
      <c r="B139" t="str">
        <v>C</v>
      </c>
      <c r="C139">
        <v>40688070563635750000</v>
      </c>
      <c r="D139" t="str">
        <v>X</v>
      </c>
      <c r="E139" t="str">
        <v>X</v>
      </c>
      <c r="G139" t="str">
        <v>SAP</v>
      </c>
      <c r="H139">
        <v>41145</v>
      </c>
      <c r="J139" t="str">
        <v>/BODS/</v>
      </c>
    </row>
    <row r="140">
      <c r="A140" t="str">
        <v>/BOFU/</v>
      </c>
      <c r="B140" t="str">
        <v>C</v>
      </c>
      <c r="C140">
        <v>9203831381640008000</v>
      </c>
      <c r="D140" t="str">
        <v>X</v>
      </c>
      <c r="E140" t="str">
        <v>X</v>
      </c>
      <c r="G140" t="str">
        <v>SAP</v>
      </c>
      <c r="H140">
        <v>39882</v>
      </c>
      <c r="J140" t="str">
        <v>SAP SE</v>
      </c>
    </row>
    <row r="141">
      <c r="A141" t="str">
        <v>/BON/</v>
      </c>
      <c r="B141" t="str">
        <v>C</v>
      </c>
      <c r="C141">
        <v>5116129861154340000</v>
      </c>
      <c r="D141" t="str">
        <v>X</v>
      </c>
      <c r="E141" t="str">
        <v>X</v>
      </c>
      <c r="G141" t="str">
        <v>SAP</v>
      </c>
      <c r="H141">
        <v>38324</v>
      </c>
      <c r="J141" t="str">
        <v>Bonus</v>
      </c>
    </row>
    <row r="142">
      <c r="A142" t="str">
        <v>/BOPF/</v>
      </c>
      <c r="B142" t="str">
        <v>C</v>
      </c>
      <c r="C142">
        <v>39700830720699230000</v>
      </c>
      <c r="D142" t="str">
        <v>X</v>
      </c>
      <c r="E142" t="str">
        <v>X</v>
      </c>
      <c r="G142" t="str">
        <v>SAP</v>
      </c>
      <c r="H142">
        <v>42380</v>
      </c>
      <c r="J142" t="str">
        <v>Business Object Processing Framework</v>
      </c>
    </row>
    <row r="143">
      <c r="A143" t="str">
        <v>/BPR3MI/</v>
      </c>
      <c r="B143" t="str">
        <v>C</v>
      </c>
      <c r="C143">
        <v>19957254531419980000</v>
      </c>
      <c r="D143" t="str">
        <v>X</v>
      </c>
      <c r="E143" t="str">
        <v>X</v>
      </c>
      <c r="G143" t="str">
        <v>SAP</v>
      </c>
      <c r="H143">
        <v>40237</v>
      </c>
      <c r="J143" t="str">
        <v>SAP SE</v>
      </c>
    </row>
    <row r="144">
      <c r="A144" t="str">
        <v>/BSAM/</v>
      </c>
      <c r="B144" t="str">
        <v>C</v>
      </c>
      <c r="C144">
        <v>27292710390152946000</v>
      </c>
      <c r="D144" t="str">
        <v>X</v>
      </c>
      <c r="E144" t="str">
        <v>X</v>
      </c>
      <c r="G144" t="str">
        <v>SAP</v>
      </c>
      <c r="H144">
        <v>39882</v>
      </c>
      <c r="J144" t="str">
        <v>SAP SE</v>
      </c>
    </row>
    <row r="145">
      <c r="A145" t="str">
        <v>/BSNAGT/</v>
      </c>
      <c r="B145" t="str">
        <v>C</v>
      </c>
      <c r="C145">
        <v>19379608652367920000</v>
      </c>
      <c r="D145" t="str">
        <v>X</v>
      </c>
      <c r="E145" t="str">
        <v>X</v>
      </c>
      <c r="G145" t="str">
        <v>SAP</v>
      </c>
      <c r="H145">
        <v>43420</v>
      </c>
      <c r="J145" t="str">
        <v>SAP SE</v>
      </c>
    </row>
    <row r="146">
      <c r="A146" t="str">
        <v>/BSSP/</v>
      </c>
      <c r="B146" t="str">
        <v>C</v>
      </c>
      <c r="C146">
        <v>32710903020245946000</v>
      </c>
      <c r="D146" t="str">
        <v>X</v>
      </c>
      <c r="G146" t="str">
        <v>SAP</v>
      </c>
      <c r="H146">
        <v>40597</v>
      </c>
      <c r="J146" t="str">
        <v>SAP SE</v>
      </c>
    </row>
    <row r="147">
      <c r="A147" t="str">
        <v>/BTCMAN/</v>
      </c>
      <c r="B147" t="str">
        <v>C</v>
      </c>
      <c r="C147">
        <v>11617417413131813000</v>
      </c>
      <c r="G147" t="str">
        <v>GMEYER</v>
      </c>
      <c r="H147">
        <v>42712</v>
      </c>
      <c r="J147" t="str">
        <v>HONICO Products II</v>
      </c>
    </row>
    <row r="148">
      <c r="A148" t="str">
        <v>/BUILD/</v>
      </c>
      <c r="B148" t="str">
        <v>C</v>
      </c>
      <c r="C148">
        <v>18371185713777132000</v>
      </c>
      <c r="G148" t="str">
        <v>SAP</v>
      </c>
      <c r="H148">
        <v>43739</v>
      </c>
    </row>
    <row r="149">
      <c r="A149" t="str">
        <v>/BWO/</v>
      </c>
      <c r="B149" t="str">
        <v>C</v>
      </c>
      <c r="C149">
        <v>6793161903055070000</v>
      </c>
      <c r="D149" t="str">
        <v>X</v>
      </c>
      <c r="E149" t="str">
        <v>X</v>
      </c>
      <c r="G149" t="str">
        <v>SAP</v>
      </c>
      <c r="H149">
        <v>41548</v>
      </c>
      <c r="J149" t="str">
        <v>SAP SE</v>
      </c>
    </row>
    <row r="150">
      <c r="A150" t="str">
        <v>/BWTEST01/</v>
      </c>
      <c r="B150" t="str">
        <v>C</v>
      </c>
      <c r="C150">
        <v>8370529182302611000</v>
      </c>
      <c r="D150" t="str">
        <v>X</v>
      </c>
      <c r="E150" t="str">
        <v>X</v>
      </c>
      <c r="G150" t="str">
        <v>SAP</v>
      </c>
      <c r="H150">
        <v>38555</v>
      </c>
      <c r="J150" t="str">
        <v>BI Namespace (Maximum Number of Characters)</v>
      </c>
    </row>
    <row r="151">
      <c r="A151" t="str">
        <v>/CBAD/</v>
      </c>
      <c r="B151" t="str">
        <v>C</v>
      </c>
      <c r="C151">
        <v>16901020481853708000</v>
      </c>
      <c r="D151" t="str">
        <v>X</v>
      </c>
      <c r="E151" t="str">
        <v>X</v>
      </c>
      <c r="G151" t="str">
        <v>SAP</v>
      </c>
      <c r="H151">
        <v>39430</v>
      </c>
      <c r="J151" t="str">
        <v>SAP SE</v>
      </c>
    </row>
    <row r="152">
      <c r="A152" t="str">
        <v>/CCEE/</v>
      </c>
      <c r="B152" t="str">
        <v>C</v>
      </c>
      <c r="C152">
        <v>4976489931959322000</v>
      </c>
      <c r="D152" t="str">
        <v>X</v>
      </c>
      <c r="E152" t="str">
        <v>X</v>
      </c>
      <c r="G152" t="str">
        <v>SAP</v>
      </c>
      <c r="H152">
        <v>42137</v>
      </c>
      <c r="J152" t="str">
        <v>Core for CEE Countries (CE&amp;C.I.S.)</v>
      </c>
    </row>
    <row r="153">
      <c r="A153" t="str">
        <v>/CCIS/</v>
      </c>
      <c r="B153" t="str">
        <v>C</v>
      </c>
      <c r="C153">
        <v>31497682753171632000</v>
      </c>
      <c r="D153" t="str">
        <v>X</v>
      </c>
      <c r="E153" t="str">
        <v>X</v>
      </c>
      <c r="G153" t="str">
        <v>SAP</v>
      </c>
      <c r="H153">
        <v>40149</v>
      </c>
      <c r="J153" t="str">
        <v>SAP SE</v>
      </c>
    </row>
    <row r="154">
      <c r="A154" t="str">
        <v>/CDBASIS/</v>
      </c>
      <c r="B154" t="str">
        <v>C</v>
      </c>
      <c r="C154">
        <v>1603878563167913200</v>
      </c>
      <c r="E154" t="str">
        <v>X</v>
      </c>
      <c r="G154" t="str">
        <v>SAP</v>
      </c>
      <c r="H154">
        <v>43454</v>
      </c>
      <c r="J154" t="str">
        <v>Custom Development Common Component</v>
      </c>
    </row>
    <row r="155">
      <c r="A155" t="str">
        <v>/CDS/</v>
      </c>
      <c r="B155" t="str">
        <v>C</v>
      </c>
      <c r="C155">
        <v>9322383243134611000</v>
      </c>
      <c r="D155" t="str">
        <v>X</v>
      </c>
      <c r="E155" t="str">
        <v>X</v>
      </c>
      <c r="G155" t="str">
        <v>SAP</v>
      </c>
      <c r="H155">
        <v>41936</v>
      </c>
      <c r="J155" t="str">
        <v>SAP SE</v>
      </c>
    </row>
    <row r="156">
      <c r="A156" t="str">
        <v>/CEECV/</v>
      </c>
      <c r="B156" t="str">
        <v>C</v>
      </c>
      <c r="D156" t="str">
        <v>X</v>
      </c>
      <c r="E156" t="str">
        <v>X</v>
      </c>
      <c r="G156" t="str">
        <v>SAP</v>
      </c>
      <c r="H156">
        <v>42137</v>
      </c>
      <c r="J156" t="str">
        <v>Central and Eastern Europe Country Versions</v>
      </c>
    </row>
    <row r="157">
      <c r="A157" t="str">
        <v>/CEEIS/</v>
      </c>
      <c r="B157" t="str">
        <v>C</v>
      </c>
      <c r="D157" t="str">
        <v>X</v>
      </c>
      <c r="E157" t="str">
        <v>X</v>
      </c>
      <c r="G157" t="str">
        <v>SAP</v>
      </c>
      <c r="H157">
        <v>39854</v>
      </c>
      <c r="J157" t="str">
        <v>SAP SE</v>
      </c>
    </row>
    <row r="158">
      <c r="A158" t="str">
        <v>/CEEISUT/</v>
      </c>
      <c r="B158" t="str">
        <v>C</v>
      </c>
      <c r="C158">
        <v>3362897630047475000</v>
      </c>
      <c r="D158" t="str">
        <v>X</v>
      </c>
      <c r="E158" t="str">
        <v>X</v>
      </c>
      <c r="G158" t="str">
        <v>SAP</v>
      </c>
      <c r="H158">
        <v>42832</v>
      </c>
      <c r="J158" t="str">
        <v>SAP SE</v>
      </c>
    </row>
    <row r="159">
      <c r="A159" t="str">
        <v>/CEERE/</v>
      </c>
      <c r="B159" t="str">
        <v>C</v>
      </c>
      <c r="C159">
        <v>671802170974331600</v>
      </c>
      <c r="D159" t="str">
        <v>X</v>
      </c>
      <c r="E159" t="str">
        <v>X</v>
      </c>
      <c r="G159" t="str">
        <v>SAP</v>
      </c>
      <c r="H159">
        <v>40149</v>
      </c>
      <c r="J159" t="str">
        <v>CEERE</v>
      </c>
    </row>
    <row r="160">
      <c r="A160" t="str">
        <v>/CEM/</v>
      </c>
      <c r="B160" t="str">
        <v>C</v>
      </c>
      <c r="C160">
        <v>15818380210946300000</v>
      </c>
      <c r="D160" t="str">
        <v>X</v>
      </c>
      <c r="G160" t="str">
        <v>SAP</v>
      </c>
      <c r="H160">
        <v>43214</v>
      </c>
      <c r="J160" t="str">
        <v>Entitlement Management</v>
      </c>
    </row>
    <row r="161">
      <c r="A161" t="str">
        <v>/CFG/</v>
      </c>
      <c r="B161" t="str">
        <v>C</v>
      </c>
      <c r="C161">
        <v>15978415031074617000</v>
      </c>
      <c r="G161" t="str">
        <v>SAP</v>
      </c>
      <c r="H161">
        <v>42613</v>
      </c>
      <c r="J161" t="str">
        <v>SAP BP Configuration Infrastructure</v>
      </c>
    </row>
    <row r="162">
      <c r="A162" t="str">
        <v>/CHECK/</v>
      </c>
      <c r="B162" t="str">
        <v>C</v>
      </c>
      <c r="C162">
        <v>32047731224276312000</v>
      </c>
      <c r="D162" t="str">
        <v>X</v>
      </c>
      <c r="G162" t="str">
        <v>SAP</v>
      </c>
      <c r="H162">
        <v>40332</v>
      </c>
      <c r="J162" t="str">
        <v>SAP SE</v>
      </c>
    </row>
    <row r="163">
      <c r="A163" t="str">
        <v>/CITIPMW/</v>
      </c>
      <c r="B163" t="str">
        <v>P</v>
      </c>
      <c r="C163">
        <v>35633631123004985000</v>
      </c>
      <c r="G163" t="str">
        <v>SM36623</v>
      </c>
      <c r="H163">
        <v>42598</v>
      </c>
      <c r="J163" t="str">
        <v>Citi Group - Payment Medium Templates Development</v>
      </c>
    </row>
    <row r="164">
      <c r="A164" t="str">
        <v>/CLMDV/</v>
      </c>
      <c r="B164" t="str">
        <v>C</v>
      </c>
      <c r="C164">
        <v>12814374630096861000</v>
      </c>
      <c r="G164" t="str">
        <v>SAP</v>
      </c>
      <c r="H164">
        <v>44155</v>
      </c>
    </row>
    <row r="165">
      <c r="A165" t="str">
        <v>/CMIS/</v>
      </c>
      <c r="B165" t="str">
        <v>C</v>
      </c>
      <c r="D165" t="str">
        <v>X</v>
      </c>
      <c r="G165" t="str">
        <v>SAP</v>
      </c>
      <c r="H165">
        <v>38910</v>
      </c>
      <c r="J165" t="str">
        <v>SAP SE</v>
      </c>
    </row>
    <row r="166">
      <c r="A166" t="str">
        <v>/CNV/</v>
      </c>
      <c r="B166" t="str">
        <v>C</v>
      </c>
      <c r="D166" t="str">
        <v>X</v>
      </c>
      <c r="G166" t="str">
        <v>SAP</v>
      </c>
      <c r="H166">
        <v>40233</v>
      </c>
      <c r="J166" t="str">
        <v>SAP SE</v>
      </c>
    </row>
    <row r="167">
      <c r="A167" t="str">
        <v>/CPD/</v>
      </c>
      <c r="B167" t="str">
        <v>C</v>
      </c>
      <c r="C167">
        <v>42631108283935950000</v>
      </c>
      <c r="D167" t="str">
        <v>X</v>
      </c>
      <c r="E167" t="str">
        <v>X</v>
      </c>
      <c r="G167" t="str">
        <v>SAP</v>
      </c>
      <c r="H167">
        <v>42828</v>
      </c>
      <c r="J167" t="str">
        <v>SAP SE</v>
      </c>
    </row>
    <row r="168">
      <c r="A168" t="str">
        <v>/CPMB/</v>
      </c>
      <c r="B168" t="str">
        <v>C</v>
      </c>
      <c r="C168">
        <v>18529726663962493000</v>
      </c>
      <c r="D168" t="str">
        <v>X</v>
      </c>
      <c r="G168" t="str">
        <v>SAP</v>
      </c>
      <c r="H168">
        <v>41354</v>
      </c>
      <c r="J168" t="str">
        <v>CPM Business Planning and Consolidation</v>
      </c>
    </row>
    <row r="169">
      <c r="A169" t="str">
        <v>/CPMBPC/</v>
      </c>
      <c r="B169" t="str">
        <v>C</v>
      </c>
      <c r="C169">
        <v>381731702900723140</v>
      </c>
      <c r="G169" t="str">
        <v>SAP</v>
      </c>
      <c r="H169">
        <v>41523</v>
      </c>
      <c r="J169" t="str">
        <v>CPM Business Planning and Consolidation</v>
      </c>
    </row>
    <row r="170">
      <c r="A170" t="str">
        <v>/CRMBW/</v>
      </c>
      <c r="B170" t="str">
        <v>C</v>
      </c>
      <c r="C170">
        <v>42245679240625240000</v>
      </c>
      <c r="D170" t="str">
        <v>X</v>
      </c>
      <c r="G170" t="str">
        <v>SAP</v>
      </c>
      <c r="H170">
        <v>43214</v>
      </c>
      <c r="J170" t="str">
        <v>Decentralized BI Content Development for CRM</v>
      </c>
    </row>
    <row r="171">
      <c r="A171" t="str">
        <v>/CRMDAM/</v>
      </c>
      <c r="B171" t="str">
        <v>C</v>
      </c>
      <c r="C171">
        <v>4728735051725296000</v>
      </c>
      <c r="D171" t="str">
        <v>X</v>
      </c>
      <c r="F171" t="str">
        <v>X</v>
      </c>
      <c r="G171" t="str">
        <v>SAP</v>
      </c>
      <c r="H171">
        <v>43214</v>
      </c>
      <c r="J171" t="str">
        <v>CRM MW Generation Namespace for Local Objects</v>
      </c>
    </row>
    <row r="172">
      <c r="A172" t="str">
        <v>/CRMGEC/</v>
      </c>
      <c r="B172" t="str">
        <v>C</v>
      </c>
      <c r="C172">
        <v>6819724761577821000</v>
      </c>
      <c r="D172" t="str">
        <v>X</v>
      </c>
      <c r="G172" t="str">
        <v>SAP</v>
      </c>
      <c r="H172">
        <v>43214</v>
      </c>
      <c r="J172" t="str">
        <v>Customer Namespace for Middleware Objects</v>
      </c>
    </row>
    <row r="173">
      <c r="A173" t="str">
        <v>/CRMGEM/</v>
      </c>
      <c r="B173" t="str">
        <v>C</v>
      </c>
      <c r="C173">
        <v>2959560104023326700</v>
      </c>
      <c r="D173" t="str">
        <v>X</v>
      </c>
      <c r="E173" t="str">
        <v>X</v>
      </c>
      <c r="G173" t="str">
        <v>SAP</v>
      </c>
      <c r="H173">
        <v>37589</v>
      </c>
      <c r="J173" t="str">
        <v>CRM Migration Project CRM 2.0X-&gt;CRM 3.0 SAP Namespace</v>
      </c>
    </row>
    <row r="174">
      <c r="A174" t="str">
        <v>/CRMGES/</v>
      </c>
      <c r="B174" t="str">
        <v>C</v>
      </c>
      <c r="C174">
        <v>37530007992720335000</v>
      </c>
      <c r="D174" t="str">
        <v>X</v>
      </c>
      <c r="G174" t="str">
        <v>SAP</v>
      </c>
      <c r="H174">
        <v>43214</v>
      </c>
      <c r="J174" t="str">
        <v>SAP Namespace: CRM Middleware - BDoc Runtime Objects</v>
      </c>
    </row>
    <row r="175">
      <c r="A175" t="str">
        <v>/CRMGMC/</v>
      </c>
      <c r="B175" t="str">
        <v>C</v>
      </c>
      <c r="C175">
        <v>17667906501755790000</v>
      </c>
      <c r="D175" t="str">
        <v>X</v>
      </c>
      <c r="E175" t="str">
        <v>X</v>
      </c>
      <c r="G175" t="str">
        <v>SAP</v>
      </c>
      <c r="H175">
        <v>37589</v>
      </c>
      <c r="J175" t="str">
        <v>CRM Migration Project CRM 2.0X-&gt;CRM 3.0 Customer Namespace</v>
      </c>
    </row>
    <row r="176">
      <c r="A176" t="str">
        <v>/CRMMW/</v>
      </c>
      <c r="B176" t="str">
        <v>C</v>
      </c>
      <c r="C176">
        <v>16665487002650230000</v>
      </c>
      <c r="D176" t="str">
        <v>X</v>
      </c>
      <c r="G176" t="str">
        <v>SAP</v>
      </c>
      <c r="H176">
        <v>37475</v>
      </c>
      <c r="J176" t="str">
        <v>CRM Middleware: Check Functions</v>
      </c>
    </row>
    <row r="177">
      <c r="A177" t="str">
        <v>/CRMOST/</v>
      </c>
      <c r="B177" t="str">
        <v>C</v>
      </c>
      <c r="C177">
        <v>7264605132989884000</v>
      </c>
      <c r="D177" t="str">
        <v>X</v>
      </c>
      <c r="F177" t="str">
        <v>X</v>
      </c>
      <c r="G177" t="str">
        <v>SAP</v>
      </c>
      <c r="H177">
        <v>43214</v>
      </c>
      <c r="J177" t="str">
        <v>CRM: Open Services Tool</v>
      </c>
    </row>
    <row r="178">
      <c r="A178" t="str">
        <v>/CRMS/</v>
      </c>
      <c r="B178" t="str">
        <v>C</v>
      </c>
      <c r="C178">
        <v>19519489614266070000</v>
      </c>
      <c r="D178" t="str">
        <v>X</v>
      </c>
      <c r="G178" t="str">
        <v>SAP</v>
      </c>
      <c r="H178">
        <v>43214</v>
      </c>
      <c r="J178" t="str">
        <v>CRM@SAP Standard Development</v>
      </c>
    </row>
    <row r="179">
      <c r="A179" t="str">
        <v>/CRMTS/</v>
      </c>
      <c r="B179" t="str">
        <v>C</v>
      </c>
      <c r="C179">
        <v>9317040162728028000</v>
      </c>
      <c r="D179" t="str">
        <v>X</v>
      </c>
      <c r="G179" t="str">
        <v>SAP</v>
      </c>
      <c r="H179">
        <v>43214</v>
      </c>
      <c r="J179" t="str">
        <v>Technical Services for CRM</v>
      </c>
    </row>
    <row r="180">
      <c r="A180" t="str">
        <v>/CRMUIF/</v>
      </c>
      <c r="B180" t="str">
        <v>C</v>
      </c>
      <c r="C180">
        <v>17649213561592370000</v>
      </c>
      <c r="D180" t="str">
        <v>X</v>
      </c>
      <c r="F180" t="str">
        <v>X</v>
      </c>
      <c r="G180" t="str">
        <v>SAP</v>
      </c>
      <c r="H180">
        <v>43227</v>
      </c>
      <c r="J180" t="str">
        <v>SAP SE</v>
      </c>
    </row>
    <row r="181">
      <c r="A181" t="str">
        <v>/CRMWST/</v>
      </c>
      <c r="B181" t="str">
        <v>C</v>
      </c>
      <c r="C181">
        <v>11459157983888714000</v>
      </c>
      <c r="D181" t="str">
        <v>X</v>
      </c>
      <c r="G181" t="str">
        <v>SAP</v>
      </c>
      <c r="H181">
        <v>43214</v>
      </c>
      <c r="J181" t="str">
        <v>Generated Objects from CRM Open Service Tool (Level 1)</v>
      </c>
    </row>
    <row r="182">
      <c r="A182" t="str">
        <v>/CRMXP/</v>
      </c>
      <c r="B182" t="str">
        <v>C</v>
      </c>
      <c r="C182">
        <v>15015184391816580000</v>
      </c>
      <c r="D182" t="str">
        <v>X</v>
      </c>
      <c r="G182" t="str">
        <v>SAP</v>
      </c>
      <c r="H182">
        <v>43214</v>
      </c>
      <c r="J182" t="str">
        <v>CRM Express Solution</v>
      </c>
    </row>
    <row r="183">
      <c r="A183" t="str">
        <v>/CRYSTAL/</v>
      </c>
      <c r="B183" t="str">
        <v>C</v>
      </c>
      <c r="C183">
        <v>28477111810560393000</v>
      </c>
      <c r="D183" t="str">
        <v>X</v>
      </c>
      <c r="G183" t="str">
        <v>SAP</v>
      </c>
      <c r="H183">
        <v>39951</v>
      </c>
      <c r="J183" t="str">
        <v>Crystal Report Integration</v>
      </c>
    </row>
    <row r="184">
      <c r="A184" t="str">
        <v>/CTMC/</v>
      </c>
      <c r="B184" t="str">
        <v>C</v>
      </c>
      <c r="C184">
        <v>5219608612548420000</v>
      </c>
      <c r="D184" t="str">
        <v>X</v>
      </c>
      <c r="E184" t="str">
        <v>X</v>
      </c>
      <c r="G184" t="str">
        <v>SAP</v>
      </c>
      <c r="H184">
        <v>43451</v>
      </c>
      <c r="J184" t="str">
        <v>SAP SE</v>
      </c>
    </row>
    <row r="185">
      <c r="A185" t="str">
        <v>/CUM/</v>
      </c>
      <c r="B185" t="str">
        <v>C</v>
      </c>
      <c r="C185">
        <v>40863193740274370000</v>
      </c>
      <c r="D185" t="str">
        <v>X</v>
      </c>
      <c r="E185" t="str">
        <v>X</v>
      </c>
      <c r="G185" t="str">
        <v>SAP</v>
      </c>
      <c r="H185">
        <v>39351</v>
      </c>
      <c r="J185" t="str">
        <v>Planning Elements</v>
      </c>
    </row>
    <row r="186">
      <c r="A186" t="str">
        <v>/CWM/</v>
      </c>
      <c r="B186" t="str">
        <v>C</v>
      </c>
      <c r="C186">
        <v>11547403780358429000</v>
      </c>
      <c r="D186" t="str">
        <v>X</v>
      </c>
      <c r="E186" t="str">
        <v>X</v>
      </c>
      <c r="G186" t="str">
        <v>SAP</v>
      </c>
      <c r="H186">
        <v>42443</v>
      </c>
      <c r="J186" t="str">
        <v>Catch Weight Management</v>
      </c>
    </row>
    <row r="187">
      <c r="A187" t="str">
        <v>/DMBE/</v>
      </c>
      <c r="B187" t="str">
        <v>C</v>
      </c>
      <c r="C187">
        <v>7343244242808247000</v>
      </c>
      <c r="D187" t="str">
        <v>X</v>
      </c>
      <c r="G187" t="str">
        <v>SAP</v>
      </c>
      <c r="H187">
        <v>44091</v>
      </c>
      <c r="J187" t="str">
        <v>SAP SE</v>
      </c>
    </row>
    <row r="188">
      <c r="A188" t="str">
        <v>/DMIS/</v>
      </c>
      <c r="B188" t="str">
        <v>C</v>
      </c>
      <c r="C188">
        <v>17064100421706000000</v>
      </c>
      <c r="D188" t="str">
        <v>X</v>
      </c>
      <c r="G188" t="str">
        <v>SAP</v>
      </c>
      <c r="H188">
        <v>40323</v>
      </c>
      <c r="J188" t="str">
        <v>SAP SE</v>
      </c>
    </row>
    <row r="189">
      <c r="A189" t="str">
        <v>/DSD/</v>
      </c>
      <c r="B189" t="str">
        <v>C</v>
      </c>
      <c r="C189">
        <v>33131647183253905000</v>
      </c>
      <c r="D189" t="str">
        <v>X</v>
      </c>
      <c r="G189" t="str">
        <v>SAP</v>
      </c>
      <c r="H189">
        <v>38303</v>
      </c>
      <c r="J189" t="str">
        <v>Direct Store Delivery</v>
      </c>
    </row>
    <row r="190">
      <c r="A190" t="str">
        <v>/EACA/</v>
      </c>
      <c r="B190" t="str">
        <v>C</v>
      </c>
      <c r="C190">
        <v>11572108782386380000</v>
      </c>
      <c r="D190" t="str">
        <v>X</v>
      </c>
      <c r="E190" t="str">
        <v>X</v>
      </c>
      <c r="G190" t="str">
        <v>SAP</v>
      </c>
      <c r="H190">
        <v>38580</v>
      </c>
      <c r="J190" t="str">
        <v>Application Development e-Accounting</v>
      </c>
    </row>
    <row r="191">
      <c r="A191" t="str">
        <v>/EACC/</v>
      </c>
      <c r="B191" t="str">
        <v>C</v>
      </c>
      <c r="C191">
        <v>19237253261840617000</v>
      </c>
      <c r="D191" t="str">
        <v>X</v>
      </c>
      <c r="E191" t="str">
        <v>X</v>
      </c>
      <c r="G191" t="str">
        <v>SAP</v>
      </c>
      <c r="H191">
        <v>38580</v>
      </c>
      <c r="J191" t="str">
        <v>Development Financials E-Accounting</v>
      </c>
    </row>
    <row r="192">
      <c r="A192" t="str">
        <v>/EAFIN/</v>
      </c>
      <c r="B192" t="str">
        <v>C</v>
      </c>
      <c r="C192">
        <v>11193630092334197000</v>
      </c>
      <c r="D192" t="str">
        <v>X</v>
      </c>
      <c r="E192" t="str">
        <v>X</v>
      </c>
      <c r="G192" t="str">
        <v>SAP</v>
      </c>
      <c r="H192">
        <v>41353</v>
      </c>
      <c r="J192" t="str">
        <v>SAP SE</v>
      </c>
    </row>
    <row r="193">
      <c r="A193" t="str">
        <v>/EAIPPE/</v>
      </c>
      <c r="B193" t="str">
        <v>C</v>
      </c>
      <c r="C193">
        <v>28330427212264415000</v>
      </c>
      <c r="D193" t="str">
        <v>X</v>
      </c>
      <c r="E193" t="str">
        <v>X</v>
      </c>
      <c r="G193" t="str">
        <v>SAP</v>
      </c>
      <c r="H193">
        <v>39847</v>
      </c>
      <c r="J193" t="str">
        <v>SAP iPPE</v>
      </c>
    </row>
    <row r="194">
      <c r="A194" t="str">
        <v>/EAMPLM/</v>
      </c>
      <c r="B194" t="str">
        <v>C</v>
      </c>
      <c r="C194">
        <v>23219001131055090000</v>
      </c>
      <c r="D194" t="str">
        <v>X</v>
      </c>
      <c r="E194" t="str">
        <v>X</v>
      </c>
      <c r="G194" t="str">
        <v>SAP</v>
      </c>
      <c r="H194">
        <v>40448</v>
      </c>
      <c r="J194" t="str">
        <v>SAP SE</v>
      </c>
    </row>
    <row r="195">
      <c r="A195" t="str">
        <v>/ECCS/</v>
      </c>
      <c r="B195" t="str">
        <v>C</v>
      </c>
      <c r="C195">
        <v>19406386370236470000</v>
      </c>
      <c r="E195" t="str">
        <v>X</v>
      </c>
      <c r="G195" t="str">
        <v>SAP</v>
      </c>
      <c r="H195">
        <v>42690</v>
      </c>
      <c r="J195" t="str">
        <v>SAP SE</v>
      </c>
    </row>
    <row r="196">
      <c r="A196" t="str">
        <v>/ECRS/</v>
      </c>
      <c r="B196" t="str">
        <v>C</v>
      </c>
      <c r="C196">
        <v>36667608163114100000</v>
      </c>
      <c r="D196" t="str">
        <v>X</v>
      </c>
      <c r="E196" t="str">
        <v>X</v>
      </c>
      <c r="G196" t="str">
        <v>SAP</v>
      </c>
      <c r="H196">
        <v>42136</v>
      </c>
      <c r="J196" t="str">
        <v>SAP SE</v>
      </c>
    </row>
    <row r="197">
      <c r="A197" t="str">
        <v>/EFI/</v>
      </c>
      <c r="B197" t="str">
        <v>C</v>
      </c>
      <c r="C197">
        <v>29312901941974585000</v>
      </c>
      <c r="D197" t="str">
        <v>X</v>
      </c>
      <c r="G197" t="str">
        <v>SAP</v>
      </c>
      <c r="H197">
        <v>41290</v>
      </c>
      <c r="J197" t="str">
        <v>SAP SE</v>
      </c>
    </row>
    <row r="198">
      <c r="A198" t="str">
        <v>/EHS3/</v>
      </c>
      <c r="B198" t="str">
        <v>C</v>
      </c>
      <c r="C198">
        <v>3596693540048984600</v>
      </c>
      <c r="G198" t="str">
        <v>SAP</v>
      </c>
      <c r="H198">
        <v>38152</v>
      </c>
      <c r="J198" t="str">
        <v>/EHS3/</v>
      </c>
    </row>
    <row r="199">
      <c r="A199" t="str">
        <v>/EHSMM01/</v>
      </c>
      <c r="B199" t="str">
        <v>C</v>
      </c>
      <c r="C199">
        <v>14964949612565370000</v>
      </c>
      <c r="D199" t="str">
        <v>X</v>
      </c>
      <c r="E199" t="str">
        <v>X</v>
      </c>
      <c r="G199" t="str">
        <v>SAP</v>
      </c>
      <c r="H199">
        <v>41432</v>
      </c>
      <c r="J199" t="str">
        <v>/EHSMM01/</v>
      </c>
    </row>
    <row r="200">
      <c r="A200" t="str">
        <v>/EIO/</v>
      </c>
      <c r="B200" t="str">
        <v>C</v>
      </c>
      <c r="C200">
        <v>15380837081182919000</v>
      </c>
      <c r="D200" t="str">
        <v>X</v>
      </c>
      <c r="E200" t="str">
        <v>X</v>
      </c>
      <c r="G200" t="str">
        <v>SAP</v>
      </c>
      <c r="H200">
        <v>41513</v>
      </c>
      <c r="J200" t="str">
        <v>SAP SE</v>
      </c>
    </row>
    <row r="201">
      <c r="A201" t="str">
        <v>/ERP/</v>
      </c>
      <c r="B201" t="str">
        <v>C</v>
      </c>
      <c r="C201">
        <v>30066517090870456000</v>
      </c>
      <c r="D201" t="str">
        <v>X</v>
      </c>
      <c r="G201" t="str">
        <v>SAP</v>
      </c>
      <c r="H201">
        <v>40372</v>
      </c>
      <c r="J201" t="str">
        <v>SAP SE</v>
      </c>
    </row>
    <row r="202">
      <c r="A202" t="str">
        <v>/FBI/</v>
      </c>
      <c r="B202" t="str">
        <v>C</v>
      </c>
      <c r="C202">
        <v>35935676962167620000</v>
      </c>
      <c r="D202" t="str">
        <v>X</v>
      </c>
      <c r="F202" t="str">
        <v>X</v>
      </c>
      <c r="G202" t="str">
        <v>SAP</v>
      </c>
      <c r="H202">
        <v>40368</v>
      </c>
      <c r="J202" t="str">
        <v>SAP SE</v>
      </c>
    </row>
    <row r="203">
      <c r="A203" t="str">
        <v>/FCO/</v>
      </c>
      <c r="B203" t="str">
        <v>C</v>
      </c>
      <c r="C203">
        <v>7153123312836748000</v>
      </c>
      <c r="D203" t="str">
        <v>X</v>
      </c>
      <c r="E203" t="str">
        <v>X</v>
      </c>
      <c r="G203" t="str">
        <v>SAP</v>
      </c>
      <c r="H203">
        <v>43437</v>
      </c>
      <c r="J203" t="str">
        <v>SCF</v>
      </c>
    </row>
    <row r="204">
      <c r="A204" t="str">
        <v>/FDT/</v>
      </c>
      <c r="B204" t="str">
        <v>C</v>
      </c>
      <c r="C204">
        <v>39041728191828020000</v>
      </c>
      <c r="D204" t="str">
        <v>X</v>
      </c>
      <c r="E204" t="str">
        <v>X</v>
      </c>
      <c r="F204" t="str">
        <v>X</v>
      </c>
      <c r="G204" t="str">
        <v>SAP</v>
      </c>
      <c r="H204">
        <v>39896</v>
      </c>
      <c r="J204" t="str">
        <v>SAP SE</v>
      </c>
    </row>
    <row r="205">
      <c r="A205" t="str">
        <v>/FINB/</v>
      </c>
      <c r="B205" t="str">
        <v>C</v>
      </c>
      <c r="C205">
        <v>28562650411834950000</v>
      </c>
      <c r="D205" t="str">
        <v>X</v>
      </c>
      <c r="E205" t="str">
        <v>X</v>
      </c>
      <c r="G205" t="str">
        <v>SAP</v>
      </c>
      <c r="H205">
        <v>37026</v>
      </c>
      <c r="J205" t="str">
        <v>Tools and Master Data Financials</v>
      </c>
    </row>
    <row r="206">
      <c r="A206" t="str">
        <v>/FLDQ/</v>
      </c>
      <c r="B206" t="str">
        <v>C</v>
      </c>
      <c r="C206">
        <v>39839911674007350000</v>
      </c>
      <c r="D206" t="str">
        <v>X</v>
      </c>
      <c r="E206" t="str">
        <v>X</v>
      </c>
      <c r="G206" t="str">
        <v>SAP</v>
      </c>
      <c r="H206">
        <v>43518</v>
      </c>
      <c r="J206" t="str">
        <v>SAP SE</v>
      </c>
    </row>
    <row r="207">
      <c r="A207" t="str">
        <v>/FLSC/</v>
      </c>
      <c r="B207" t="str">
        <v>C</v>
      </c>
      <c r="C207">
        <v>16683345160428116000</v>
      </c>
      <c r="G207" t="str">
        <v>RREKER</v>
      </c>
      <c r="H207">
        <v>42559</v>
      </c>
      <c r="J207" t="str">
        <v>Flowserve Name Space</v>
      </c>
    </row>
    <row r="208">
      <c r="A208" t="str">
        <v>/FMP/</v>
      </c>
      <c r="B208" t="str">
        <v>C</v>
      </c>
      <c r="C208">
        <v>15774062280328886000</v>
      </c>
      <c r="D208" t="str">
        <v>X</v>
      </c>
      <c r="E208" t="str">
        <v>X</v>
      </c>
      <c r="G208" t="str">
        <v>SAP</v>
      </c>
      <c r="H208">
        <v>42443</v>
      </c>
      <c r="J208" t="str">
        <v>Flexible Material Prices</v>
      </c>
    </row>
    <row r="209">
      <c r="A209" t="str">
        <v>/FRE/</v>
      </c>
      <c r="B209" t="str">
        <v>C</v>
      </c>
      <c r="C209">
        <v>8270715024232390000</v>
      </c>
      <c r="D209" t="str">
        <v>X</v>
      </c>
      <c r="E209" t="str">
        <v>X</v>
      </c>
      <c r="G209" t="str">
        <v>SAP</v>
      </c>
      <c r="H209">
        <v>43437</v>
      </c>
      <c r="J209" t="str">
        <v>Forecast &amp; Replenishment</v>
      </c>
    </row>
    <row r="210">
      <c r="A210" t="str">
        <v>/FSCAA/</v>
      </c>
      <c r="B210" t="str">
        <v>C</v>
      </c>
      <c r="C210">
        <v>16002868993930301000</v>
      </c>
      <c r="D210" t="str">
        <v>X</v>
      </c>
      <c r="E210" t="str">
        <v>X</v>
      </c>
      <c r="G210" t="str">
        <v>SAP</v>
      </c>
      <c r="H210">
        <v>40241</v>
      </c>
      <c r="J210" t="str">
        <v>SAP SE</v>
      </c>
    </row>
    <row r="211">
      <c r="A211" t="str">
        <v>/FSCMA/</v>
      </c>
      <c r="B211" t="str">
        <v>C</v>
      </c>
      <c r="C211">
        <v>39344001473233560000</v>
      </c>
      <c r="D211" t="str">
        <v>X</v>
      </c>
      <c r="G211" t="str">
        <v>SAP</v>
      </c>
      <c r="H211">
        <v>40235</v>
      </c>
      <c r="J211" t="str">
        <v>SAP SE</v>
      </c>
    </row>
    <row r="212">
      <c r="A212" t="str">
        <v>/FSIH/</v>
      </c>
      <c r="B212" t="str">
        <v>C</v>
      </c>
      <c r="C212">
        <v>16670768002410174000</v>
      </c>
      <c r="D212" t="str">
        <v>X</v>
      </c>
      <c r="E212" t="str">
        <v>X</v>
      </c>
      <c r="G212" t="str">
        <v>SAP</v>
      </c>
      <c r="H212">
        <v>40241</v>
      </c>
      <c r="J212" t="str">
        <v>SAP SE</v>
      </c>
    </row>
    <row r="213">
      <c r="A213" t="str">
        <v>/FSPM/</v>
      </c>
      <c r="B213" t="str">
        <v>C</v>
      </c>
      <c r="C213">
        <v>34692992992208820000</v>
      </c>
      <c r="D213" t="str">
        <v>X</v>
      </c>
      <c r="E213" t="str">
        <v>X</v>
      </c>
      <c r="G213" t="str">
        <v>SAP</v>
      </c>
      <c r="H213">
        <v>42698</v>
      </c>
      <c r="J213" t="str">
        <v>Policy Management</v>
      </c>
    </row>
    <row r="214">
      <c r="A214" t="str">
        <v>/FTI/</v>
      </c>
      <c r="B214" t="str">
        <v>C</v>
      </c>
      <c r="G214" t="str">
        <v>SAP</v>
      </c>
      <c r="H214">
        <v>41830</v>
      </c>
      <c r="J214" t="str">
        <v>BP-SolBld: Configuration Finetuning</v>
      </c>
    </row>
    <row r="215">
      <c r="A215" t="str">
        <v>/FVVD/</v>
      </c>
      <c r="B215" t="str">
        <v>C</v>
      </c>
      <c r="C215">
        <v>25913567673810520000</v>
      </c>
      <c r="E215" t="str">
        <v>X</v>
      </c>
      <c r="G215" t="str">
        <v>SAP</v>
      </c>
      <c r="H215">
        <v>37349</v>
      </c>
      <c r="J215" t="str">
        <v>FS-CML: Customer Projects with Retrofit to Standard</v>
      </c>
    </row>
    <row r="216">
      <c r="A216" t="str">
        <v>/GC1/</v>
      </c>
      <c r="B216" t="str">
        <v>C</v>
      </c>
      <c r="C216">
        <v>30612880804026114000</v>
      </c>
      <c r="D216" t="str">
        <v>X</v>
      </c>
      <c r="E216" t="str">
        <v>X</v>
      </c>
      <c r="G216" t="str">
        <v>SAP</v>
      </c>
      <c r="H216">
        <v>38263</v>
      </c>
      <c r="J216" t="str">
        <v>Persistent Garbage Collector</v>
      </c>
    </row>
    <row r="217">
      <c r="A217" t="str">
        <v>/GFS/</v>
      </c>
      <c r="B217" t="str">
        <v>C</v>
      </c>
      <c r="C217">
        <v>11672548172196674000</v>
      </c>
      <c r="E217" t="str">
        <v>X</v>
      </c>
      <c r="G217" t="str">
        <v>SAP</v>
      </c>
      <c r="H217">
        <v>38112</v>
      </c>
      <c r="J217" t="str">
        <v>Generic Fast Search</v>
      </c>
    </row>
    <row r="218">
      <c r="A218" t="str">
        <v>/GLF/</v>
      </c>
      <c r="B218" t="str">
        <v>C</v>
      </c>
      <c r="C218">
        <v>30684374132732400000</v>
      </c>
      <c r="D218" t="str">
        <v>X</v>
      </c>
      <c r="E218" t="str">
        <v>X</v>
      </c>
      <c r="F218" t="str">
        <v>X</v>
      </c>
      <c r="G218" t="str">
        <v>SAP</v>
      </c>
      <c r="H218">
        <v>40885</v>
      </c>
      <c r="J218" t="str">
        <v>SAP SE</v>
      </c>
    </row>
    <row r="219">
      <c r="A219" t="str">
        <v>/GRC/</v>
      </c>
      <c r="B219" t="str">
        <v>C</v>
      </c>
      <c r="C219">
        <v>16860353853652138000</v>
      </c>
      <c r="D219" t="str">
        <v>X</v>
      </c>
      <c r="E219" t="str">
        <v>X</v>
      </c>
      <c r="G219" t="str">
        <v>SAP</v>
      </c>
      <c r="H219">
        <v>39541</v>
      </c>
      <c r="J219" t="str">
        <v>GRC Integration</v>
      </c>
    </row>
    <row r="220">
      <c r="A220" t="str">
        <v>/GRCPI/</v>
      </c>
      <c r="B220" t="str">
        <v>C</v>
      </c>
      <c r="C220">
        <v>4406493023326954500</v>
      </c>
      <c r="D220" t="str">
        <v>X</v>
      </c>
      <c r="E220" t="str">
        <v>X</v>
      </c>
      <c r="G220" t="str">
        <v>SAP</v>
      </c>
      <c r="H220">
        <v>40078</v>
      </c>
      <c r="J220" t="str">
        <v>GRC PI</v>
      </c>
    </row>
    <row r="221">
      <c r="A221" t="str">
        <v>/GRCSPC/</v>
      </c>
      <c r="B221" t="str">
        <v>C</v>
      </c>
      <c r="C221">
        <v>1535258552511298800</v>
      </c>
      <c r="D221" t="str">
        <v>X</v>
      </c>
      <c r="E221" t="str">
        <v>X</v>
      </c>
      <c r="G221" t="str">
        <v>SAP</v>
      </c>
      <c r="H221">
        <v>43151</v>
      </c>
      <c r="J221" t="str">
        <v>GRCSPC Namespace</v>
      </c>
    </row>
    <row r="222">
      <c r="A222" t="str">
        <v>/GSINS/</v>
      </c>
      <c r="B222" t="str">
        <v>C</v>
      </c>
      <c r="D222" t="str">
        <v>X</v>
      </c>
      <c r="E222" t="str">
        <v>X</v>
      </c>
      <c r="G222" t="str">
        <v>SAP</v>
      </c>
      <c r="H222">
        <v>39854</v>
      </c>
      <c r="J222" t="str">
        <v>SAP SE</v>
      </c>
    </row>
    <row r="223">
      <c r="A223" t="str">
        <v>/IAM/</v>
      </c>
      <c r="B223" t="str">
        <v>C</v>
      </c>
      <c r="C223">
        <v>15191762121451835000</v>
      </c>
      <c r="D223" t="str">
        <v>X</v>
      </c>
      <c r="E223" t="str">
        <v>X</v>
      </c>
      <c r="G223" t="str">
        <v>SAP</v>
      </c>
      <c r="H223">
        <v>43103</v>
      </c>
      <c r="J223" t="str">
        <v>Issue and Activity Management</v>
      </c>
    </row>
    <row r="224">
      <c r="A224" t="str">
        <v>/IBASE/</v>
      </c>
      <c r="B224" t="str">
        <v>C</v>
      </c>
      <c r="D224" t="str">
        <v>X</v>
      </c>
      <c r="E224" t="str">
        <v>X</v>
      </c>
      <c r="G224" t="str">
        <v>SAP</v>
      </c>
      <c r="H224">
        <v>38413</v>
      </c>
      <c r="J224" t="str">
        <v>iBase Engine</v>
      </c>
    </row>
    <row r="225">
      <c r="A225" t="str">
        <v>/IBBJ/</v>
      </c>
      <c r="B225" t="str">
        <v>P</v>
      </c>
      <c r="C225">
        <v>14842182531313533000</v>
      </c>
      <c r="G225" t="str">
        <v>JAUMANN_B</v>
      </c>
      <c r="H225">
        <v>39656</v>
      </c>
    </row>
    <row r="226">
      <c r="A226" t="str">
        <v>/IBP/</v>
      </c>
      <c r="B226" t="str">
        <v>C</v>
      </c>
      <c r="C226">
        <v>14417240341553891000</v>
      </c>
      <c r="D226" t="str">
        <v>X</v>
      </c>
      <c r="E226" t="str">
        <v>X</v>
      </c>
      <c r="G226" t="str">
        <v>SAP</v>
      </c>
      <c r="H226">
        <v>42278</v>
      </c>
      <c r="J226" t="str">
        <v>SAP Integrated Business Planning</v>
      </c>
    </row>
    <row r="227">
      <c r="A227" t="str">
        <v>/IBS/</v>
      </c>
      <c r="B227" t="str">
        <v>C</v>
      </c>
      <c r="C227">
        <v>22161199853510615000</v>
      </c>
      <c r="D227" t="str">
        <v>X</v>
      </c>
      <c r="E227" t="str">
        <v>X</v>
      </c>
      <c r="G227" t="str">
        <v>SAP</v>
      </c>
      <c r="H227">
        <v>37498</v>
      </c>
      <c r="J227" t="str">
        <v>IBS AG - Innovative Banking Solutions - FS-CML</v>
      </c>
    </row>
    <row r="228">
      <c r="A228" t="str">
        <v>/IBX/</v>
      </c>
      <c r="B228" t="str">
        <v>C</v>
      </c>
      <c r="C228">
        <v>6516606442407169000</v>
      </c>
      <c r="D228" t="str">
        <v>X</v>
      </c>
      <c r="E228" t="str">
        <v>X</v>
      </c>
      <c r="G228" t="str">
        <v>SAP</v>
      </c>
      <c r="H228">
        <v>42466</v>
      </c>
      <c r="J228" t="str">
        <v>SAP SE</v>
      </c>
    </row>
    <row r="229">
      <c r="A229" t="str">
        <v>/ICAPPS/</v>
      </c>
      <c r="B229" t="str">
        <v>C</v>
      </c>
      <c r="G229" t="str">
        <v>SAP</v>
      </c>
      <c r="H229">
        <v>41900</v>
      </c>
      <c r="J229" t="str">
        <v>SAP sSuite Implementation Cockpit Applications</v>
      </c>
    </row>
    <row r="230">
      <c r="A230" t="str">
        <v>/ICMTEST/</v>
      </c>
      <c r="B230" t="str">
        <v>C</v>
      </c>
      <c r="C230">
        <v>10390749180859814000</v>
      </c>
      <c r="D230" t="str">
        <v>X</v>
      </c>
      <c r="E230" t="str">
        <v>X</v>
      </c>
      <c r="G230" t="str">
        <v>SAP</v>
      </c>
      <c r="H230">
        <v>40554</v>
      </c>
      <c r="J230" t="str">
        <v>SAP SE</v>
      </c>
    </row>
    <row r="231">
      <c r="A231" t="str">
        <v>/ILE/</v>
      </c>
      <c r="B231" t="str">
        <v>C</v>
      </c>
      <c r="C231">
        <v>34371580411990364000</v>
      </c>
      <c r="D231" t="str">
        <v>X</v>
      </c>
      <c r="G231" t="str">
        <v>SAP</v>
      </c>
      <c r="H231">
        <v>42426</v>
      </c>
      <c r="J231" t="str">
        <v>Israeli  Localization for ERP (Annexing)</v>
      </c>
    </row>
    <row r="232">
      <c r="A232" t="str">
        <v>/ILM/</v>
      </c>
      <c r="B232" t="str">
        <v>C</v>
      </c>
      <c r="C232">
        <v>32196294392772860000</v>
      </c>
      <c r="D232" t="str">
        <v>X</v>
      </c>
      <c r="E232" t="str">
        <v>X</v>
      </c>
      <c r="G232" t="str">
        <v>SAP</v>
      </c>
      <c r="H232">
        <v>39559</v>
      </c>
      <c r="J232" t="str">
        <v>SAP SE</v>
      </c>
    </row>
    <row r="233">
      <c r="A233" t="str">
        <v>/INCMD/</v>
      </c>
      <c r="B233" t="str">
        <v>C</v>
      </c>
      <c r="C233">
        <v>24502224201348223000</v>
      </c>
      <c r="D233" t="str">
        <v>X</v>
      </c>
      <c r="E233" t="str">
        <v>X</v>
      </c>
      <c r="G233" t="str">
        <v>SAP</v>
      </c>
      <c r="H233">
        <v>42380</v>
      </c>
      <c r="J233" t="str">
        <v>Interchangeability Master Data</v>
      </c>
    </row>
    <row r="234">
      <c r="A234" t="str">
        <v>/IPRO/</v>
      </c>
      <c r="B234" t="str">
        <v>C</v>
      </c>
      <c r="C234">
        <v>35414708541919773000</v>
      </c>
      <c r="D234" t="str">
        <v>X</v>
      </c>
      <c r="E234" t="str">
        <v>X</v>
      </c>
      <c r="G234" t="str">
        <v>SAP</v>
      </c>
      <c r="H234">
        <v>39780</v>
      </c>
      <c r="J234" t="str">
        <v>Document Builder</v>
      </c>
    </row>
    <row r="235">
      <c r="A235" t="str">
        <v>/ISDFPS/</v>
      </c>
      <c r="B235" t="str">
        <v>C</v>
      </c>
      <c r="C235">
        <v>6708503903628826000</v>
      </c>
      <c r="D235" t="str">
        <v>X</v>
      </c>
      <c r="E235" t="str">
        <v>X</v>
      </c>
      <c r="G235" t="str">
        <v>SAP</v>
      </c>
      <c r="H235">
        <v>39314</v>
      </c>
      <c r="J235" t="str">
        <v>EA-DFPS</v>
      </c>
    </row>
    <row r="236">
      <c r="A236" t="str">
        <v>/ISHCDP/</v>
      </c>
      <c r="B236" t="str">
        <v>C</v>
      </c>
      <c r="G236" t="str">
        <v>SAP</v>
      </c>
      <c r="H236">
        <v>42578</v>
      </c>
    </row>
    <row r="237">
      <c r="A237" t="str">
        <v>/ISHFR/</v>
      </c>
      <c r="B237" t="str">
        <v>C</v>
      </c>
      <c r="D237" t="str">
        <v>X</v>
      </c>
      <c r="E237" t="str">
        <v>X</v>
      </c>
      <c r="G237" t="str">
        <v>SAP</v>
      </c>
      <c r="H237">
        <v>42578</v>
      </c>
      <c r="J237" t="str">
        <v>SAP SE</v>
      </c>
    </row>
    <row r="238">
      <c r="A238" t="str">
        <v>/ISIDEX/</v>
      </c>
      <c r="B238" t="str">
        <v>C</v>
      </c>
      <c r="C238">
        <v>17432682920638032000</v>
      </c>
      <c r="E238" t="str">
        <v>X</v>
      </c>
      <c r="G238" t="str">
        <v>SAP</v>
      </c>
      <c r="H238">
        <v>38394</v>
      </c>
      <c r="J238" t="str">
        <v>IDEX</v>
      </c>
    </row>
    <row r="239">
      <c r="A239" t="str">
        <v>/IWBEP/</v>
      </c>
      <c r="B239" t="str">
        <v>C</v>
      </c>
      <c r="C239">
        <v>22449533970168650000</v>
      </c>
      <c r="D239" t="str">
        <v>X</v>
      </c>
      <c r="E239" t="str">
        <v>X</v>
      </c>
      <c r="G239" t="str">
        <v>SAP</v>
      </c>
      <c r="H239">
        <v>41208</v>
      </c>
      <c r="J239" t="str">
        <v>SAP SE</v>
      </c>
    </row>
    <row r="240">
      <c r="A240" t="str">
        <v>/IWCOR/</v>
      </c>
      <c r="B240" t="str">
        <v>C</v>
      </c>
      <c r="C240">
        <v>30798364300428734000</v>
      </c>
      <c r="D240" t="str">
        <v>X</v>
      </c>
      <c r="E240" t="str">
        <v>X</v>
      </c>
      <c r="G240" t="str">
        <v>SAP</v>
      </c>
      <c r="H240">
        <v>41208</v>
      </c>
      <c r="J240" t="str">
        <v>SAP SE</v>
      </c>
    </row>
    <row r="241">
      <c r="A241" t="str">
        <v>/IWFND/</v>
      </c>
      <c r="B241" t="str">
        <v>C</v>
      </c>
      <c r="C241">
        <v>39476943371538530000</v>
      </c>
      <c r="D241" t="str">
        <v>X</v>
      </c>
      <c r="E241" t="str">
        <v>X</v>
      </c>
      <c r="G241" t="str">
        <v>SAP</v>
      </c>
      <c r="H241">
        <v>41213</v>
      </c>
      <c r="J241" t="str">
        <v>SAP SE</v>
      </c>
    </row>
    <row r="242">
      <c r="A242" t="str">
        <v>/IWHDB/</v>
      </c>
      <c r="B242" t="str">
        <v>C</v>
      </c>
      <c r="C242">
        <v>16562346552340998000</v>
      </c>
      <c r="D242" t="str">
        <v>X</v>
      </c>
      <c r="E242" t="str">
        <v>X</v>
      </c>
      <c r="G242" t="str">
        <v>SAP</v>
      </c>
      <c r="H242">
        <v>41208</v>
      </c>
      <c r="J242" t="str">
        <v>SAP SE</v>
      </c>
    </row>
    <row r="243">
      <c r="A243" t="str">
        <v>/IWNGW/</v>
      </c>
      <c r="B243" t="str">
        <v>C</v>
      </c>
      <c r="C243">
        <v>478215081136353100</v>
      </c>
      <c r="G243" t="str">
        <v>SAP</v>
      </c>
      <c r="H243">
        <v>42298</v>
      </c>
    </row>
    <row r="244">
      <c r="A244" t="str">
        <v>/IWPGW/</v>
      </c>
      <c r="B244" t="str">
        <v>C</v>
      </c>
      <c r="C244">
        <v>8158134390752103000</v>
      </c>
      <c r="D244" t="str">
        <v>X</v>
      </c>
      <c r="E244" t="str">
        <v>X</v>
      </c>
      <c r="G244" t="str">
        <v>SAP</v>
      </c>
      <c r="H244">
        <v>42503</v>
      </c>
      <c r="J244" t="str">
        <v>SAP SE</v>
      </c>
    </row>
    <row r="245">
      <c r="A245" t="str">
        <v>/IWWRK/</v>
      </c>
      <c r="B245" t="str">
        <v>C</v>
      </c>
      <c r="C245">
        <v>42238727291774000000</v>
      </c>
      <c r="D245" t="str">
        <v>X</v>
      </c>
      <c r="E245" t="str">
        <v>X</v>
      </c>
      <c r="G245" t="str">
        <v>SAP</v>
      </c>
      <c r="H245">
        <v>41208</v>
      </c>
      <c r="J245" t="str">
        <v>SAP SE</v>
      </c>
    </row>
    <row r="246">
      <c r="A246" t="str">
        <v>/IWXBE/</v>
      </c>
      <c r="B246" t="str">
        <v>C</v>
      </c>
      <c r="C246">
        <v>6350318954155301000</v>
      </c>
      <c r="G246" t="str">
        <v>SAP</v>
      </c>
      <c r="H246">
        <v>42837</v>
      </c>
      <c r="J246" t="str">
        <v>Exchange of Events</v>
      </c>
    </row>
    <row r="247">
      <c r="A247" t="str">
        <v>/IXOS/</v>
      </c>
      <c r="B247" t="str">
        <v>C</v>
      </c>
      <c r="C247">
        <v>38878326793370700000</v>
      </c>
      <c r="G247" t="str">
        <v>SAP</v>
      </c>
      <c r="H247">
        <v>44048</v>
      </c>
      <c r="J247" t="str">
        <v>OpenText Development ADA</v>
      </c>
    </row>
    <row r="248">
      <c r="A248" t="str">
        <v>/J7L/</v>
      </c>
      <c r="B248" t="str">
        <v>C</v>
      </c>
      <c r="C248">
        <v>25222696272974540000</v>
      </c>
      <c r="G248" t="str">
        <v>SAP</v>
      </c>
      <c r="H248">
        <v>38625</v>
      </c>
      <c r="J248" t="str">
        <v>REA Recycling Administration German</v>
      </c>
    </row>
    <row r="249">
      <c r="A249" t="str">
        <v>/KAYAK/</v>
      </c>
      <c r="B249" t="str">
        <v>C</v>
      </c>
      <c r="C249">
        <v>6195028263001904000</v>
      </c>
      <c r="D249" t="str">
        <v>X</v>
      </c>
      <c r="E249" t="str">
        <v>X</v>
      </c>
      <c r="G249" t="str">
        <v>SAP</v>
      </c>
      <c r="H249">
        <v>39154</v>
      </c>
      <c r="J249" t="str">
        <v>SAP SE</v>
      </c>
    </row>
    <row r="250">
      <c r="A250" t="str">
        <v>/KJCH1/</v>
      </c>
      <c r="B250" t="str">
        <v>C</v>
      </c>
      <c r="C250">
        <v>21559774350038327000</v>
      </c>
      <c r="D250" t="str">
        <v>X</v>
      </c>
      <c r="G250" t="str">
        <v>SAP</v>
      </c>
      <c r="H250">
        <v>38706</v>
      </c>
      <c r="J250" t="str">
        <v>SAP SE</v>
      </c>
    </row>
    <row r="251">
      <c r="A251" t="str">
        <v>/KJEDM/</v>
      </c>
      <c r="B251" t="str">
        <v>C</v>
      </c>
      <c r="C251">
        <v>19662851380478240000</v>
      </c>
      <c r="D251" t="str">
        <v>X</v>
      </c>
      <c r="E251" t="str">
        <v>X</v>
      </c>
      <c r="G251" t="str">
        <v>SAP</v>
      </c>
      <c r="H251">
        <v>42510</v>
      </c>
      <c r="J251" t="str">
        <v>SAP SE</v>
      </c>
    </row>
    <row r="252">
      <c r="A252" t="str">
        <v>/KJRTAX01/</v>
      </c>
      <c r="B252" t="str">
        <v>C</v>
      </c>
      <c r="C252">
        <v>26105424661004095000</v>
      </c>
      <c r="D252" t="str">
        <v>X</v>
      </c>
      <c r="G252" t="str">
        <v>SAP</v>
      </c>
      <c r="H252">
        <v>39581</v>
      </c>
      <c r="J252" t="str">
        <v>SAP SE</v>
      </c>
    </row>
    <row r="253">
      <c r="A253" t="str">
        <v>/KWCUST/</v>
      </c>
      <c r="B253" t="str">
        <v>C</v>
      </c>
      <c r="D253" t="str">
        <v>X</v>
      </c>
      <c r="G253" t="str">
        <v>SAP</v>
      </c>
      <c r="H253">
        <v>36333</v>
      </c>
      <c r="J253" t="str">
        <v>Knowledge Warehouse: Customer Namespace</v>
      </c>
    </row>
    <row r="254">
      <c r="A254" t="str">
        <v>/KYK/</v>
      </c>
      <c r="B254" t="str">
        <v>C</v>
      </c>
      <c r="C254">
        <v>16805120752983046000</v>
      </c>
      <c r="D254" t="str">
        <v>X</v>
      </c>
      <c r="E254" t="str">
        <v>X</v>
      </c>
      <c r="G254" t="str">
        <v>SAP</v>
      </c>
      <c r="H254">
        <v>39272</v>
      </c>
      <c r="J254" t="str">
        <v>Namespace Kayak</v>
      </c>
    </row>
    <row r="255">
      <c r="A255" t="str">
        <v>/LIME/</v>
      </c>
      <c r="B255" t="str">
        <v>C</v>
      </c>
      <c r="C255">
        <v>14195725480268026000</v>
      </c>
      <c r="D255" t="str">
        <v>X</v>
      </c>
      <c r="G255" t="str">
        <v>SAP</v>
      </c>
      <c r="H255">
        <v>43248</v>
      </c>
      <c r="J255" t="str">
        <v>/LIME/</v>
      </c>
    </row>
    <row r="256">
      <c r="A256" t="str">
        <v>/LIMEB/</v>
      </c>
      <c r="B256" t="str">
        <v>C</v>
      </c>
      <c r="C256">
        <v>26221903001544794000</v>
      </c>
      <c r="D256" t="str">
        <v>X</v>
      </c>
      <c r="G256" t="str">
        <v>SAP</v>
      </c>
      <c r="H256">
        <v>38401</v>
      </c>
      <c r="J256" t="str">
        <v>LIME Basis</v>
      </c>
    </row>
    <row r="257">
      <c r="A257" t="str">
        <v>/LSIERP/</v>
      </c>
      <c r="B257" t="str">
        <v>C</v>
      </c>
      <c r="C257">
        <v>33949441371725287000</v>
      </c>
      <c r="D257" t="str">
        <v>X</v>
      </c>
      <c r="E257" t="str">
        <v>X</v>
      </c>
      <c r="G257" t="str">
        <v>SAP</v>
      </c>
      <c r="H257">
        <v>39316</v>
      </c>
      <c r="J257" t="str">
        <v>SAP SE</v>
      </c>
    </row>
    <row r="258">
      <c r="A258" t="str">
        <v>/LSO/</v>
      </c>
      <c r="B258" t="str">
        <v>C</v>
      </c>
      <c r="C258">
        <v>39253527823855220000</v>
      </c>
      <c r="E258" t="str">
        <v>X</v>
      </c>
      <c r="G258" t="str">
        <v>SAP</v>
      </c>
      <c r="H258">
        <v>37343</v>
      </c>
      <c r="J258" t="str">
        <v>SAP Learning Solution</v>
      </c>
    </row>
    <row r="259">
      <c r="A259" t="str">
        <v>/LTB/</v>
      </c>
      <c r="B259" t="str">
        <v>C</v>
      </c>
      <c r="C259">
        <v>17898220912627900000</v>
      </c>
      <c r="D259" t="str">
        <v>X</v>
      </c>
      <c r="E259" t="str">
        <v>X</v>
      </c>
      <c r="G259" t="str">
        <v>SAP</v>
      </c>
      <c r="H259">
        <v>43776</v>
      </c>
      <c r="J259" t="str">
        <v>SAP SE</v>
      </c>
    </row>
    <row r="260">
      <c r="A260" t="str">
        <v>/MACCRM/</v>
      </c>
      <c r="B260" t="str">
        <v>C</v>
      </c>
      <c r="C260">
        <v>10024999673949968000</v>
      </c>
      <c r="D260" t="str">
        <v>X</v>
      </c>
      <c r="G260" t="str">
        <v>SAP</v>
      </c>
      <c r="H260">
        <v>43214</v>
      </c>
      <c r="J260" t="str">
        <v>Multiple Asset Contracts on CRM</v>
      </c>
    </row>
    <row r="261">
      <c r="A261" t="str">
        <v>/MDG/</v>
      </c>
      <c r="B261" t="str">
        <v>C</v>
      </c>
      <c r="C261">
        <v>11364835240483709000</v>
      </c>
      <c r="D261" t="str">
        <v>X</v>
      </c>
      <c r="G261" t="str">
        <v>SAP</v>
      </c>
      <c r="H261">
        <v>40584</v>
      </c>
      <c r="J261" t="str">
        <v>SAP SE</v>
      </c>
    </row>
    <row r="262">
      <c r="A262" t="str">
        <v>/MDGBP/</v>
      </c>
      <c r="B262" t="str">
        <v>C</v>
      </c>
      <c r="C262">
        <v>9169795630879352000</v>
      </c>
      <c r="D262" t="str">
        <v>X</v>
      </c>
      <c r="G262" t="str">
        <v>SAP</v>
      </c>
      <c r="H262">
        <v>43004</v>
      </c>
      <c r="J262" t="str">
        <v>SAP SE</v>
      </c>
    </row>
    <row r="263">
      <c r="A263" t="str">
        <v>/MDGBPX/</v>
      </c>
      <c r="B263" t="str">
        <v>C</v>
      </c>
      <c r="C263">
        <v>39765835942724920000</v>
      </c>
      <c r="D263" t="str">
        <v>X</v>
      </c>
      <c r="G263" t="str">
        <v>SAP</v>
      </c>
      <c r="H263">
        <v>43004</v>
      </c>
      <c r="J263" t="str">
        <v>SAP SE</v>
      </c>
    </row>
    <row r="264">
      <c r="A264" t="str">
        <v>/MDGCLF/</v>
      </c>
      <c r="B264" t="str">
        <v>C</v>
      </c>
      <c r="C264">
        <v>36733949903739710000</v>
      </c>
      <c r="G264" t="str">
        <v>SAP</v>
      </c>
      <c r="H264">
        <v>40050</v>
      </c>
    </row>
    <row r="265">
      <c r="A265" t="str">
        <v>/MDGFIN/</v>
      </c>
      <c r="B265" t="str">
        <v>C</v>
      </c>
      <c r="C265">
        <v>10302780660977308000</v>
      </c>
      <c r="D265" t="str">
        <v>X</v>
      </c>
      <c r="G265" t="str">
        <v>SAP</v>
      </c>
      <c r="H265">
        <v>40590</v>
      </c>
      <c r="J265" t="str">
        <v>SAP SE</v>
      </c>
    </row>
    <row r="266">
      <c r="A266" t="str">
        <v>/MDGMM/</v>
      </c>
      <c r="B266" t="str">
        <v>C</v>
      </c>
      <c r="C266">
        <v>1004901830636552600</v>
      </c>
      <c r="D266" t="str">
        <v>X</v>
      </c>
      <c r="E266" t="str">
        <v>X</v>
      </c>
      <c r="G266" t="str">
        <v>SAP</v>
      </c>
      <c r="H266">
        <v>43214</v>
      </c>
      <c r="J266" t="str">
        <v>SAP SE</v>
      </c>
    </row>
    <row r="267">
      <c r="A267" t="str">
        <v>/MERP/</v>
      </c>
      <c r="B267" t="str">
        <v>C</v>
      </c>
      <c r="C267">
        <v>27631021501588066000</v>
      </c>
      <c r="D267" t="str">
        <v>X</v>
      </c>
      <c r="E267" t="str">
        <v>X</v>
      </c>
      <c r="G267" t="str">
        <v>SAP</v>
      </c>
      <c r="H267">
        <v>43398</v>
      </c>
      <c r="J267" t="str">
        <v>SAP SE</v>
      </c>
    </row>
    <row r="268">
      <c r="A268" t="str">
        <v>/MEWM/</v>
      </c>
      <c r="B268" t="str">
        <v>C</v>
      </c>
      <c r="C268">
        <v>34049790190728753000</v>
      </c>
      <c r="D268" t="str">
        <v>X</v>
      </c>
      <c r="E268" t="str">
        <v>X</v>
      </c>
      <c r="G268" t="str">
        <v>SAP</v>
      </c>
      <c r="H268">
        <v>43475</v>
      </c>
      <c r="J268" t="str">
        <v>SAP SE</v>
      </c>
    </row>
    <row r="269">
      <c r="A269" t="str">
        <v>/MFND/</v>
      </c>
      <c r="B269" t="str">
        <v>C</v>
      </c>
      <c r="C269">
        <v>10468220383846582000</v>
      </c>
      <c r="D269" t="str">
        <v>X</v>
      </c>
      <c r="E269" t="str">
        <v>X</v>
      </c>
      <c r="G269" t="str">
        <v>SAP</v>
      </c>
      <c r="H269">
        <v>43297</v>
      </c>
      <c r="J269" t="str">
        <v>SAP SE</v>
      </c>
    </row>
    <row r="270">
      <c r="A270" t="str">
        <v>/MISU/</v>
      </c>
      <c r="B270" t="str">
        <v>C</v>
      </c>
      <c r="C270">
        <v>5812031823861832000</v>
      </c>
      <c r="D270" t="str">
        <v>X</v>
      </c>
      <c r="E270" t="str">
        <v>X</v>
      </c>
      <c r="G270" t="str">
        <v>SAP</v>
      </c>
      <c r="H270">
        <v>43250</v>
      </c>
      <c r="J270" t="str">
        <v>SAP SE</v>
      </c>
    </row>
    <row r="271">
      <c r="A271" t="str">
        <v>/ML1/</v>
      </c>
      <c r="B271" t="str">
        <v>C</v>
      </c>
      <c r="C271">
        <v>23297433932110820000</v>
      </c>
      <c r="D271" t="str">
        <v>X</v>
      </c>
      <c r="E271" t="str">
        <v>X</v>
      </c>
      <c r="F271" t="str">
        <v>X</v>
      </c>
      <c r="G271" t="str">
        <v>SAP</v>
      </c>
      <c r="H271">
        <v>40885</v>
      </c>
      <c r="J271" t="str">
        <v>SAP SE</v>
      </c>
    </row>
    <row r="272">
      <c r="A272" t="str">
        <v>/MOC/</v>
      </c>
      <c r="B272" t="str">
        <v>C</v>
      </c>
      <c r="C272">
        <v>11124964711723618000</v>
      </c>
      <c r="D272" t="str">
        <v>X</v>
      </c>
      <c r="E272" t="str">
        <v>X</v>
      </c>
      <c r="G272" t="str">
        <v>SAP</v>
      </c>
      <c r="H272">
        <v>43172</v>
      </c>
      <c r="J272" t="str">
        <v>SAP SE</v>
      </c>
    </row>
    <row r="273">
      <c r="A273" t="str">
        <v>/MSG/</v>
      </c>
      <c r="B273" t="str">
        <v>C</v>
      </c>
      <c r="C273">
        <v>17575405583594498000</v>
      </c>
      <c r="G273" t="str">
        <v>SAP</v>
      </c>
      <c r="H273">
        <v>43164</v>
      </c>
      <c r="J273" t="str">
        <v>msg Insurance Applications</v>
      </c>
    </row>
    <row r="274">
      <c r="A274" t="str">
        <v>/MVA/</v>
      </c>
      <c r="B274" t="str">
        <v>C</v>
      </c>
      <c r="C274">
        <v>42627356904095140000</v>
      </c>
      <c r="D274" t="str">
        <v>X</v>
      </c>
      <c r="G274" t="str">
        <v>SAP</v>
      </c>
      <c r="H274">
        <v>43157</v>
      </c>
      <c r="J274" t="str">
        <v>SAP FS-PM for Auto Insurance (Namespace for Development)</v>
      </c>
    </row>
    <row r="275">
      <c r="A275" t="str">
        <v>/NFM/</v>
      </c>
      <c r="B275" t="str">
        <v>C</v>
      </c>
      <c r="C275">
        <v>1956693852012040200</v>
      </c>
      <c r="E275" t="str">
        <v>X</v>
      </c>
      <c r="G275" t="str">
        <v>SAP</v>
      </c>
      <c r="H275">
        <v>38230</v>
      </c>
      <c r="J275" t="str">
        <v>NFM</v>
      </c>
    </row>
    <row r="276">
      <c r="A276" t="str">
        <v>/OEWB/</v>
      </c>
      <c r="B276" t="str">
        <v>C</v>
      </c>
      <c r="C276">
        <v>29976073202370007000</v>
      </c>
      <c r="D276" t="str">
        <v>X</v>
      </c>
      <c r="G276" t="str">
        <v>SAP</v>
      </c>
      <c r="H276">
        <v>43329</v>
      </c>
      <c r="J276" t="str">
        <v>SAP SE</v>
      </c>
    </row>
    <row r="277">
      <c r="A277" t="str">
        <v>/OLC/</v>
      </c>
      <c r="B277" t="str">
        <v>C</v>
      </c>
      <c r="C277">
        <v>13157963382432311000</v>
      </c>
      <c r="D277" t="str">
        <v>X</v>
      </c>
      <c r="E277" t="str">
        <v>X</v>
      </c>
      <c r="G277" t="str">
        <v>SAP</v>
      </c>
      <c r="H277">
        <v>39351</v>
      </c>
      <c r="J277" t="str">
        <v>Costs on Transaction Level</v>
      </c>
    </row>
    <row r="278">
      <c r="A278" t="str">
        <v>/OPT/</v>
      </c>
      <c r="B278" t="str">
        <v>C</v>
      </c>
      <c r="C278">
        <v>13993623243568003000</v>
      </c>
      <c r="G278" t="str">
        <v>SAP</v>
      </c>
      <c r="H278">
        <v>42104</v>
      </c>
      <c r="J278" t="str">
        <v>Open Text Name space</v>
      </c>
    </row>
    <row r="279">
      <c r="A279" t="str">
        <v>/ORM/</v>
      </c>
      <c r="B279" t="str">
        <v>C</v>
      </c>
      <c r="C279">
        <v>10438447953050147000</v>
      </c>
      <c r="D279" t="str">
        <v>X</v>
      </c>
      <c r="E279" t="str">
        <v>X</v>
      </c>
      <c r="G279" t="str">
        <v>SAP</v>
      </c>
      <c r="H279">
        <v>43151</v>
      </c>
      <c r="J279" t="str">
        <v>Operational Risk Management</v>
      </c>
    </row>
    <row r="280">
      <c r="A280" t="str">
        <v>/ORS/</v>
      </c>
      <c r="B280" t="str">
        <v>C</v>
      </c>
      <c r="C280">
        <v>2064504963668113700</v>
      </c>
      <c r="G280" t="str">
        <v>SAP</v>
      </c>
      <c r="H280">
        <v>41901</v>
      </c>
      <c r="J280" t="str">
        <v>Open Text Name space</v>
      </c>
    </row>
    <row r="281">
      <c r="A281" t="str">
        <v>/OSP/</v>
      </c>
      <c r="B281" t="str">
        <v>C</v>
      </c>
      <c r="C281">
        <v>22496081213135050000</v>
      </c>
      <c r="D281" t="str">
        <v>X</v>
      </c>
      <c r="E281" t="str">
        <v>X</v>
      </c>
      <c r="G281" t="str">
        <v>SAP</v>
      </c>
      <c r="H281">
        <v>39959</v>
      </c>
      <c r="J281" t="str">
        <v>SAP Office Suite Program</v>
      </c>
    </row>
    <row r="282">
      <c r="A282" t="str">
        <v>/OTBCS4/</v>
      </c>
      <c r="B282" t="str">
        <v>C</v>
      </c>
      <c r="C282">
        <v>28193765721665163000</v>
      </c>
      <c r="G282" t="str">
        <v>SAP</v>
      </c>
      <c r="H282">
        <v>43523</v>
      </c>
      <c r="J282" t="str">
        <v>Opentext Business Center Foundation</v>
      </c>
    </row>
    <row r="283">
      <c r="A283" t="str">
        <v>/OTBCWUI/</v>
      </c>
      <c r="B283" t="str">
        <v>C</v>
      </c>
      <c r="C283">
        <v>26008568862373920000</v>
      </c>
      <c r="G283" t="str">
        <v>SAP</v>
      </c>
      <c r="H283">
        <v>43006</v>
      </c>
      <c r="J283" t="str">
        <v>OpenText Business Center Web UI</v>
      </c>
    </row>
    <row r="284">
      <c r="A284" t="str">
        <v>/OTEB/</v>
      </c>
      <c r="B284" t="str">
        <v>C</v>
      </c>
      <c r="C284">
        <v>10075851431921267000</v>
      </c>
      <c r="G284" t="str">
        <v>SAP</v>
      </c>
      <c r="H284">
        <v>44048</v>
      </c>
      <c r="J284" t="str">
        <v>OpenText Extended Base</v>
      </c>
    </row>
    <row r="285">
      <c r="A285" t="str">
        <v>/OTEXBAS/</v>
      </c>
      <c r="B285" t="str">
        <v>C</v>
      </c>
      <c r="C285">
        <v>10766992430106814000</v>
      </c>
      <c r="G285" t="str">
        <v>SAP</v>
      </c>
      <c r="H285">
        <v>44048</v>
      </c>
      <c r="J285" t="str">
        <v>OpenText ADA basis package</v>
      </c>
    </row>
    <row r="286">
      <c r="A286" t="str">
        <v>/OTEXVIM/</v>
      </c>
      <c r="B286" t="str">
        <v>C</v>
      </c>
      <c r="C286">
        <v>2263251723180278300</v>
      </c>
      <c r="G286" t="str">
        <v>SAP</v>
      </c>
      <c r="H286">
        <v>42964</v>
      </c>
      <c r="J286" t="str">
        <v>Opentext Namespace</v>
      </c>
    </row>
    <row r="287">
      <c r="A287" t="str">
        <v>/OTVIMCDS/</v>
      </c>
      <c r="B287" t="str">
        <v>C</v>
      </c>
      <c r="C287">
        <v>11204848101569292000</v>
      </c>
      <c r="G287" t="str">
        <v>SAP</v>
      </c>
      <c r="H287">
        <v>42241</v>
      </c>
      <c r="J287" t="str">
        <v>Open Text - VIM 7.5 ABAP CDS Views</v>
      </c>
    </row>
    <row r="288">
      <c r="A288" t="str">
        <v>/OTVIMS4/</v>
      </c>
      <c r="B288" t="str">
        <v>C</v>
      </c>
      <c r="C288">
        <v>16776209980366959000</v>
      </c>
      <c r="G288" t="str">
        <v>SAP</v>
      </c>
      <c r="H288">
        <v>42446</v>
      </c>
      <c r="J288" t="str">
        <v>Open Text - VIM – Additions for S4HANA</v>
      </c>
    </row>
    <row r="289">
      <c r="A289" t="str">
        <v>/OTX/</v>
      </c>
      <c r="B289" t="str">
        <v>C</v>
      </c>
      <c r="C289">
        <v>19385046062347730000</v>
      </c>
      <c r="G289" t="str">
        <v>SAP</v>
      </c>
      <c r="H289">
        <v>42769</v>
      </c>
      <c r="J289" t="str">
        <v>OpenText Development ADA, xECM and others</v>
      </c>
    </row>
    <row r="290">
      <c r="A290" t="str">
        <v>/PAI0/</v>
      </c>
      <c r="B290" t="str">
        <v>C</v>
      </c>
      <c r="C290">
        <v>24791231722843177000</v>
      </c>
      <c r="F290" t="str">
        <v>X</v>
      </c>
      <c r="G290" t="str">
        <v>SAP</v>
      </c>
      <c r="H290">
        <v>42816</v>
      </c>
    </row>
    <row r="291">
      <c r="A291" t="str">
        <v>/PC1/</v>
      </c>
      <c r="B291" t="str">
        <v>C</v>
      </c>
      <c r="C291">
        <v>20418383533635867000</v>
      </c>
      <c r="D291" t="str">
        <v>X</v>
      </c>
      <c r="E291" t="str">
        <v>X</v>
      </c>
      <c r="F291" t="str">
        <v>X</v>
      </c>
      <c r="G291" t="str">
        <v>SAP</v>
      </c>
      <c r="H291">
        <v>40886</v>
      </c>
      <c r="J291" t="str">
        <v>SAP SE</v>
      </c>
    </row>
    <row r="292">
      <c r="A292" t="str">
        <v>/PF1/</v>
      </c>
      <c r="B292" t="str">
        <v>C</v>
      </c>
      <c r="C292">
        <v>12134833321063770000</v>
      </c>
      <c r="D292" t="str">
        <v>X</v>
      </c>
      <c r="E292" t="str">
        <v>X</v>
      </c>
      <c r="G292" t="str">
        <v>SAP</v>
      </c>
      <c r="H292">
        <v>43815</v>
      </c>
      <c r="J292" t="str">
        <v>SAP SE</v>
      </c>
    </row>
    <row r="293">
      <c r="A293" t="str">
        <v>/PICM/</v>
      </c>
      <c r="B293" t="str">
        <v>C</v>
      </c>
      <c r="C293">
        <v>1772828422567752700</v>
      </c>
      <c r="D293" t="str">
        <v>X</v>
      </c>
      <c r="E293" t="str">
        <v>X</v>
      </c>
      <c r="G293" t="str">
        <v>SAP</v>
      </c>
      <c r="H293">
        <v>42828</v>
      </c>
      <c r="J293" t="str">
        <v>SAP SE</v>
      </c>
    </row>
    <row r="294">
      <c r="A294" t="str">
        <v>/PLMB/</v>
      </c>
      <c r="B294" t="str">
        <v>C</v>
      </c>
      <c r="C294">
        <v>20115586083497170000</v>
      </c>
      <c r="D294" t="str">
        <v>X</v>
      </c>
      <c r="E294" t="str">
        <v>X</v>
      </c>
      <c r="G294" t="str">
        <v>SAP</v>
      </c>
      <c r="H294">
        <v>42172</v>
      </c>
      <c r="J294" t="str">
        <v>PLM Core Basis</v>
      </c>
    </row>
    <row r="295">
      <c r="A295" t="str">
        <v>/PLMI/</v>
      </c>
      <c r="B295" t="str">
        <v>C</v>
      </c>
      <c r="C295">
        <v>22123352561902846000</v>
      </c>
      <c r="D295" t="str">
        <v>X</v>
      </c>
      <c r="E295" t="str">
        <v>X</v>
      </c>
      <c r="G295" t="str">
        <v>SAP</v>
      </c>
      <c r="H295">
        <v>42457</v>
      </c>
      <c r="J295" t="str">
        <v>PLM Core ERP Integration</v>
      </c>
    </row>
    <row r="296">
      <c r="A296" t="str">
        <v>/PLMPCV/</v>
      </c>
      <c r="B296" t="str">
        <v>C</v>
      </c>
      <c r="C296">
        <v>24920125653371544000</v>
      </c>
      <c r="D296" t="str">
        <v>X</v>
      </c>
      <c r="E296" t="str">
        <v>X</v>
      </c>
      <c r="G296" t="str">
        <v>SAP</v>
      </c>
      <c r="H296">
        <v>39638</v>
      </c>
      <c r="J296" t="str">
        <v>PLM Product Centric View</v>
      </c>
    </row>
    <row r="297">
      <c r="A297" t="str">
        <v>/PLMU/</v>
      </c>
      <c r="B297" t="str">
        <v>C</v>
      </c>
      <c r="C297">
        <v>21556169111027520000</v>
      </c>
      <c r="D297" t="str">
        <v>X</v>
      </c>
      <c r="E297" t="str">
        <v>X</v>
      </c>
      <c r="G297" t="str">
        <v>SAP</v>
      </c>
      <c r="H297">
        <v>39729</v>
      </c>
      <c r="J297" t="str">
        <v>PLM Core User Interface</v>
      </c>
    </row>
    <row r="298">
      <c r="A298" t="str">
        <v>/PM0/</v>
      </c>
      <c r="B298" t="str">
        <v>C</v>
      </c>
      <c r="C298">
        <v>10641472530223782000</v>
      </c>
      <c r="D298" t="str">
        <v>X</v>
      </c>
      <c r="E298" t="str">
        <v>X</v>
      </c>
      <c r="G298" t="str">
        <v>SAP</v>
      </c>
      <c r="H298">
        <v>42818</v>
      </c>
      <c r="J298" t="str">
        <v>Namespace for FSPM</v>
      </c>
    </row>
    <row r="299">
      <c r="A299" t="str">
        <v>/PMB/</v>
      </c>
      <c r="B299" t="str">
        <v>C</v>
      </c>
      <c r="C299">
        <v>4549317414276325000</v>
      </c>
      <c r="D299" t="str">
        <v>X</v>
      </c>
      <c r="E299" t="str">
        <v>X</v>
      </c>
      <c r="G299" t="str">
        <v>SAP</v>
      </c>
      <c r="H299">
        <v>42824</v>
      </c>
      <c r="J299" t="str">
        <v>PMB</v>
      </c>
    </row>
    <row r="300">
      <c r="A300" t="str">
        <v>/PMD/</v>
      </c>
      <c r="B300" t="str">
        <v>C</v>
      </c>
      <c r="D300" t="str">
        <v>X</v>
      </c>
      <c r="G300" t="str">
        <v>SAP</v>
      </c>
      <c r="H300">
        <v>42578</v>
      </c>
      <c r="J300" t="str">
        <v>SAP SE</v>
      </c>
    </row>
    <row r="301">
      <c r="A301" t="str">
        <v>/PMG/</v>
      </c>
      <c r="B301" t="str">
        <v>C</v>
      </c>
      <c r="C301">
        <v>18427660793065670000</v>
      </c>
      <c r="D301" t="str">
        <v>X</v>
      </c>
      <c r="E301" t="str">
        <v>X</v>
      </c>
      <c r="G301" t="str">
        <v>SAP</v>
      </c>
      <c r="H301">
        <v>42824</v>
      </c>
      <c r="J301" t="str">
        <v>SAP SE</v>
      </c>
    </row>
    <row r="302">
      <c r="A302" t="str">
        <v>/PRA/</v>
      </c>
      <c r="B302" t="str">
        <v>C</v>
      </c>
      <c r="C302">
        <v>8905349382914497000</v>
      </c>
      <c r="D302" t="str">
        <v>X</v>
      </c>
      <c r="G302" t="str">
        <v>SAP</v>
      </c>
      <c r="H302">
        <v>44225</v>
      </c>
      <c r="J302" t="str">
        <v>SAP SE</v>
      </c>
    </row>
    <row r="303">
      <c r="A303" t="str">
        <v>/PSPRO/</v>
      </c>
      <c r="B303" t="str">
        <v>C</v>
      </c>
      <c r="C303">
        <v>10246851950494626000</v>
      </c>
      <c r="E303" t="str">
        <v>X</v>
      </c>
      <c r="G303" t="str">
        <v>SAP</v>
      </c>
      <c r="H303">
        <v>38397</v>
      </c>
      <c r="J303" t="str">
        <v>Add-On: SDP Public Sector Procurement</v>
      </c>
    </row>
    <row r="304">
      <c r="A304" t="str">
        <v>/PTGWFI/</v>
      </c>
      <c r="B304" t="str">
        <v>C</v>
      </c>
      <c r="C304">
        <v>9746033923347497000</v>
      </c>
      <c r="G304" t="str">
        <v>SAP</v>
      </c>
      <c r="H304">
        <v>40597</v>
      </c>
      <c r="J304" t="str">
        <v>Open Text Name space</v>
      </c>
    </row>
    <row r="305">
      <c r="A305" t="str">
        <v>/PWC/</v>
      </c>
      <c r="B305" t="str">
        <v>C</v>
      </c>
      <c r="C305">
        <v>25897939010154226000</v>
      </c>
      <c r="G305">
        <v>49080854</v>
      </c>
      <c r="H305">
        <v>44635</v>
      </c>
      <c r="J305" t="str">
        <v>PwC Namespace</v>
      </c>
    </row>
    <row r="306">
      <c r="A306" t="str">
        <v>/QOS/</v>
      </c>
      <c r="B306" t="str">
        <v>C</v>
      </c>
      <c r="C306">
        <v>41520479222893220000</v>
      </c>
      <c r="D306" t="str">
        <v>X</v>
      </c>
      <c r="E306" t="str">
        <v>X</v>
      </c>
      <c r="G306" t="str">
        <v>SAP</v>
      </c>
      <c r="H306">
        <v>42380</v>
      </c>
      <c r="J306" t="str">
        <v>Quantity Offsetting Service</v>
      </c>
    </row>
    <row r="307">
      <c r="A307" t="str">
        <v>/RFA/</v>
      </c>
      <c r="B307" t="str">
        <v>C</v>
      </c>
      <c r="C307">
        <v>3069041172434434600</v>
      </c>
      <c r="D307" t="str">
        <v>X</v>
      </c>
      <c r="E307" t="str">
        <v>X</v>
      </c>
      <c r="F307" t="str">
        <v>X</v>
      </c>
      <c r="G307" t="str">
        <v>SAP</v>
      </c>
      <c r="H307">
        <v>40886</v>
      </c>
      <c r="J307" t="str">
        <v>SAP SE</v>
      </c>
    </row>
    <row r="308">
      <c r="A308" t="str">
        <v>/RKE/</v>
      </c>
      <c r="B308" t="str">
        <v>C</v>
      </c>
      <c r="C308">
        <v>34685047493833257000</v>
      </c>
      <c r="D308" t="str">
        <v>X</v>
      </c>
      <c r="E308" t="str">
        <v>X</v>
      </c>
      <c r="F308" t="str">
        <v>X</v>
      </c>
      <c r="G308" t="str">
        <v>SAP</v>
      </c>
      <c r="H308">
        <v>40885</v>
      </c>
      <c r="J308" t="str">
        <v>SAP SE</v>
      </c>
    </row>
    <row r="309">
      <c r="A309" t="str">
        <v>/RKS/</v>
      </c>
      <c r="B309" t="str">
        <v>C</v>
      </c>
      <c r="C309">
        <v>24157687521492234000</v>
      </c>
      <c r="D309" t="str">
        <v>X</v>
      </c>
      <c r="E309" t="str">
        <v>X</v>
      </c>
      <c r="F309" t="str">
        <v>X</v>
      </c>
      <c r="G309" t="str">
        <v>SAP</v>
      </c>
      <c r="H309">
        <v>40885</v>
      </c>
      <c r="J309" t="str">
        <v>SAP SE</v>
      </c>
    </row>
    <row r="310">
      <c r="A310" t="str">
        <v>/RPM/</v>
      </c>
      <c r="B310" t="str">
        <v>C</v>
      </c>
      <c r="C310">
        <v>6743846083814991000</v>
      </c>
      <c r="D310" t="str">
        <v>X</v>
      </c>
      <c r="E310" t="str">
        <v>X</v>
      </c>
      <c r="G310" t="str">
        <v>SAP</v>
      </c>
      <c r="H310">
        <v>42758</v>
      </c>
      <c r="J310" t="str">
        <v>SAP SE</v>
      </c>
    </row>
    <row r="311">
      <c r="A311" t="str">
        <v>/RSH/</v>
      </c>
      <c r="B311" t="str">
        <v>C</v>
      </c>
      <c r="C311">
        <v>29881780121139030000</v>
      </c>
      <c r="D311" t="str">
        <v>X</v>
      </c>
      <c r="E311" t="str">
        <v>X</v>
      </c>
      <c r="G311" t="str">
        <v>SAP</v>
      </c>
      <c r="H311">
        <v>42480</v>
      </c>
      <c r="J311" t="str">
        <v>SAP SE</v>
      </c>
    </row>
    <row r="312">
      <c r="A312" t="str">
        <v>/RTCART/</v>
      </c>
      <c r="B312" t="str">
        <v>C</v>
      </c>
      <c r="C312">
        <v>457921872670871940</v>
      </c>
      <c r="F312" t="str">
        <v>X</v>
      </c>
      <c r="G312" t="str">
        <v>SAP</v>
      </c>
      <c r="H312">
        <v>42541</v>
      </c>
    </row>
    <row r="313">
      <c r="A313" t="str">
        <v>/RWC/</v>
      </c>
      <c r="B313" t="str">
        <v>C</v>
      </c>
      <c r="C313">
        <v>20571317980397343000</v>
      </c>
      <c r="D313" t="str">
        <v>X</v>
      </c>
      <c r="E313" t="str">
        <v>X</v>
      </c>
      <c r="G313" t="str">
        <v>SAP</v>
      </c>
      <c r="H313">
        <v>39737</v>
      </c>
      <c r="J313" t="str">
        <v>/RWC</v>
      </c>
    </row>
    <row r="314">
      <c r="A314" t="str">
        <v>/S4PPM/</v>
      </c>
      <c r="B314" t="str">
        <v>C</v>
      </c>
      <c r="C314">
        <v>39708098220529520000</v>
      </c>
      <c r="E314" t="str">
        <v>X</v>
      </c>
      <c r="G314" t="str">
        <v>SAP</v>
      </c>
      <c r="H314">
        <v>42758</v>
      </c>
      <c r="J314" t="str">
        <v>SAP SE</v>
      </c>
    </row>
    <row r="315">
      <c r="A315" t="str">
        <v>/SAIS/</v>
      </c>
      <c r="B315" t="str">
        <v>C</v>
      </c>
      <c r="C315">
        <v>3478006021290883000</v>
      </c>
      <c r="D315" t="str">
        <v>X</v>
      </c>
      <c r="E315" t="str">
        <v>X</v>
      </c>
      <c r="G315" t="str">
        <v>SAP</v>
      </c>
      <c r="H315">
        <v>43846</v>
      </c>
      <c r="J315" t="str">
        <v>Enhancement for Audit Information System</v>
      </c>
    </row>
    <row r="316">
      <c r="A316" t="str">
        <v>/SAPAPO/</v>
      </c>
      <c r="B316" t="str">
        <v>C</v>
      </c>
      <c r="C316">
        <v>28121178572892330000</v>
      </c>
      <c r="D316" t="str">
        <v>X</v>
      </c>
      <c r="E316" t="str">
        <v>X</v>
      </c>
      <c r="G316" t="str">
        <v>SAP</v>
      </c>
      <c r="H316">
        <v>38342</v>
      </c>
      <c r="J316" t="str">
        <v>SCM</v>
      </c>
    </row>
    <row r="317">
      <c r="A317" t="str">
        <v>/SAPBOQ/</v>
      </c>
      <c r="B317" t="str">
        <v>C</v>
      </c>
      <c r="C317">
        <v>21000620823611500000</v>
      </c>
      <c r="E317" t="str">
        <v>X</v>
      </c>
      <c r="G317" t="str">
        <v>SAP</v>
      </c>
      <c r="H317">
        <v>38231</v>
      </c>
      <c r="J317" t="str">
        <v>IS E&amp;C: Development for Bill of Quantities</v>
      </c>
    </row>
    <row r="318">
      <c r="A318" t="str">
        <v>/SAPC2/</v>
      </c>
      <c r="B318" t="str">
        <v>C</v>
      </c>
      <c r="C318">
        <v>9109917313253005000</v>
      </c>
      <c r="D318" t="str">
        <v>X</v>
      </c>
      <c r="E318" t="str">
        <v>X</v>
      </c>
      <c r="G318" t="str">
        <v>SAP</v>
      </c>
      <c r="H318">
        <v>38321</v>
      </c>
      <c r="J318" t="str">
        <v>Internal Objects for C2 Framework</v>
      </c>
    </row>
    <row r="319">
      <c r="A319" t="str">
        <v>/SAPC3/</v>
      </c>
      <c r="B319" t="str">
        <v>C</v>
      </c>
      <c r="C319">
        <v>21350172140678226000</v>
      </c>
      <c r="E319" t="str">
        <v>X</v>
      </c>
      <c r="G319" t="str">
        <v>SAP</v>
      </c>
      <c r="H319">
        <v>38321</v>
      </c>
      <c r="J319" t="str">
        <v>Generated Objects on C2 Server</v>
      </c>
    </row>
    <row r="320">
      <c r="A320" t="str">
        <v>/SAPCE/</v>
      </c>
      <c r="B320" t="str">
        <v>C</v>
      </c>
      <c r="C320">
        <v>12720882183802468000</v>
      </c>
      <c r="D320" t="str">
        <v>X</v>
      </c>
      <c r="E320" t="str">
        <v>X</v>
      </c>
      <c r="G320" t="str">
        <v>SAP</v>
      </c>
      <c r="H320">
        <v>42832</v>
      </c>
      <c r="J320" t="str">
        <v>SAP SE</v>
      </c>
    </row>
    <row r="321">
      <c r="A321" t="str">
        <v>/SAPCEM/</v>
      </c>
      <c r="B321" t="str">
        <v>C</v>
      </c>
      <c r="C321">
        <v>33552044260548575000</v>
      </c>
      <c r="D321" t="str">
        <v>X</v>
      </c>
      <c r="E321" t="str">
        <v>X</v>
      </c>
      <c r="G321" t="str">
        <v>SAP</v>
      </c>
      <c r="H321">
        <v>38231</v>
      </c>
      <c r="J321" t="str">
        <v>Construction Equipment Management</v>
      </c>
    </row>
    <row r="322">
      <c r="A322" t="str">
        <v>/SAPCN1/</v>
      </c>
      <c r="B322" t="str">
        <v>C</v>
      </c>
      <c r="C322">
        <v>3515258430606458400</v>
      </c>
      <c r="D322" t="str">
        <v>X</v>
      </c>
      <c r="E322" t="str">
        <v>X</v>
      </c>
      <c r="G322" t="str">
        <v>SAP</v>
      </c>
      <c r="H322">
        <v>42394</v>
      </c>
      <c r="J322" t="str">
        <v>APO Core Program Conditions</v>
      </c>
    </row>
    <row r="323">
      <c r="A323" t="str">
        <v>/SAPCND/</v>
      </c>
      <c r="B323" t="str">
        <v>C</v>
      </c>
      <c r="C323">
        <v>20220452860454806000</v>
      </c>
      <c r="D323" t="str">
        <v>X</v>
      </c>
      <c r="E323" t="str">
        <v>X</v>
      </c>
      <c r="G323" t="str">
        <v>SAP</v>
      </c>
      <c r="H323">
        <v>38706</v>
      </c>
      <c r="J323" t="str">
        <v>Core Program Conditions</v>
      </c>
    </row>
    <row r="324">
      <c r="A324" t="str">
        <v>/SAPDII/</v>
      </c>
      <c r="B324" t="str">
        <v>C</v>
      </c>
      <c r="C324">
        <v>26138832983114654000</v>
      </c>
      <c r="G324" t="str">
        <v>SAP</v>
      </c>
      <c r="H324">
        <v>38278</v>
      </c>
      <c r="J324" t="str">
        <v>IBS Discrete Industries</v>
      </c>
    </row>
    <row r="325">
      <c r="A325" t="str">
        <v>/SAPDMC/</v>
      </c>
      <c r="B325" t="str">
        <v>C</v>
      </c>
      <c r="C325">
        <v>42745535860742160000</v>
      </c>
      <c r="D325" t="str">
        <v>X</v>
      </c>
      <c r="E325" t="str">
        <v>X</v>
      </c>
      <c r="G325" t="str">
        <v>SAP</v>
      </c>
      <c r="H325">
        <v>37112</v>
      </c>
      <c r="J325" t="str">
        <v>Data Mapping and Conversion Tool</v>
      </c>
    </row>
    <row r="326">
      <c r="A326" t="str">
        <v>/SAPDPC/</v>
      </c>
      <c r="B326" t="str">
        <v>C</v>
      </c>
      <c r="C326">
        <v>14267473822232906000</v>
      </c>
      <c r="G326" t="str">
        <v>SAP</v>
      </c>
      <c r="H326">
        <v>40149</v>
      </c>
    </row>
    <row r="327">
      <c r="A327" t="str">
        <v>/SAPDS/</v>
      </c>
      <c r="B327" t="str">
        <v>C</v>
      </c>
      <c r="C327">
        <v>9934536710317160000</v>
      </c>
      <c r="D327" t="str">
        <v>X</v>
      </c>
      <c r="E327" t="str">
        <v>X</v>
      </c>
      <c r="G327" t="str">
        <v>SAP</v>
      </c>
      <c r="H327">
        <v>41691</v>
      </c>
      <c r="J327" t="str">
        <v>SAP SE</v>
      </c>
    </row>
    <row r="328">
      <c r="A328" t="str">
        <v>/SAPF15/</v>
      </c>
      <c r="B328" t="str">
        <v>C</v>
      </c>
      <c r="C328">
        <v>6035577931722676000</v>
      </c>
      <c r="D328" t="str">
        <v>X</v>
      </c>
      <c r="G328" t="str">
        <v>SAP</v>
      </c>
      <c r="H328">
        <v>41162</v>
      </c>
      <c r="J328" t="str">
        <v>SAP F15 Interface</v>
      </c>
    </row>
    <row r="329">
      <c r="A329" t="str">
        <v>/SAPFIN/</v>
      </c>
      <c r="B329" t="str">
        <v>C</v>
      </c>
      <c r="C329">
        <v>29715551290047144000</v>
      </c>
      <c r="D329" t="str">
        <v>X</v>
      </c>
      <c r="E329" t="str">
        <v>X</v>
      </c>
      <c r="G329" t="str">
        <v>SAP</v>
      </c>
      <c r="H329">
        <v>41353</v>
      </c>
      <c r="J329" t="str">
        <v>SAP SE</v>
      </c>
    </row>
    <row r="330">
      <c r="A330" t="str">
        <v>/SAPHT/</v>
      </c>
      <c r="B330" t="str">
        <v>C</v>
      </c>
      <c r="C330">
        <v>19664453953345847000</v>
      </c>
      <c r="E330" t="str">
        <v>X</v>
      </c>
      <c r="G330" t="str">
        <v>SAP</v>
      </c>
      <c r="H330">
        <v>38231</v>
      </c>
      <c r="J330" t="str">
        <v>XXX</v>
      </c>
    </row>
    <row r="331">
      <c r="A331" t="str">
        <v>/SAPKMCNT/</v>
      </c>
      <c r="B331" t="str">
        <v>C</v>
      </c>
      <c r="C331">
        <v>6444512163596797000</v>
      </c>
      <c r="D331" t="str">
        <v>X</v>
      </c>
      <c r="G331" t="str">
        <v>SAP</v>
      </c>
      <c r="H331">
        <v>36577</v>
      </c>
      <c r="J331" t="str">
        <v>Delivery of Knowledge Warehouse Content</v>
      </c>
    </row>
    <row r="332">
      <c r="A332" t="str">
        <v>/SAPMP/</v>
      </c>
      <c r="B332" t="str">
        <v>C</v>
      </c>
      <c r="C332">
        <v>5752197843025485000</v>
      </c>
      <c r="G332" t="str">
        <v>SAP</v>
      </c>
      <c r="H332">
        <v>38271</v>
      </c>
      <c r="J332" t="str">
        <v>Namespace for Mill Products</v>
      </c>
    </row>
    <row r="333">
      <c r="A333" t="str">
        <v>/SAPNEA/</v>
      </c>
      <c r="B333" t="str">
        <v>C</v>
      </c>
      <c r="C333">
        <v>39622973730982880000</v>
      </c>
      <c r="D333" t="str">
        <v>X</v>
      </c>
      <c r="E333" t="str">
        <v>X</v>
      </c>
      <c r="G333" t="str">
        <v>SAP</v>
      </c>
      <c r="H333">
        <v>36803</v>
      </c>
      <c r="J333" t="str">
        <v>Mobile Sales for Handheld Development</v>
      </c>
    </row>
    <row r="334">
      <c r="A334" t="str">
        <v>/SAPPCE/</v>
      </c>
      <c r="B334" t="str">
        <v>C</v>
      </c>
      <c r="C334">
        <v>3985455103166569000</v>
      </c>
      <c r="D334" t="str">
        <v>X</v>
      </c>
      <c r="E334" t="str">
        <v>X</v>
      </c>
      <c r="G334" t="str">
        <v>SAP</v>
      </c>
      <c r="H334">
        <v>37676</v>
      </c>
      <c r="J334" t="str">
        <v>IBS DI: Developments for Project-Centric Enterprises</v>
      </c>
    </row>
    <row r="335">
      <c r="A335" t="str">
        <v>/SAPPO/</v>
      </c>
      <c r="B335" t="str">
        <v>C</v>
      </c>
      <c r="C335">
        <v>519422010759435200</v>
      </c>
      <c r="D335" t="str">
        <v>X</v>
      </c>
      <c r="E335" t="str">
        <v>X</v>
      </c>
      <c r="G335" t="str">
        <v>SAP</v>
      </c>
      <c r="H335">
        <v>38421</v>
      </c>
      <c r="J335" t="str">
        <v>Postprocessing Office</v>
      </c>
    </row>
    <row r="336">
      <c r="A336" t="str">
        <v>/SAPPSPRO/</v>
      </c>
      <c r="B336" t="str">
        <v>C</v>
      </c>
      <c r="C336">
        <v>21386686630030990000</v>
      </c>
      <c r="D336" t="str">
        <v>X</v>
      </c>
      <c r="E336" t="str">
        <v>X</v>
      </c>
      <c r="G336" t="str">
        <v>SAP</v>
      </c>
      <c r="H336">
        <v>40121</v>
      </c>
      <c r="J336" t="str">
        <v>IBU-PS Procurement Developments R/3</v>
      </c>
    </row>
    <row r="337">
      <c r="A337" t="str">
        <v>/SAPQUERY/</v>
      </c>
      <c r="B337" t="str">
        <v>C</v>
      </c>
      <c r="C337">
        <v>19580109300049437000</v>
      </c>
      <c r="D337" t="str">
        <v>X</v>
      </c>
      <c r="E337" t="str">
        <v>X</v>
      </c>
      <c r="G337" t="str">
        <v>SAP</v>
      </c>
      <c r="H337">
        <v>35682</v>
      </c>
      <c r="J337" t="str">
        <v>ABAP Query/SAP</v>
      </c>
    </row>
    <row r="338">
      <c r="A338" t="str">
        <v>/SAPRPM/</v>
      </c>
      <c r="B338" t="str">
        <v>C</v>
      </c>
      <c r="C338">
        <v>21599657032824574000</v>
      </c>
      <c r="D338" t="str">
        <v>X</v>
      </c>
      <c r="F338" t="str">
        <v>X</v>
      </c>
      <c r="G338" t="str">
        <v>SAP</v>
      </c>
      <c r="H338">
        <v>37462</v>
      </c>
      <c r="J338" t="str">
        <v>SAP SE</v>
      </c>
    </row>
    <row r="339">
      <c r="A339" t="str">
        <v>/SAPRRR/</v>
      </c>
      <c r="B339" t="str">
        <v>C</v>
      </c>
      <c r="C339">
        <v>142179512133529300</v>
      </c>
      <c r="D339" t="str">
        <v>X</v>
      </c>
      <c r="E339" t="str">
        <v>X</v>
      </c>
      <c r="G339" t="str">
        <v>SAP</v>
      </c>
      <c r="H339">
        <v>36088</v>
      </c>
      <c r="J339" t="str">
        <v>Ready-to-Run R/3</v>
      </c>
    </row>
    <row r="340">
      <c r="A340" t="str">
        <v>/SAPSDM/</v>
      </c>
      <c r="B340" t="str">
        <v>C</v>
      </c>
      <c r="C340">
        <v>9511216482945483000</v>
      </c>
      <c r="D340" t="str">
        <v>X</v>
      </c>
      <c r="E340" t="str">
        <v>X</v>
      </c>
      <c r="G340" t="str">
        <v>SAP</v>
      </c>
      <c r="H340">
        <v>41283</v>
      </c>
      <c r="J340" t="str">
        <v>Namesspace for SDM Project</v>
      </c>
    </row>
    <row r="341">
      <c r="A341" t="str">
        <v>/SAPSLL/</v>
      </c>
      <c r="B341" t="str">
        <v>C</v>
      </c>
      <c r="C341">
        <v>27716759690235777000</v>
      </c>
      <c r="D341" t="str">
        <v>X</v>
      </c>
      <c r="E341" t="str">
        <v>X</v>
      </c>
      <c r="G341" t="str">
        <v>SAP</v>
      </c>
      <c r="H341">
        <v>42202</v>
      </c>
      <c r="J341" t="str">
        <v>Legal and Logistics Services</v>
      </c>
    </row>
    <row r="342">
      <c r="A342" t="str">
        <v>/SAPSMOSS/</v>
      </c>
      <c r="B342" t="str">
        <v>C</v>
      </c>
      <c r="C342">
        <v>39980366730099155000</v>
      </c>
      <c r="D342" t="str">
        <v>X</v>
      </c>
      <c r="E342" t="str">
        <v>X</v>
      </c>
      <c r="G342" t="str">
        <v>SAP</v>
      </c>
      <c r="H342">
        <v>36284</v>
      </c>
      <c r="J342" t="str">
        <v>Interface: R/3 messages to the SAP Online Service System</v>
      </c>
    </row>
    <row r="343">
      <c r="A343" t="str">
        <v>/SAPTRAIN/</v>
      </c>
      <c r="B343" t="str">
        <v>C</v>
      </c>
      <c r="C343">
        <v>29959134912826098000</v>
      </c>
      <c r="D343" t="str">
        <v>X</v>
      </c>
      <c r="E343" t="str">
        <v>X</v>
      </c>
      <c r="G343" t="str">
        <v>SAP</v>
      </c>
      <c r="H343">
        <v>36080</v>
      </c>
      <c r="J343" t="str">
        <v>SAP Training</v>
      </c>
    </row>
    <row r="344">
      <c r="A344" t="str">
        <v>/SAPTRX/</v>
      </c>
      <c r="B344" t="str">
        <v>C</v>
      </c>
      <c r="C344">
        <v>5342774040197547000</v>
      </c>
      <c r="D344" t="str">
        <v>X</v>
      </c>
      <c r="G344" t="str">
        <v>SAP</v>
      </c>
      <c r="H344">
        <v>37319</v>
      </c>
      <c r="J344" t="str">
        <v>SCEM Developments for Application Interface and EM Basis</v>
      </c>
    </row>
    <row r="345">
      <c r="A345" t="str">
        <v>/SAPWF/</v>
      </c>
      <c r="B345" t="str">
        <v>C</v>
      </c>
      <c r="C345">
        <v>12439270022038870000</v>
      </c>
      <c r="D345" t="str">
        <v>X</v>
      </c>
      <c r="E345" t="str">
        <v>X</v>
      </c>
      <c r="F345" t="str">
        <v>X</v>
      </c>
      <c r="G345" t="str">
        <v>SAP</v>
      </c>
      <c r="H345">
        <v>42313</v>
      </c>
      <c r="J345" t="str">
        <v>Workflow</v>
      </c>
    </row>
    <row r="346">
      <c r="A346" t="str">
        <v>/SAPXCQM/</v>
      </c>
      <c r="B346" t="str">
        <v>C</v>
      </c>
      <c r="C346">
        <v>30603051583981175000</v>
      </c>
      <c r="D346" t="str">
        <v>X</v>
      </c>
      <c r="E346" t="str">
        <v>X</v>
      </c>
      <c r="G346" t="str">
        <v>SAP</v>
      </c>
      <c r="H346">
        <v>40267</v>
      </c>
      <c r="J346" t="str">
        <v>SAP SE</v>
      </c>
    </row>
    <row r="347">
      <c r="A347" t="str">
        <v>/SCA/</v>
      </c>
      <c r="B347" t="str">
        <v>C</v>
      </c>
      <c r="C347">
        <v>35178342462530867000</v>
      </c>
      <c r="D347" t="str">
        <v>X</v>
      </c>
      <c r="E347" t="str">
        <v>X</v>
      </c>
      <c r="G347" t="str">
        <v>SAP</v>
      </c>
      <c r="H347">
        <v>42380</v>
      </c>
      <c r="J347" t="str">
        <v>Supply Network Collaboration (SNC)</v>
      </c>
    </row>
    <row r="348">
      <c r="A348" t="str">
        <v>/SCDL/</v>
      </c>
      <c r="B348" t="str">
        <v>C</v>
      </c>
      <c r="C348">
        <v>22955663570206716000</v>
      </c>
      <c r="D348" t="str">
        <v>X</v>
      </c>
      <c r="E348" t="str">
        <v>X</v>
      </c>
      <c r="G348" t="str">
        <v>SAP</v>
      </c>
      <c r="H348">
        <v>42380</v>
      </c>
      <c r="J348" t="str">
        <v>Supply Chain Delivery</v>
      </c>
    </row>
    <row r="349">
      <c r="A349" t="str">
        <v>/SCE/</v>
      </c>
      <c r="B349" t="str">
        <v>C</v>
      </c>
      <c r="C349">
        <v>38955484050276200000</v>
      </c>
      <c r="D349" t="str">
        <v>X</v>
      </c>
      <c r="E349" t="str">
        <v>X</v>
      </c>
      <c r="G349" t="str">
        <v>SAP</v>
      </c>
      <c r="H349">
        <v>37890</v>
      </c>
      <c r="J349" t="str">
        <v>SCE</v>
      </c>
    </row>
    <row r="350">
      <c r="A350" t="str">
        <v>/SCF/</v>
      </c>
      <c r="B350" t="str">
        <v>C</v>
      </c>
      <c r="C350">
        <v>9694663102648168000</v>
      </c>
      <c r="D350" t="str">
        <v>X</v>
      </c>
      <c r="E350" t="str">
        <v>X</v>
      </c>
      <c r="G350" t="str">
        <v>SAP</v>
      </c>
      <c r="H350">
        <v>40827</v>
      </c>
      <c r="J350" t="str">
        <v>Supply Network Collaboration (SNC Frontend)</v>
      </c>
    </row>
    <row r="351">
      <c r="A351" t="str">
        <v>/SCFC/</v>
      </c>
      <c r="B351" t="str">
        <v>C</v>
      </c>
      <c r="C351">
        <v>23973748794155950000</v>
      </c>
      <c r="E351" t="str">
        <v>X</v>
      </c>
      <c r="G351" t="str">
        <v>SAP</v>
      </c>
      <c r="H351">
        <v>37186</v>
      </c>
      <c r="J351" t="str">
        <v>Supply Chain Fulfillment Coordination</v>
      </c>
    </row>
    <row r="352">
      <c r="A352" t="str">
        <v>/SCMB/</v>
      </c>
      <c r="B352" t="str">
        <v>C</v>
      </c>
      <c r="C352">
        <v>9236498423627490000</v>
      </c>
      <c r="D352" t="str">
        <v>X</v>
      </c>
      <c r="E352" t="str">
        <v>X</v>
      </c>
      <c r="G352" t="str">
        <v>SAP</v>
      </c>
      <c r="H352">
        <v>37546</v>
      </c>
      <c r="J352" t="str">
        <v>Supply Chain Management Basis</v>
      </c>
    </row>
    <row r="353">
      <c r="A353" t="str">
        <v>/SCMEWM/</v>
      </c>
      <c r="B353" t="str">
        <v>C</v>
      </c>
      <c r="C353">
        <v>36243591841571530000</v>
      </c>
      <c r="D353" t="str">
        <v>X</v>
      </c>
      <c r="E353" t="str">
        <v>X</v>
      </c>
      <c r="G353" t="str">
        <v>SAP</v>
      </c>
      <c r="H353">
        <v>38961</v>
      </c>
      <c r="J353" t="str">
        <v>SAP SE</v>
      </c>
    </row>
    <row r="354">
      <c r="A354" t="str">
        <v>/SCMSNC/</v>
      </c>
      <c r="B354" t="str">
        <v>C</v>
      </c>
      <c r="D354" t="str">
        <v>X</v>
      </c>
      <c r="E354" t="str">
        <v>X</v>
      </c>
      <c r="G354" t="str">
        <v>SAP</v>
      </c>
      <c r="H354">
        <v>39155</v>
      </c>
      <c r="J354" t="str">
        <v>Supply Network Collaboration (SNC)</v>
      </c>
    </row>
    <row r="355">
      <c r="A355" t="str">
        <v>/SCMTMS/</v>
      </c>
      <c r="B355" t="str">
        <v>C</v>
      </c>
      <c r="C355">
        <v>39488402501366380000</v>
      </c>
      <c r="D355" t="str">
        <v>X</v>
      </c>
      <c r="E355" t="str">
        <v>X</v>
      </c>
      <c r="G355" t="str">
        <v>SAP</v>
      </c>
      <c r="H355">
        <v>43249</v>
      </c>
      <c r="J355" t="str">
        <v>SAP SE</v>
      </c>
    </row>
    <row r="356">
      <c r="A356" t="str">
        <v>/SCMUI/</v>
      </c>
      <c r="B356" t="str">
        <v>C</v>
      </c>
      <c r="C356">
        <v>24618617323021930000</v>
      </c>
      <c r="D356" t="str">
        <v>X</v>
      </c>
      <c r="E356" t="str">
        <v>X</v>
      </c>
      <c r="G356" t="str">
        <v>SAP</v>
      </c>
      <c r="H356">
        <v>42394</v>
      </c>
      <c r="J356" t="str">
        <v>SCMUI</v>
      </c>
    </row>
    <row r="357">
      <c r="A357" t="str">
        <v>/SCTM/</v>
      </c>
      <c r="B357" t="str">
        <v>C</v>
      </c>
      <c r="C357">
        <v>19719400010082150000</v>
      </c>
      <c r="D357" t="str">
        <v>X</v>
      </c>
      <c r="E357" t="str">
        <v>X</v>
      </c>
      <c r="G357" t="str">
        <v>SAP</v>
      </c>
      <c r="H357">
        <v>42380</v>
      </c>
      <c r="J357" t="str">
        <v>Supply Chain Transport Management</v>
      </c>
    </row>
    <row r="358">
      <c r="A358" t="str">
        <v>/SCWM/</v>
      </c>
      <c r="B358" t="str">
        <v>C</v>
      </c>
      <c r="C358">
        <v>27588573622302986000</v>
      </c>
      <c r="D358" t="str">
        <v>X</v>
      </c>
      <c r="E358" t="str">
        <v>X</v>
      </c>
      <c r="G358" t="str">
        <v>SAP</v>
      </c>
      <c r="H358">
        <v>42359</v>
      </c>
      <c r="J358" t="str">
        <v>Supply Chain Warehouse Management</v>
      </c>
    </row>
    <row r="359">
      <c r="A359" t="str">
        <v>/SDF/</v>
      </c>
      <c r="B359" t="str">
        <v>C</v>
      </c>
      <c r="C359">
        <v>32115860552130793000</v>
      </c>
      <c r="D359" t="str">
        <v>X</v>
      </c>
      <c r="E359" t="str">
        <v>X</v>
      </c>
      <c r="G359" t="str">
        <v>SAP</v>
      </c>
      <c r="H359">
        <v>38210</v>
      </c>
      <c r="J359" t="str">
        <v>SAP Solution Tools Plug-In: Database</v>
      </c>
    </row>
    <row r="360">
      <c r="A360" t="str">
        <v>/SEHS/</v>
      </c>
      <c r="B360" t="str">
        <v>C</v>
      </c>
      <c r="C360">
        <v>8332253642282244000</v>
      </c>
      <c r="D360" t="str">
        <v>X</v>
      </c>
      <c r="E360" t="str">
        <v>X</v>
      </c>
      <c r="G360" t="str">
        <v>SAP</v>
      </c>
      <c r="H360">
        <v>42380</v>
      </c>
      <c r="J360" t="str">
        <v>Environment Health and Safety</v>
      </c>
    </row>
    <row r="361">
      <c r="A361" t="str">
        <v>/SET/</v>
      </c>
      <c r="B361" t="str">
        <v>C</v>
      </c>
      <c r="D361" t="str">
        <v>X</v>
      </c>
      <c r="E361" t="str">
        <v>X</v>
      </c>
      <c r="F361" t="str">
        <v>X</v>
      </c>
      <c r="G361" t="str">
        <v>SAP</v>
      </c>
      <c r="H361">
        <v>40883</v>
      </c>
      <c r="J361" t="str">
        <v>SAP SE</v>
      </c>
    </row>
    <row r="362">
      <c r="A362" t="str">
        <v>/SFX/</v>
      </c>
      <c r="B362" t="str">
        <v>C</v>
      </c>
      <c r="D362" t="str">
        <v>X</v>
      </c>
      <c r="E362" t="str">
        <v>X</v>
      </c>
      <c r="F362" t="str">
        <v>X</v>
      </c>
      <c r="G362" t="str">
        <v>SAP</v>
      </c>
      <c r="H362">
        <v>42485</v>
      </c>
      <c r="J362" t="str">
        <v>SAP SE</v>
      </c>
    </row>
    <row r="363">
      <c r="A363" t="str">
        <v>/SHCM/</v>
      </c>
      <c r="B363" t="str">
        <v>C</v>
      </c>
      <c r="C363">
        <v>11398105092321511000</v>
      </c>
      <c r="G363" t="str">
        <v>SAP</v>
      </c>
      <c r="H363">
        <v>41829</v>
      </c>
    </row>
    <row r="364">
      <c r="A364" t="str">
        <v>/SLOAE/</v>
      </c>
      <c r="B364" t="str">
        <v>C</v>
      </c>
      <c r="C364">
        <v>38550555951400575000</v>
      </c>
      <c r="D364" t="str">
        <v>X</v>
      </c>
      <c r="G364" t="str">
        <v>SAP</v>
      </c>
      <c r="H364">
        <v>40205</v>
      </c>
      <c r="J364" t="str">
        <v>SHC Analysis Execution Environment</v>
      </c>
    </row>
    <row r="365">
      <c r="A365" t="str">
        <v>/SLOAP/</v>
      </c>
      <c r="B365" t="str">
        <v>C</v>
      </c>
      <c r="C365">
        <v>2671618333439099000</v>
      </c>
      <c r="D365" t="str">
        <v>X</v>
      </c>
      <c r="G365" t="str">
        <v>SAP</v>
      </c>
      <c r="H365">
        <v>40205</v>
      </c>
      <c r="J365" t="str">
        <v>SHC Analysis Platform</v>
      </c>
    </row>
    <row r="366">
      <c r="A366" t="str">
        <v>/SMB/</v>
      </c>
      <c r="B366" t="str">
        <v>C</v>
      </c>
      <c r="C366">
        <v>1655004160007241700</v>
      </c>
      <c r="G366" t="str">
        <v>SAP</v>
      </c>
      <c r="H366">
        <v>41802</v>
      </c>
      <c r="J366" t="str">
        <v>Solution builder for SAP BAiO</v>
      </c>
    </row>
    <row r="367">
      <c r="A367" t="str">
        <v>/SMB0K/</v>
      </c>
      <c r="B367" t="str">
        <v>C</v>
      </c>
      <c r="C367">
        <v>15642866222606780000</v>
      </c>
      <c r="G367" t="str">
        <v>SAP</v>
      </c>
      <c r="H367">
        <v>41802</v>
      </c>
      <c r="J367" t="str">
        <v>SAP BP for ERP - Localizations HR</v>
      </c>
    </row>
    <row r="368">
      <c r="A368" t="str">
        <v>/SMB0M/</v>
      </c>
      <c r="B368" t="str">
        <v>C</v>
      </c>
      <c r="C368">
        <v>40236037192375886000</v>
      </c>
      <c r="G368" t="str">
        <v>SAP</v>
      </c>
      <c r="H368">
        <v>41802</v>
      </c>
      <c r="J368" t="str">
        <v>SAP BP for ERP - Localizations CA</v>
      </c>
    </row>
    <row r="369">
      <c r="A369" t="str">
        <v>/SMB10/</v>
      </c>
      <c r="B369" t="str">
        <v>C</v>
      </c>
      <c r="C369">
        <v>15198250343827239000</v>
      </c>
      <c r="G369" t="str">
        <v>SAP</v>
      </c>
      <c r="H369">
        <v>41483</v>
      </c>
      <c r="J369" t="str">
        <v>SAP BP for ERP - Pharma DE</v>
      </c>
    </row>
    <row r="370">
      <c r="A370" t="str">
        <v>/SMB12/</v>
      </c>
      <c r="B370" t="str">
        <v>C</v>
      </c>
      <c r="C370">
        <v>33646508963920900000</v>
      </c>
      <c r="G370" t="str">
        <v>SAP</v>
      </c>
      <c r="H370">
        <v>41802</v>
      </c>
      <c r="J370" t="str">
        <v>SAP BP for ERP - Localizations CN</v>
      </c>
    </row>
    <row r="371">
      <c r="A371" t="str">
        <v>/SMB13/</v>
      </c>
      <c r="B371" t="str">
        <v>C</v>
      </c>
      <c r="C371">
        <v>21727211810003943000</v>
      </c>
      <c r="G371" t="str">
        <v>SAP</v>
      </c>
      <c r="H371">
        <v>41802</v>
      </c>
      <c r="J371" t="str">
        <v>SAP BP for ERP - Localizations KR</v>
      </c>
    </row>
    <row r="372">
      <c r="A372" t="str">
        <v>/SMB14/</v>
      </c>
      <c r="B372" t="str">
        <v>C</v>
      </c>
      <c r="C372">
        <v>20532559454282994000</v>
      </c>
      <c r="G372" t="str">
        <v>SAP</v>
      </c>
      <c r="H372">
        <v>41802</v>
      </c>
      <c r="J372" t="str">
        <v>SAP BP for ERP - Localizations IN</v>
      </c>
    </row>
    <row r="373">
      <c r="A373" t="str">
        <v>/SMB15/</v>
      </c>
      <c r="B373" t="str">
        <v>C</v>
      </c>
      <c r="C373">
        <v>8629341480381766000</v>
      </c>
      <c r="G373" t="str">
        <v>SAP</v>
      </c>
      <c r="H373">
        <v>41483</v>
      </c>
      <c r="J373" t="str">
        <v>SAP BP for ERP - Localizations DE</v>
      </c>
    </row>
    <row r="374">
      <c r="A374" t="str">
        <v>/SMB16/</v>
      </c>
      <c r="B374" t="str">
        <v>C</v>
      </c>
      <c r="C374">
        <v>39002429634074920000</v>
      </c>
      <c r="G374" t="str">
        <v>SAP</v>
      </c>
      <c r="H374">
        <v>41802</v>
      </c>
      <c r="J374" t="str">
        <v>SAP BP for ERP - Localizations UK</v>
      </c>
    </row>
    <row r="375">
      <c r="A375" t="str">
        <v>/SMB17/</v>
      </c>
      <c r="B375" t="str">
        <v>C</v>
      </c>
      <c r="C375">
        <v>27088393260459960000</v>
      </c>
      <c r="G375" t="str">
        <v>SAP</v>
      </c>
      <c r="H375">
        <v>41802</v>
      </c>
      <c r="J375" t="str">
        <v>SAP BP for ERP - Localizations JP</v>
      </c>
    </row>
    <row r="376">
      <c r="A376" t="str">
        <v>/SMB18/</v>
      </c>
      <c r="B376" t="str">
        <v>C</v>
      </c>
      <c r="C376">
        <v>4613548923534984000</v>
      </c>
      <c r="G376" t="str">
        <v>SAP</v>
      </c>
      <c r="H376">
        <v>41802</v>
      </c>
      <c r="J376" t="str">
        <v>SAP BP for ERP - Chemicals DE</v>
      </c>
    </row>
    <row r="377">
      <c r="A377" t="str">
        <v>/SMB21/</v>
      </c>
      <c r="B377" t="str">
        <v>C</v>
      </c>
      <c r="C377">
        <v>10551133592681976000</v>
      </c>
      <c r="G377" t="str">
        <v>SAP</v>
      </c>
      <c r="H377">
        <v>41802</v>
      </c>
      <c r="J377" t="str">
        <v>SAP BP Services Industries</v>
      </c>
    </row>
    <row r="378">
      <c r="A378" t="str">
        <v>/SMB26/</v>
      </c>
      <c r="B378" t="str">
        <v>C</v>
      </c>
      <c r="C378">
        <v>33051718671622070000</v>
      </c>
      <c r="G378" t="str">
        <v>SAP</v>
      </c>
      <c r="H378">
        <v>41802</v>
      </c>
      <c r="J378" t="str">
        <v>SAP BP for ERP - Consumer Goods</v>
      </c>
    </row>
    <row r="379">
      <c r="A379" t="str">
        <v>/SMB35/</v>
      </c>
      <c r="B379" t="str">
        <v>C</v>
      </c>
      <c r="C379">
        <v>880349324115240200</v>
      </c>
      <c r="G379" t="str">
        <v>SAP</v>
      </c>
      <c r="H379">
        <v>41802</v>
      </c>
      <c r="J379" t="str">
        <v>SAP BP for ERP - Localizations TH</v>
      </c>
    </row>
    <row r="380">
      <c r="A380" t="str">
        <v>/SMB36/</v>
      </c>
      <c r="B380" t="str">
        <v>C</v>
      </c>
      <c r="C380">
        <v>37272224990292206000</v>
      </c>
      <c r="G380" t="str">
        <v>SAP</v>
      </c>
      <c r="H380">
        <v>41802</v>
      </c>
      <c r="J380" t="str">
        <v>SAP BP for ERP - Localizations AR</v>
      </c>
    </row>
    <row r="381">
      <c r="A381" t="str">
        <v>/SMB37/</v>
      </c>
      <c r="B381" t="str">
        <v>C</v>
      </c>
      <c r="C381">
        <v>25358175824175608000</v>
      </c>
      <c r="G381" t="str">
        <v>SAP</v>
      </c>
      <c r="H381">
        <v>41802</v>
      </c>
      <c r="J381" t="str">
        <v>SAP BP for ERP - Localizations MX</v>
      </c>
    </row>
    <row r="382">
      <c r="A382" t="str">
        <v>/SMB38/</v>
      </c>
      <c r="B382" t="str">
        <v>C</v>
      </c>
      <c r="C382">
        <v>7580993240825969000</v>
      </c>
      <c r="G382" t="str">
        <v>SAP</v>
      </c>
      <c r="H382">
        <v>41802</v>
      </c>
      <c r="J382" t="str">
        <v>SAP BP for ERP - Localizations CO</v>
      </c>
    </row>
    <row r="383">
      <c r="A383" t="str">
        <v>/SMB39/</v>
      </c>
      <c r="B383" t="str">
        <v>C</v>
      </c>
      <c r="C383">
        <v>16800017773635627000</v>
      </c>
      <c r="G383" t="str">
        <v>SAP</v>
      </c>
      <c r="H383">
        <v>41802</v>
      </c>
      <c r="J383" t="str">
        <v>SAP BP for ERP - Localizations CL</v>
      </c>
    </row>
    <row r="384">
      <c r="A384" t="str">
        <v>/SMB41/</v>
      </c>
      <c r="B384" t="str">
        <v>C</v>
      </c>
      <c r="C384">
        <v>16790281271710876000</v>
      </c>
      <c r="G384" t="str">
        <v>SAP</v>
      </c>
      <c r="H384">
        <v>41802</v>
      </c>
      <c r="J384" t="str">
        <v>SAP BP for ERP - Localizations BR</v>
      </c>
    </row>
    <row r="385">
      <c r="A385" t="str">
        <v>/SMB42/</v>
      </c>
      <c r="B385" t="str">
        <v>C</v>
      </c>
      <c r="C385">
        <v>32047285842178597000</v>
      </c>
      <c r="G385" t="str">
        <v>SAP</v>
      </c>
      <c r="H385">
        <v>41802</v>
      </c>
      <c r="J385" t="str">
        <v>SAP BP for ERP - Localizations VE</v>
      </c>
    </row>
    <row r="386">
      <c r="A386" t="str">
        <v>/SMB43/</v>
      </c>
      <c r="B386" t="str">
        <v>C</v>
      </c>
      <c r="C386">
        <v>41277932851750260000</v>
      </c>
      <c r="G386" t="str">
        <v>SAP</v>
      </c>
      <c r="H386">
        <v>41802</v>
      </c>
      <c r="J386" t="str">
        <v>SAP BP for ERP - Localizations NO</v>
      </c>
    </row>
    <row r="387">
      <c r="A387" t="str">
        <v>/SMB44/</v>
      </c>
      <c r="B387" t="str">
        <v>C</v>
      </c>
      <c r="C387">
        <v>2334421932535959000</v>
      </c>
      <c r="G387" t="str">
        <v>SAP</v>
      </c>
      <c r="H387">
        <v>41802</v>
      </c>
      <c r="J387" t="str">
        <v>SAP BP for ERP - Localizations DK</v>
      </c>
    </row>
    <row r="388">
      <c r="A388" t="str">
        <v>/SMB45/</v>
      </c>
      <c r="B388" t="str">
        <v>C</v>
      </c>
      <c r="C388">
        <v>11560171802125441000</v>
      </c>
      <c r="G388" t="str">
        <v>SAP</v>
      </c>
      <c r="H388">
        <v>41802</v>
      </c>
      <c r="J388" t="str">
        <v>SAP BP for ERP - Localizations FN</v>
      </c>
    </row>
    <row r="389">
      <c r="A389" t="str">
        <v>/SMB46/</v>
      </c>
      <c r="B389" t="str">
        <v>C</v>
      </c>
      <c r="C389">
        <v>26833562992592904000</v>
      </c>
      <c r="G389" t="str">
        <v>SAP</v>
      </c>
      <c r="H389">
        <v>41802</v>
      </c>
      <c r="J389" t="str">
        <v>SAP BP for ERP - Localizations SE</v>
      </c>
    </row>
    <row r="390">
      <c r="A390" t="str">
        <v>/SMB50/</v>
      </c>
      <c r="B390" t="str">
        <v>C</v>
      </c>
      <c r="C390">
        <v>9095427624256534000</v>
      </c>
      <c r="G390" t="str">
        <v>SAP</v>
      </c>
      <c r="H390">
        <v>41483</v>
      </c>
      <c r="J390" t="str">
        <v>SAP BP for ERP - Discrete Industry DE</v>
      </c>
    </row>
    <row r="391">
      <c r="A391" t="str">
        <v>/SMB53/</v>
      </c>
      <c r="B391" t="str">
        <v>C</v>
      </c>
      <c r="C391">
        <v>39783746530429305000</v>
      </c>
      <c r="G391" t="str">
        <v>SAP</v>
      </c>
      <c r="H391">
        <v>41802</v>
      </c>
      <c r="J391" t="str">
        <v>SAP BP for ERP - Localizations RO</v>
      </c>
    </row>
    <row r="392">
      <c r="A392" t="str">
        <v>/SMB54/</v>
      </c>
      <c r="B392" t="str">
        <v>C</v>
      </c>
      <c r="C392">
        <v>3818145053873686500</v>
      </c>
      <c r="G392" t="str">
        <v>SAP</v>
      </c>
      <c r="H392">
        <v>41802</v>
      </c>
      <c r="J392" t="str">
        <v>SAP BP for ERP - Localizations HU</v>
      </c>
    </row>
    <row r="393">
      <c r="A393" t="str">
        <v>/SMB78/</v>
      </c>
      <c r="B393" t="str">
        <v>C</v>
      </c>
      <c r="C393">
        <v>10999297560680640000</v>
      </c>
      <c r="G393" t="str">
        <v>SAP</v>
      </c>
      <c r="H393">
        <v>41802</v>
      </c>
      <c r="J393" t="str">
        <v>SAP BP for ERP - Localizations CH</v>
      </c>
    </row>
    <row r="394">
      <c r="A394" t="str">
        <v>/SMB79/</v>
      </c>
      <c r="B394" t="str">
        <v>C</v>
      </c>
      <c r="C394">
        <v>1428027053239691000</v>
      </c>
      <c r="G394" t="str">
        <v>SAP</v>
      </c>
      <c r="H394">
        <v>41802</v>
      </c>
      <c r="J394" t="str">
        <v>SAP BP for ERP - Localizations PT</v>
      </c>
    </row>
    <row r="395">
      <c r="A395" t="str">
        <v>/SMB80/</v>
      </c>
      <c r="B395" t="str">
        <v>C</v>
      </c>
      <c r="C395">
        <v>25668378102794350000</v>
      </c>
      <c r="G395" t="str">
        <v>SAP</v>
      </c>
      <c r="H395">
        <v>41802</v>
      </c>
      <c r="J395" t="str">
        <v>SAP BP for ERP - Localizations ES</v>
      </c>
    </row>
    <row r="396">
      <c r="A396" t="str">
        <v>/SMB81/</v>
      </c>
      <c r="B396" t="str">
        <v>C</v>
      </c>
      <c r="C396">
        <v>35224088951325823000</v>
      </c>
      <c r="G396" t="str">
        <v>SAP</v>
      </c>
      <c r="H396">
        <v>41802</v>
      </c>
      <c r="J396" t="str">
        <v>SAP BP for ERP - Localizations IT</v>
      </c>
    </row>
    <row r="397">
      <c r="A397" t="str">
        <v>/SMB83/</v>
      </c>
      <c r="B397" t="str">
        <v>C</v>
      </c>
      <c r="C397">
        <v>11393757811118653000</v>
      </c>
      <c r="G397" t="str">
        <v>SAP</v>
      </c>
      <c r="H397">
        <v>41802</v>
      </c>
      <c r="J397" t="str">
        <v>SAP BP for ERP - Localizations NL</v>
      </c>
    </row>
    <row r="398">
      <c r="A398" t="str">
        <v>/SMB84/</v>
      </c>
      <c r="B398" t="str">
        <v>C</v>
      </c>
      <c r="C398">
        <v>30876850413185057000</v>
      </c>
      <c r="G398" t="str">
        <v>SAP</v>
      </c>
      <c r="H398">
        <v>41802</v>
      </c>
      <c r="J398" t="str">
        <v>SAP BP for ERP - Localizations BE</v>
      </c>
    </row>
    <row r="399">
      <c r="A399" t="str">
        <v>/SMB99/</v>
      </c>
      <c r="B399" t="str">
        <v>C</v>
      </c>
      <c r="C399">
        <v>23353578890141467000</v>
      </c>
      <c r="G399" t="str">
        <v>SAP</v>
      </c>
      <c r="H399">
        <v>41802</v>
      </c>
      <c r="J399" t="str">
        <v>/SMB99/</v>
      </c>
    </row>
    <row r="400">
      <c r="A400" t="str">
        <v>/SMBA0/</v>
      </c>
      <c r="B400" t="str">
        <v>C</v>
      </c>
      <c r="C400">
        <v>14103922780200440000</v>
      </c>
      <c r="G400" t="str">
        <v>SAP</v>
      </c>
      <c r="H400">
        <v>41483</v>
      </c>
      <c r="J400" t="str">
        <v>SAP BP for ERP - Automatically Created ERP Global Objects</v>
      </c>
    </row>
    <row r="401">
      <c r="A401" t="str">
        <v>/SMBA6/</v>
      </c>
      <c r="B401" t="str">
        <v>C</v>
      </c>
      <c r="C401">
        <v>38754499350487520000</v>
      </c>
      <c r="G401" t="str">
        <v>SAP</v>
      </c>
      <c r="H401">
        <v>41802</v>
      </c>
      <c r="J401" t="str">
        <v>SAP BP for ERP - Localizations PE</v>
      </c>
    </row>
    <row r="402">
      <c r="A402" t="str">
        <v>/SMBAPJ/</v>
      </c>
      <c r="B402" t="str">
        <v>C</v>
      </c>
      <c r="C402">
        <v>32392974360543818000</v>
      </c>
      <c r="G402" t="str">
        <v>SAP</v>
      </c>
      <c r="H402">
        <v>41802</v>
      </c>
      <c r="J402" t="str">
        <v>SAP BP for ERP - Localizations AU &amp; SG</v>
      </c>
    </row>
    <row r="403">
      <c r="A403" t="str">
        <v>/SMBAR/</v>
      </c>
      <c r="B403" t="str">
        <v>C</v>
      </c>
      <c r="C403">
        <v>32823821413073703000</v>
      </c>
      <c r="G403" t="str">
        <v>SAP</v>
      </c>
      <c r="H403">
        <v>42859</v>
      </c>
      <c r="J403" t="str">
        <v>Contract Management Hub.</v>
      </c>
    </row>
    <row r="404">
      <c r="A404" t="str">
        <v>/SMBAW/</v>
      </c>
      <c r="B404" t="str">
        <v>C</v>
      </c>
      <c r="C404">
        <v>28582075391173010000</v>
      </c>
      <c r="G404" t="str">
        <v>SAP</v>
      </c>
      <c r="H404">
        <v>42859</v>
      </c>
      <c r="J404" t="str">
        <v>SAP BP Automatically Created EWM Global Objects</v>
      </c>
    </row>
    <row r="405">
      <c r="A405" t="str">
        <v>/SMBAX/</v>
      </c>
      <c r="B405" t="str">
        <v>C</v>
      </c>
      <c r="C405">
        <v>2741302092352172000</v>
      </c>
      <c r="G405" t="str">
        <v>SAP</v>
      </c>
      <c r="H405">
        <v>42859</v>
      </c>
      <c r="J405" t="str">
        <v>/SMBAX/</v>
      </c>
    </row>
    <row r="406">
      <c r="A406" t="str">
        <v>/SMBBG/</v>
      </c>
      <c r="B406" t="str">
        <v>C</v>
      </c>
      <c r="C406">
        <v>832841513137290100</v>
      </c>
      <c r="G406" t="str">
        <v>SAP</v>
      </c>
      <c r="H406">
        <v>41802</v>
      </c>
      <c r="J406" t="str">
        <v>SAP BP for ERP - Localizations BG</v>
      </c>
    </row>
    <row r="407">
      <c r="A407" t="str">
        <v>/SMBCZ/</v>
      </c>
      <c r="B407" t="str">
        <v>C</v>
      </c>
      <c r="C407">
        <v>30217463791645260000</v>
      </c>
      <c r="G407" t="str">
        <v>SAP</v>
      </c>
      <c r="H407">
        <v>41802</v>
      </c>
      <c r="J407" t="str">
        <v>SAP BP for ERP - Localizations CZ</v>
      </c>
    </row>
    <row r="408">
      <c r="A408" t="str">
        <v>/SMBEC/</v>
      </c>
      <c r="B408" t="str">
        <v>C</v>
      </c>
      <c r="C408">
        <v>17088146840709840000</v>
      </c>
      <c r="G408" t="str">
        <v>SAP</v>
      </c>
      <c r="H408">
        <v>41802</v>
      </c>
      <c r="J408" t="str">
        <v>SAP BP for ERP - Localizations EC</v>
      </c>
    </row>
    <row r="409">
      <c r="A409" t="str">
        <v>/SMBEE/</v>
      </c>
      <c r="B409" t="str">
        <v>C</v>
      </c>
      <c r="C409">
        <v>36105251251018310000</v>
      </c>
      <c r="G409" t="str">
        <v>SAP</v>
      </c>
      <c r="H409">
        <v>41802</v>
      </c>
      <c r="J409" t="str">
        <v>SAP BP for ERP - Localizations EE</v>
      </c>
    </row>
    <row r="410">
      <c r="A410" t="str">
        <v>/SMBERP/</v>
      </c>
      <c r="B410" t="str">
        <v>C</v>
      </c>
      <c r="C410">
        <v>23706762461183455000</v>
      </c>
      <c r="G410" t="str">
        <v>SAP</v>
      </c>
      <c r="H410">
        <v>41802</v>
      </c>
      <c r="J410" t="str">
        <v>SAP BP for ERP - Specific ERP Objects</v>
      </c>
    </row>
    <row r="411">
      <c r="A411" t="str">
        <v>/SMBEWM/</v>
      </c>
      <c r="B411" t="str">
        <v>C</v>
      </c>
      <c r="C411">
        <v>12552849952656548000</v>
      </c>
      <c r="G411" t="str">
        <v>SAP</v>
      </c>
      <c r="H411">
        <v>42859</v>
      </c>
      <c r="J411" t="str">
        <v>SAP BP EWM Specific Objects</v>
      </c>
    </row>
    <row r="412">
      <c r="A412" t="str">
        <v>/SMBFR/</v>
      </c>
      <c r="B412" t="str">
        <v>C</v>
      </c>
      <c r="C412">
        <v>21892340051020448000</v>
      </c>
      <c r="G412" t="str">
        <v>SAP</v>
      </c>
      <c r="H412">
        <v>42233</v>
      </c>
      <c r="J412" t="str">
        <v>SAP BP Localizations FR</v>
      </c>
    </row>
    <row r="413">
      <c r="A413" t="str">
        <v>/SMBGCC/</v>
      </c>
      <c r="B413" t="str">
        <v>C</v>
      </c>
      <c r="C413">
        <v>38693300903121920000</v>
      </c>
      <c r="G413" t="str">
        <v>SAP</v>
      </c>
      <c r="H413">
        <v>41802</v>
      </c>
      <c r="J413" t="str">
        <v>SAP BP for ERP - Localizations GCC</v>
      </c>
    </row>
    <row r="414">
      <c r="A414" t="str">
        <v>/SMBGRC/</v>
      </c>
      <c r="B414" t="str">
        <v>C</v>
      </c>
      <c r="C414">
        <v>7464640431053135000</v>
      </c>
      <c r="G414" t="str">
        <v>SAP</v>
      </c>
      <c r="H414">
        <v>42859</v>
      </c>
      <c r="J414" t="str">
        <v>SAP BP - Specific NW GRC Objects</v>
      </c>
    </row>
    <row r="415">
      <c r="A415" t="str">
        <v>/SMBGTS/</v>
      </c>
      <c r="B415" t="str">
        <v>C</v>
      </c>
      <c r="C415">
        <v>17702753453558235000</v>
      </c>
      <c r="G415" t="str">
        <v>SAP</v>
      </c>
      <c r="H415">
        <v>42859</v>
      </c>
      <c r="J415" t="str">
        <v>/SMBGTS/</v>
      </c>
    </row>
    <row r="416">
      <c r="A416" t="str">
        <v>/SMBGW/</v>
      </c>
      <c r="B416" t="str">
        <v>C</v>
      </c>
      <c r="C416">
        <v>40378629473217620000</v>
      </c>
      <c r="G416" t="str">
        <v>SAP</v>
      </c>
      <c r="H416">
        <v>42859</v>
      </c>
      <c r="J416" t="str">
        <v>/SMBGW/</v>
      </c>
    </row>
    <row r="417">
      <c r="A417" t="str">
        <v>/SMBIL/</v>
      </c>
      <c r="B417" t="str">
        <v>C</v>
      </c>
      <c r="C417">
        <v>17815315023379114000</v>
      </c>
      <c r="G417" t="str">
        <v>SAP</v>
      </c>
      <c r="H417">
        <v>41802</v>
      </c>
      <c r="J417" t="str">
        <v>SAP BP for ERP - Localizations IL</v>
      </c>
    </row>
    <row r="418">
      <c r="A418" t="str">
        <v>/SMBKZ/</v>
      </c>
      <c r="B418" t="str">
        <v>C</v>
      </c>
      <c r="C418">
        <v>18347691631363523000</v>
      </c>
      <c r="G418" t="str">
        <v>SAP</v>
      </c>
      <c r="H418">
        <v>41802</v>
      </c>
      <c r="J418" t="str">
        <v>SAP BP for ERP - Localizations KZ</v>
      </c>
    </row>
    <row r="419">
      <c r="A419" t="str">
        <v>/SMBMY/</v>
      </c>
      <c r="B419" t="str">
        <v>C</v>
      </c>
      <c r="C419">
        <v>39717346681329910000</v>
      </c>
      <c r="G419" t="str">
        <v>SAP</v>
      </c>
      <c r="H419">
        <v>41802</v>
      </c>
      <c r="J419" t="str">
        <v>SAP BP for ERP - Localizations MY</v>
      </c>
    </row>
    <row r="420">
      <c r="A420" t="str">
        <v>/SMBPA/</v>
      </c>
      <c r="B420" t="str">
        <v>C</v>
      </c>
      <c r="C420">
        <v>9065791770690002000</v>
      </c>
      <c r="G420" t="str">
        <v>SAP</v>
      </c>
      <c r="H420">
        <v>41802</v>
      </c>
      <c r="J420" t="str">
        <v>SAP BP for ERP - Localizations PA</v>
      </c>
    </row>
    <row r="421">
      <c r="A421" t="str">
        <v>/SMBPK/</v>
      </c>
      <c r="B421" t="str">
        <v>C</v>
      </c>
      <c r="C421">
        <v>38584005010304560000</v>
      </c>
      <c r="G421" t="str">
        <v>SAP</v>
      </c>
      <c r="H421">
        <v>41802</v>
      </c>
      <c r="J421" t="str">
        <v>SAP BP for ERP - Localizations PK</v>
      </c>
    </row>
    <row r="422">
      <c r="A422" t="str">
        <v>/SMBPL/</v>
      </c>
      <c r="B422" t="str">
        <v>C</v>
      </c>
      <c r="C422">
        <v>5049999053981594000</v>
      </c>
      <c r="G422" t="str">
        <v>SAP</v>
      </c>
      <c r="H422">
        <v>41802</v>
      </c>
      <c r="J422" t="str">
        <v>SAP BP for ERP - Localizations PL</v>
      </c>
    </row>
    <row r="423">
      <c r="A423" t="str">
        <v>/SMBQA/</v>
      </c>
      <c r="B423" t="str">
        <v>C</v>
      </c>
      <c r="C423">
        <v>7571541931491399000</v>
      </c>
      <c r="G423" t="str">
        <v>SAP</v>
      </c>
      <c r="H423">
        <v>41802</v>
      </c>
      <c r="J423" t="str">
        <v>SAP BP Localizations QA</v>
      </c>
    </row>
    <row r="424">
      <c r="A424" t="str">
        <v>/SMBRS/</v>
      </c>
      <c r="B424" t="str">
        <v>C</v>
      </c>
      <c r="C424">
        <v>2947540632858046000</v>
      </c>
      <c r="G424" t="str">
        <v>SAP</v>
      </c>
      <c r="H424">
        <v>41802</v>
      </c>
      <c r="J424" t="str">
        <v>SAP BP for ERP - Localizations RS</v>
      </c>
    </row>
    <row r="425">
      <c r="A425" t="str">
        <v>/SMBRU/</v>
      </c>
      <c r="B425" t="str">
        <v>C</v>
      </c>
      <c r="C425">
        <v>27430654943165075000</v>
      </c>
      <c r="G425" t="str">
        <v>SAP</v>
      </c>
      <c r="H425">
        <v>41802</v>
      </c>
      <c r="J425" t="str">
        <v>SAP BP for ERP - Localizations RU</v>
      </c>
    </row>
    <row r="426">
      <c r="A426" t="str">
        <v>/SMBSK/</v>
      </c>
      <c r="B426" t="str">
        <v>C</v>
      </c>
      <c r="C426">
        <v>33640006372154536000</v>
      </c>
      <c r="G426" t="str">
        <v>SAP</v>
      </c>
      <c r="H426">
        <v>41802</v>
      </c>
      <c r="J426" t="str">
        <v>SAP BP for ERP - Localizations SK</v>
      </c>
    </row>
    <row r="427">
      <c r="A427" t="str">
        <v>/SMBSRMH/</v>
      </c>
      <c r="B427" t="str">
        <v>C</v>
      </c>
      <c r="C427">
        <v>9757603113545132000</v>
      </c>
      <c r="G427" t="str">
        <v>SAP</v>
      </c>
      <c r="H427">
        <v>42859</v>
      </c>
      <c r="J427" t="str">
        <v>Contract Management Hub</v>
      </c>
    </row>
    <row r="428">
      <c r="A428" t="str">
        <v>/SMBTR/</v>
      </c>
      <c r="B428" t="str">
        <v>C</v>
      </c>
      <c r="C428">
        <v>406895543119515200</v>
      </c>
      <c r="G428" t="str">
        <v>SAP</v>
      </c>
      <c r="H428">
        <v>41802</v>
      </c>
      <c r="J428" t="str">
        <v>SAP BP for ERP - Localizations TR</v>
      </c>
    </row>
    <row r="429">
      <c r="A429" t="str">
        <v>/SMBTRM/</v>
      </c>
      <c r="B429" t="str">
        <v>C</v>
      </c>
      <c r="C429">
        <v>23866906262078770000</v>
      </c>
      <c r="G429" t="str">
        <v>SAP</v>
      </c>
      <c r="H429">
        <v>41802</v>
      </c>
      <c r="J429" t="str">
        <v>Namespace /SMBTRM/ for Treasury and Risk Management V3</v>
      </c>
    </row>
    <row r="430">
      <c r="A430" t="str">
        <v>/SMBTW/</v>
      </c>
      <c r="B430" t="str">
        <v>C</v>
      </c>
      <c r="C430">
        <v>18049422361261324000</v>
      </c>
      <c r="G430" t="str">
        <v>SAP</v>
      </c>
      <c r="H430">
        <v>42682</v>
      </c>
      <c r="J430" t="str">
        <v>SAP BP Localizations TW</v>
      </c>
    </row>
    <row r="431">
      <c r="A431" t="str">
        <v>/SMBUA/</v>
      </c>
      <c r="B431" t="str">
        <v>C</v>
      </c>
      <c r="C431">
        <v>10990029931095660000</v>
      </c>
      <c r="G431" t="str">
        <v>SAP</v>
      </c>
      <c r="H431">
        <v>41802</v>
      </c>
      <c r="J431" t="str">
        <v>SAP BP for ERP - Localizations UA</v>
      </c>
    </row>
    <row r="432">
      <c r="A432" t="str">
        <v>/SMBUSE/</v>
      </c>
      <c r="B432" t="str">
        <v>C</v>
      </c>
      <c r="C432">
        <v>6300591972646389000</v>
      </c>
      <c r="G432" t="str">
        <v>SAP</v>
      </c>
      <c r="H432">
        <v>41483</v>
      </c>
      <c r="J432" t="str">
        <v>SAP BP for ERP - Localizations US</v>
      </c>
    </row>
    <row r="433">
      <c r="A433" t="str">
        <v>/SMBVN/</v>
      </c>
      <c r="B433" t="str">
        <v>C</v>
      </c>
      <c r="C433">
        <v>36062699310450573000</v>
      </c>
      <c r="G433" t="str">
        <v>SAP</v>
      </c>
      <c r="H433">
        <v>41802</v>
      </c>
      <c r="J433" t="str">
        <v>SAP BP for ERP - Localizations VN</v>
      </c>
    </row>
    <row r="434">
      <c r="A434" t="str">
        <v>/SMBZA/</v>
      </c>
      <c r="B434" t="str">
        <v>C</v>
      </c>
      <c r="C434">
        <v>36423101054194127000</v>
      </c>
      <c r="G434" t="str">
        <v>SAP</v>
      </c>
      <c r="H434">
        <v>41802</v>
      </c>
      <c r="J434" t="str">
        <v>SAP BP for ERP - Localizations ZA</v>
      </c>
    </row>
    <row r="435">
      <c r="A435" t="str">
        <v>/SMD/</v>
      </c>
      <c r="B435" t="str">
        <v>C</v>
      </c>
      <c r="C435">
        <v>29349140013314953000</v>
      </c>
      <c r="D435" t="str">
        <v>X</v>
      </c>
      <c r="E435" t="str">
        <v>X</v>
      </c>
      <c r="F435" t="str">
        <v>X</v>
      </c>
      <c r="G435" t="str">
        <v>SAP</v>
      </c>
      <c r="H435">
        <v>39828</v>
      </c>
      <c r="J435" t="str">
        <v>Namespace MDG</v>
      </c>
    </row>
    <row r="436">
      <c r="A436" t="str">
        <v>/SMERP/</v>
      </c>
      <c r="B436" t="str">
        <v>C</v>
      </c>
      <c r="C436">
        <v>5853169521165450000</v>
      </c>
      <c r="D436" t="str">
        <v>X</v>
      </c>
      <c r="E436" t="str">
        <v>X</v>
      </c>
      <c r="G436" t="str">
        <v>SAP</v>
      </c>
      <c r="H436">
        <v>43474</v>
      </c>
      <c r="J436" t="str">
        <v>SAP SE</v>
      </c>
    </row>
    <row r="437">
      <c r="A437" t="str">
        <v>/SMFND/</v>
      </c>
      <c r="B437" t="str">
        <v>C</v>
      </c>
      <c r="C437">
        <v>14028380034069262000</v>
      </c>
      <c r="D437" t="str">
        <v>X</v>
      </c>
      <c r="E437" t="str">
        <v>X</v>
      </c>
      <c r="G437" t="str">
        <v>SAP</v>
      </c>
      <c r="H437">
        <v>43474</v>
      </c>
      <c r="J437" t="str">
        <v>SAP SE</v>
      </c>
    </row>
    <row r="438">
      <c r="A438" t="str">
        <v>/SMI/</v>
      </c>
      <c r="B438" t="str">
        <v>C</v>
      </c>
      <c r="C438">
        <v>28708428371579930000</v>
      </c>
      <c r="D438" t="str">
        <v>X</v>
      </c>
      <c r="E438" t="str">
        <v>X</v>
      </c>
      <c r="G438" t="str">
        <v>SAP</v>
      </c>
      <c r="H438">
        <v>41653</v>
      </c>
      <c r="J438" t="str">
        <v>Solution Manager Integration</v>
      </c>
    </row>
    <row r="439">
      <c r="A439" t="str">
        <v>/SMISU/</v>
      </c>
      <c r="B439" t="str">
        <v>C</v>
      </c>
      <c r="C439">
        <v>4461089872468801500</v>
      </c>
      <c r="D439" t="str">
        <v>X</v>
      </c>
      <c r="E439" t="str">
        <v>X</v>
      </c>
      <c r="G439" t="str">
        <v>SAP</v>
      </c>
      <c r="H439">
        <v>43550</v>
      </c>
      <c r="J439" t="str">
        <v>SAP SE</v>
      </c>
    </row>
    <row r="440">
      <c r="A440" t="str">
        <v>/SNCE/</v>
      </c>
      <c r="B440" t="str">
        <v>C</v>
      </c>
      <c r="C440">
        <v>12030842943053634000</v>
      </c>
      <c r="D440" t="str">
        <v>X</v>
      </c>
      <c r="E440" t="str">
        <v>X</v>
      </c>
      <c r="G440" t="str">
        <v>SAP</v>
      </c>
      <c r="H440">
        <v>42165</v>
      </c>
      <c r="J440" t="str">
        <v>Supply Network Collaboration Extension</v>
      </c>
    </row>
    <row r="441">
      <c r="A441" t="str">
        <v>/SOI/</v>
      </c>
      <c r="B441" t="str">
        <v>C</v>
      </c>
      <c r="C441">
        <v>4759337611529642000</v>
      </c>
      <c r="D441" t="str">
        <v>X</v>
      </c>
      <c r="E441" t="str">
        <v>X</v>
      </c>
      <c r="G441" t="str">
        <v>SAP</v>
      </c>
      <c r="H441">
        <v>43173</v>
      </c>
      <c r="J441" t="str">
        <v>SAP SE</v>
      </c>
    </row>
    <row r="442">
      <c r="A442" t="str">
        <v>/SOMO/</v>
      </c>
      <c r="B442" t="str">
        <v>C</v>
      </c>
      <c r="C442">
        <v>6553046512635953000</v>
      </c>
      <c r="D442" t="str">
        <v>X</v>
      </c>
      <c r="E442" t="str">
        <v>X</v>
      </c>
      <c r="G442" t="str">
        <v>SAP</v>
      </c>
      <c r="H442">
        <v>38210</v>
      </c>
      <c r="J442" t="str">
        <v>SAP Solution Tools Plug-In: Monitor</v>
      </c>
    </row>
    <row r="443">
      <c r="A443" t="str">
        <v>/SPE/</v>
      </c>
      <c r="B443" t="str">
        <v>C</v>
      </c>
      <c r="C443">
        <v>28361101763499258000</v>
      </c>
      <c r="D443" t="str">
        <v>X</v>
      </c>
      <c r="E443" t="str">
        <v>X</v>
      </c>
      <c r="G443" t="str">
        <v>SAP</v>
      </c>
      <c r="H443">
        <v>39196</v>
      </c>
      <c r="J443" t="str">
        <v>Service Parts Enterprise Development</v>
      </c>
    </row>
    <row r="444">
      <c r="A444" t="str">
        <v>/SQLR/</v>
      </c>
      <c r="B444" t="str">
        <v>C</v>
      </c>
      <c r="C444">
        <v>35651899631565603000</v>
      </c>
      <c r="D444" t="str">
        <v>X</v>
      </c>
      <c r="E444" t="str">
        <v>X</v>
      </c>
      <c r="G444" t="str">
        <v>SAP</v>
      </c>
      <c r="H444">
        <v>38210</v>
      </c>
      <c r="J444" t="str">
        <v>SAP Solution Tools Plug-In: Trace</v>
      </c>
    </row>
    <row r="445">
      <c r="A445" t="str">
        <v>/SREP/</v>
      </c>
      <c r="B445" t="str">
        <v>C</v>
      </c>
      <c r="C445">
        <v>8448960181259496000</v>
      </c>
      <c r="G445" t="str">
        <v>SAP</v>
      </c>
      <c r="H445">
        <v>39289</v>
      </c>
    </row>
    <row r="446">
      <c r="A446" t="str">
        <v>/SRMERP/</v>
      </c>
      <c r="B446" t="str">
        <v>C</v>
      </c>
      <c r="C446">
        <v>39238801961083550000</v>
      </c>
      <c r="D446" t="str">
        <v>X</v>
      </c>
      <c r="G446" t="str">
        <v>SAP</v>
      </c>
      <c r="H446">
        <v>40317</v>
      </c>
      <c r="J446" t="str">
        <v>SAP SE</v>
      </c>
    </row>
    <row r="447">
      <c r="A447" t="str">
        <v>/SRMSMC/</v>
      </c>
      <c r="B447" t="str">
        <v>C</v>
      </c>
      <c r="C447">
        <v>28843668323814355000</v>
      </c>
      <c r="D447" t="str">
        <v>X</v>
      </c>
      <c r="E447" t="str">
        <v>X</v>
      </c>
      <c r="G447" t="str">
        <v>SAP</v>
      </c>
      <c r="H447">
        <v>41820</v>
      </c>
      <c r="J447" t="str">
        <v>Supply Market Collaboration</v>
      </c>
    </row>
    <row r="448">
      <c r="A448" t="str">
        <v>/SSA/</v>
      </c>
      <c r="B448" t="str">
        <v>C</v>
      </c>
      <c r="C448">
        <v>20880598533202616000</v>
      </c>
      <c r="D448" t="str">
        <v>X</v>
      </c>
      <c r="E448" t="str">
        <v>X</v>
      </c>
      <c r="G448" t="str">
        <v>SAP</v>
      </c>
      <c r="H448">
        <v>41786</v>
      </c>
      <c r="J448" t="str">
        <v>Service Software Addon Packages</v>
      </c>
    </row>
    <row r="449">
      <c r="A449" t="str">
        <v>/SSB/</v>
      </c>
      <c r="B449" t="str">
        <v>C</v>
      </c>
      <c r="C449">
        <v>29116979180860207000</v>
      </c>
      <c r="D449" t="str">
        <v>X</v>
      </c>
      <c r="E449" t="str">
        <v>X</v>
      </c>
      <c r="G449" t="str">
        <v>SAP</v>
      </c>
      <c r="H449">
        <v>43227</v>
      </c>
      <c r="J449" t="str">
        <v>SAP SE</v>
      </c>
    </row>
    <row r="450">
      <c r="A450" t="str">
        <v>/SSF/</v>
      </c>
      <c r="B450" t="str">
        <v>C</v>
      </c>
      <c r="C450">
        <v>24840944773052023000</v>
      </c>
      <c r="D450" t="str">
        <v>X</v>
      </c>
      <c r="E450" t="str">
        <v>X</v>
      </c>
      <c r="G450" t="str">
        <v>SAP</v>
      </c>
      <c r="H450">
        <v>41786</v>
      </c>
      <c r="J450" t="str">
        <v>Service Software Framework</v>
      </c>
    </row>
    <row r="451">
      <c r="A451" t="str">
        <v>/SSTCA/</v>
      </c>
      <c r="B451" t="str">
        <v>C</v>
      </c>
      <c r="G451" t="str">
        <v>SAP</v>
      </c>
      <c r="H451">
        <v>41900</v>
      </c>
      <c r="J451" t="str">
        <v>SAP sSuite Test Cockpit Applications</v>
      </c>
    </row>
    <row r="452">
      <c r="A452" t="str">
        <v>/STMC/</v>
      </c>
      <c r="B452" t="str">
        <v>C</v>
      </c>
      <c r="C452">
        <v>1232993921662517200</v>
      </c>
      <c r="D452" t="str">
        <v>X</v>
      </c>
      <c r="E452" t="str">
        <v>X</v>
      </c>
      <c r="G452" t="str">
        <v>SAP</v>
      </c>
      <c r="H452">
        <v>43538</v>
      </c>
      <c r="J452" t="str">
        <v>SAP SE</v>
      </c>
    </row>
    <row r="453">
      <c r="A453" t="str">
        <v>/STPI/</v>
      </c>
      <c r="B453" t="str">
        <v>C</v>
      </c>
      <c r="C453">
        <v>1977422641359679500</v>
      </c>
      <c r="D453" t="str">
        <v>X</v>
      </c>
      <c r="E453" t="str">
        <v>X</v>
      </c>
      <c r="G453" t="str">
        <v>SAP</v>
      </c>
      <c r="H453">
        <v>44907</v>
      </c>
      <c r="J453" t="str">
        <v>Namespace for STPI</v>
      </c>
    </row>
    <row r="454">
      <c r="A454" t="str">
        <v>/STTPEC/</v>
      </c>
      <c r="B454" t="str">
        <v>C</v>
      </c>
      <c r="C454">
        <v>32277673740752080000</v>
      </c>
      <c r="D454" t="str">
        <v>X</v>
      </c>
      <c r="E454" t="str">
        <v>X</v>
      </c>
      <c r="G454" t="str">
        <v>SAP</v>
      </c>
      <c r="H454">
        <v>43454</v>
      </c>
      <c r="J454" t="str">
        <v>SAP SE</v>
      </c>
    </row>
    <row r="455">
      <c r="A455" t="str">
        <v>/SYCLO/</v>
      </c>
      <c r="B455" t="str">
        <v>C</v>
      </c>
      <c r="C455">
        <v>13153203562850030000</v>
      </c>
      <c r="D455" t="str">
        <v>X</v>
      </c>
      <c r="E455" t="str">
        <v>X</v>
      </c>
      <c r="G455" t="str">
        <v>SAP</v>
      </c>
      <c r="H455">
        <v>43297</v>
      </c>
      <c r="J455" t="str">
        <v>SAP SE</v>
      </c>
    </row>
    <row r="456">
      <c r="A456" t="str">
        <v>/SYCLOU/</v>
      </c>
      <c r="B456" t="str">
        <v>C</v>
      </c>
      <c r="C456">
        <v>34345027493922623000</v>
      </c>
      <c r="D456" t="str">
        <v>X</v>
      </c>
      <c r="E456" t="str">
        <v>X</v>
      </c>
      <c r="G456" t="str">
        <v>SAP</v>
      </c>
      <c r="H456">
        <v>43560</v>
      </c>
      <c r="J456" t="str">
        <v>SAP SE</v>
      </c>
    </row>
    <row r="457">
      <c r="A457" t="str">
        <v>/TDM/</v>
      </c>
      <c r="B457" t="str">
        <v>C</v>
      </c>
      <c r="D457" t="str">
        <v>X</v>
      </c>
      <c r="G457" t="str">
        <v>SAP</v>
      </c>
      <c r="H457">
        <v>38910</v>
      </c>
      <c r="J457" t="str">
        <v>SAP SE</v>
      </c>
    </row>
    <row r="458">
      <c r="A458" t="str">
        <v>/TMF/</v>
      </c>
      <c r="B458" t="str">
        <v>C</v>
      </c>
      <c r="C458">
        <v>38881545431165190000</v>
      </c>
      <c r="D458" t="str">
        <v>X</v>
      </c>
      <c r="E458" t="str">
        <v>X</v>
      </c>
      <c r="G458" t="str">
        <v>SAP</v>
      </c>
      <c r="H458">
        <v>43292</v>
      </c>
      <c r="J458" t="str">
        <v>SAP SE</v>
      </c>
    </row>
    <row r="459">
      <c r="A459" t="str">
        <v>/TPVS/</v>
      </c>
      <c r="B459" t="str">
        <v>C</v>
      </c>
      <c r="C459">
        <v>12151425733946410000</v>
      </c>
      <c r="D459" t="str">
        <v>X</v>
      </c>
      <c r="E459" t="str">
        <v>X</v>
      </c>
      <c r="G459" t="str">
        <v>SAP</v>
      </c>
      <c r="H459">
        <v>42394</v>
      </c>
      <c r="J459" t="str">
        <v>SAP SE</v>
      </c>
    </row>
    <row r="460">
      <c r="A460" t="str">
        <v>/TRMKR/</v>
      </c>
      <c r="B460" t="str">
        <v>C</v>
      </c>
      <c r="C460">
        <v>26775550112722366000</v>
      </c>
      <c r="D460" t="str">
        <v>X</v>
      </c>
      <c r="E460" t="str">
        <v>X</v>
      </c>
      <c r="G460" t="str">
        <v>SAP</v>
      </c>
      <c r="H460">
        <v>40241</v>
      </c>
      <c r="J460" t="str">
        <v>SAP SE</v>
      </c>
    </row>
    <row r="461">
      <c r="A461" t="str">
        <v>/TRP/</v>
      </c>
      <c r="B461" t="str">
        <v>C</v>
      </c>
      <c r="C461">
        <v>15005400380655202000</v>
      </c>
      <c r="G461" t="str">
        <v>SAP</v>
      </c>
      <c r="H461">
        <v>41949</v>
      </c>
    </row>
    <row r="462">
      <c r="A462" t="str">
        <v>/TXS/</v>
      </c>
      <c r="B462" t="str">
        <v>C</v>
      </c>
      <c r="D462" t="str">
        <v>X</v>
      </c>
      <c r="E462" t="str">
        <v>X</v>
      </c>
      <c r="G462" t="str">
        <v>SAP</v>
      </c>
      <c r="H462">
        <v>38364</v>
      </c>
      <c r="J462" t="str">
        <v>SAP SE</v>
      </c>
    </row>
    <row r="463">
      <c r="A463" t="str">
        <v>/UI2/</v>
      </c>
      <c r="B463" t="str">
        <v>C</v>
      </c>
      <c r="C463">
        <v>42407041752569220000</v>
      </c>
      <c r="D463" t="str">
        <v>X</v>
      </c>
      <c r="G463" t="str">
        <v>SAP</v>
      </c>
      <c r="H463">
        <v>41124</v>
      </c>
      <c r="J463" t="str">
        <v>SAP SE</v>
      </c>
    </row>
    <row r="464">
      <c r="A464" t="str">
        <v>/UI5/</v>
      </c>
      <c r="B464" t="str">
        <v>C</v>
      </c>
      <c r="C464">
        <v>3460975192452423000</v>
      </c>
      <c r="D464" t="str">
        <v>X</v>
      </c>
      <c r="G464" t="str">
        <v>SAP</v>
      </c>
      <c r="H464">
        <v>41124</v>
      </c>
      <c r="J464" t="str">
        <v>SAP SE</v>
      </c>
    </row>
    <row r="465">
      <c r="A465" t="str">
        <v>/UIF/</v>
      </c>
      <c r="B465" t="str">
        <v>C</v>
      </c>
      <c r="C465">
        <v>21395054942943244000</v>
      </c>
      <c r="G465" t="str">
        <v>SAP</v>
      </c>
      <c r="H465">
        <v>41968</v>
      </c>
    </row>
    <row r="466">
      <c r="A466" t="str">
        <v>/UPG/</v>
      </c>
      <c r="B466" t="str">
        <v>C</v>
      </c>
      <c r="C466">
        <v>3043854002959436300</v>
      </c>
      <c r="D466" t="str">
        <v>X</v>
      </c>
      <c r="E466" t="str">
        <v>X</v>
      </c>
      <c r="G466" t="str">
        <v>SAP</v>
      </c>
      <c r="H466">
        <v>36411</v>
      </c>
      <c r="J466" t="str">
        <v>Namespace for Repository Switch</v>
      </c>
    </row>
    <row r="467">
      <c r="A467" t="str">
        <v>/VIRSA/</v>
      </c>
      <c r="B467" t="str">
        <v>C</v>
      </c>
      <c r="C467">
        <v>26846758610356340000</v>
      </c>
      <c r="D467" t="str">
        <v>X</v>
      </c>
      <c r="E467" t="str">
        <v>X</v>
      </c>
      <c r="G467" t="str">
        <v>SAP</v>
      </c>
      <c r="H467">
        <v>39476</v>
      </c>
      <c r="J467" t="str">
        <v>Virsa Systems Developments</v>
      </c>
    </row>
    <row r="468">
      <c r="A468" t="str">
        <v>/VSO/</v>
      </c>
      <c r="B468" t="str">
        <v>C</v>
      </c>
      <c r="C468">
        <v>26717350051976920000</v>
      </c>
      <c r="D468" t="str">
        <v>X</v>
      </c>
      <c r="G468" t="str">
        <v>SAP</v>
      </c>
      <c r="H468">
        <v>37804</v>
      </c>
      <c r="J468" t="str">
        <v>Vehicle Space Optimization</v>
      </c>
    </row>
    <row r="469">
      <c r="A469" t="str">
        <v>/WATP/</v>
      </c>
      <c r="B469" t="str">
        <v>C</v>
      </c>
      <c r="C469">
        <v>5202752270021777000</v>
      </c>
      <c r="G469" t="str">
        <v>SAP</v>
      </c>
      <c r="H469">
        <v>38217</v>
      </c>
      <c r="J469" t="str">
        <v>Route Planning for SAP Waste and Recycling / 667334</v>
      </c>
    </row>
    <row r="470">
      <c r="A470" t="str">
        <v>/WCFWST/</v>
      </c>
      <c r="B470" t="str">
        <v>C</v>
      </c>
      <c r="C470">
        <v>34550839983048057000</v>
      </c>
      <c r="D470" t="str">
        <v>X</v>
      </c>
      <c r="E470" t="str">
        <v>X</v>
      </c>
      <c r="F470" t="str">
        <v>X</v>
      </c>
      <c r="G470" t="str">
        <v>SAP</v>
      </c>
      <c r="H470">
        <v>39969</v>
      </c>
      <c r="J470" t="str">
        <v>SAP SE</v>
      </c>
    </row>
    <row r="471">
      <c r="A471" t="str">
        <v>/WINSHTLQ/</v>
      </c>
      <c r="B471" t="str">
        <v>C</v>
      </c>
      <c r="C471">
        <v>20845095343396344000</v>
      </c>
      <c r="G471" t="str">
        <v>SAP</v>
      </c>
      <c r="H471">
        <v>45435</v>
      </c>
      <c r="J471" t="str">
        <v>AFM Add-On</v>
      </c>
    </row>
  </sheetData>
  <pageMargins left="0.7" right="0.7" top="0.75" bottom="0.75" header="0.3" footer="0.3"/>
  <ignoredErrors>
    <ignoredError numberStoredAsText="1" sqref="A1:J4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19"/>
  <sheetViews>
    <sheetView workbookViewId="0" rightToLeft="0"/>
  </sheetViews>
  <sheetData>
    <row r="1">
      <c r="A1" t="str">
        <v>Obj Typ.</v>
      </c>
      <c r="B1" t="str">
        <v>Obj Type</v>
      </c>
      <c r="C1" t="str">
        <v>Obj Type Description</v>
      </c>
      <c r="D1" t="str">
        <v>Category</v>
      </c>
      <c r="E1" t="str">
        <v>Revelant</v>
      </c>
    </row>
    <row r="2">
      <c r="A2" t="str">
        <v>R3TR</v>
      </c>
      <c r="B2" t="str">
        <v>ACGR</v>
      </c>
      <c r="C2" t="str">
        <v>Role</v>
      </c>
      <c r="D2" t="str">
        <v>SPAU</v>
      </c>
      <c r="E2" t="str">
        <v>No</v>
      </c>
    </row>
    <row r="3">
      <c r="A3" t="str">
        <v>R3TR</v>
      </c>
      <c r="B3" t="str">
        <v>ACID</v>
      </c>
      <c r="C3" t="str">
        <v>Checkpoint Group</v>
      </c>
      <c r="D3" t="str">
        <v>SPAU</v>
      </c>
      <c r="E3" t="str">
        <v>No</v>
      </c>
    </row>
    <row r="4">
      <c r="A4" t="str">
        <v>LIMU</v>
      </c>
      <c r="B4" t="str">
        <v>ADIR</v>
      </c>
      <c r="C4" t="str">
        <v>Object Directory Entry</v>
      </c>
      <c r="D4" t="str">
        <v>SPAU</v>
      </c>
      <c r="E4" t="str">
        <v>No</v>
      </c>
    </row>
    <row r="5">
      <c r="A5" t="str">
        <v>R3TR</v>
      </c>
      <c r="B5" t="str">
        <v>AMSD</v>
      </c>
      <c r="C5" t="str">
        <v>Logical Database Schema</v>
      </c>
      <c r="D5" t="str">
        <v>SPDD</v>
      </c>
      <c r="E5" t="str">
        <v>No</v>
      </c>
    </row>
    <row r="6">
      <c r="A6" t="str">
        <v>R3TR</v>
      </c>
      <c r="B6" t="str">
        <v>APCO</v>
      </c>
      <c r="C6" t="str">
        <v>Application components</v>
      </c>
      <c r="D6" t="str">
        <v>SPAU</v>
      </c>
      <c r="E6" t="str">
        <v>No</v>
      </c>
    </row>
    <row r="7">
      <c r="A7" t="str">
        <v>R3TR</v>
      </c>
      <c r="B7" t="str">
        <v>APPL</v>
      </c>
      <c r="C7" t="str">
        <v>Application Class</v>
      </c>
      <c r="D7" t="str">
        <v>SPAU</v>
      </c>
      <c r="E7" t="str">
        <v>Yes</v>
      </c>
    </row>
    <row r="8">
      <c r="A8" t="str">
        <v>R3TR</v>
      </c>
      <c r="B8" t="str">
        <v>AQBG</v>
      </c>
      <c r="C8" t="str">
        <v>ABAP Query: User group</v>
      </c>
      <c r="D8" t="str">
        <v>SPAU</v>
      </c>
      <c r="E8" t="str">
        <v>No</v>
      </c>
    </row>
    <row r="9">
      <c r="A9" t="str">
        <v>R3TR</v>
      </c>
      <c r="B9" t="str">
        <v>AQHT</v>
      </c>
      <c r="C9" t="str">
        <v>SAP Query: HTML Templates</v>
      </c>
      <c r="D9" t="str">
        <v>SPAU</v>
      </c>
      <c r="E9" t="str">
        <v>No</v>
      </c>
    </row>
    <row r="10">
      <c r="A10" t="str">
        <v>R3TR</v>
      </c>
      <c r="B10" t="str">
        <v>AQQU</v>
      </c>
      <c r="C10" t="str">
        <v>ABAP Query: Query</v>
      </c>
      <c r="D10" t="str">
        <v>SPAU</v>
      </c>
      <c r="E10" t="str">
        <v>No</v>
      </c>
    </row>
    <row r="11">
      <c r="A11" t="str">
        <v>R3TR</v>
      </c>
      <c r="B11" t="str">
        <v>AQQV</v>
      </c>
      <c r="C11" t="str">
        <v>ABAP Query: Query variant</v>
      </c>
      <c r="D11" t="str">
        <v>SPAU</v>
      </c>
      <c r="E11" t="str">
        <v>No</v>
      </c>
    </row>
    <row r="12">
      <c r="A12" t="str">
        <v>R3TR</v>
      </c>
      <c r="B12" t="str">
        <v>AQSG</v>
      </c>
      <c r="C12" t="str">
        <v>ABAP Query: Functional area</v>
      </c>
      <c r="D12" t="str">
        <v>SPAU</v>
      </c>
      <c r="E12" t="str">
        <v>No</v>
      </c>
    </row>
    <row r="13">
      <c r="A13" t="str">
        <v>R3TR</v>
      </c>
      <c r="B13" t="str">
        <v>AQTR</v>
      </c>
      <c r="C13" t="str">
        <v>SAP Query: HTML Templates (raw)</v>
      </c>
      <c r="D13" t="str">
        <v>SPAU</v>
      </c>
      <c r="E13" t="str">
        <v>No</v>
      </c>
    </row>
    <row r="14">
      <c r="A14" t="str">
        <v>R3TR</v>
      </c>
      <c r="B14" t="str">
        <v>AQXI</v>
      </c>
      <c r="C14" t="str">
        <v>ABAP Query: Additional functions</v>
      </c>
      <c r="D14" t="str">
        <v>SPAU</v>
      </c>
      <c r="E14" t="str">
        <v>No</v>
      </c>
    </row>
    <row r="15">
      <c r="A15" t="str">
        <v>R3TR</v>
      </c>
      <c r="B15" t="str">
        <v>AREA</v>
      </c>
      <c r="C15" t="str">
        <v>InfoArea</v>
      </c>
      <c r="D15" t="str">
        <v>SPAU</v>
      </c>
      <c r="E15" t="str">
        <v>No</v>
      </c>
    </row>
    <row r="16">
      <c r="A16" t="str">
        <v>R3TR</v>
      </c>
      <c r="B16" t="str">
        <v>ASFC</v>
      </c>
      <c r="C16" t="str">
        <v>SAP AS: Field Catalog</v>
      </c>
      <c r="D16" t="str">
        <v>SPAU</v>
      </c>
      <c r="E16" t="str">
        <v>No</v>
      </c>
    </row>
    <row r="17">
      <c r="A17" t="str">
        <v>R3TR</v>
      </c>
      <c r="B17" t="str">
        <v>ASIS</v>
      </c>
      <c r="C17" t="str">
        <v>SAP AS: Archiving Information Structure</v>
      </c>
      <c r="D17" t="str">
        <v>SPAU</v>
      </c>
      <c r="E17" t="str">
        <v>No</v>
      </c>
    </row>
    <row r="18">
      <c r="A18" t="str">
        <v>R3TR</v>
      </c>
      <c r="B18" t="str">
        <v>BOBC</v>
      </c>
      <c r="C18" t="str">
        <v>BOPF Contract Compliance Check Configuration</v>
      </c>
      <c r="D18" t="str">
        <v>SPAU</v>
      </c>
      <c r="E18" t="str">
        <v>No</v>
      </c>
    </row>
    <row r="19">
      <c r="A19" t="str">
        <v>R3TR</v>
      </c>
      <c r="B19" t="str">
        <v>BOBF</v>
      </c>
      <c r="C19" t="str">
        <v>BOPF: Business Object Model</v>
      </c>
      <c r="D19" t="str">
        <v>SPAU</v>
      </c>
      <c r="E19" t="str">
        <v>No</v>
      </c>
    </row>
    <row r="20">
      <c r="A20" t="str">
        <v>R3TR</v>
      </c>
      <c r="B20" t="str">
        <v>BOBL</v>
      </c>
      <c r="C20" t="str">
        <v>BOPF: Business Object Library</v>
      </c>
      <c r="D20" t="str">
        <v>SPAU</v>
      </c>
      <c r="E20" t="str">
        <v>No</v>
      </c>
    </row>
    <row r="21">
      <c r="A21" t="str">
        <v>R3TR</v>
      </c>
      <c r="B21" t="str">
        <v>BOBX</v>
      </c>
      <c r="C21" t="str">
        <v>BOPF: Business Object Model Extension</v>
      </c>
      <c r="D21" t="str">
        <v>SPAU</v>
      </c>
      <c r="E21" t="str">
        <v>No</v>
      </c>
    </row>
    <row r="22">
      <c r="A22" t="str">
        <v>R3TR</v>
      </c>
      <c r="B22" t="str">
        <v>BOPF</v>
      </c>
      <c r="C22" t="str">
        <v>BOPF: Business Object Model</v>
      </c>
      <c r="D22" t="str">
        <v>SPAU</v>
      </c>
      <c r="E22" t="str">
        <v>No</v>
      </c>
    </row>
    <row r="23">
      <c r="A23" t="str">
        <v>R3TR</v>
      </c>
      <c r="B23" t="str">
        <v>BOPX</v>
      </c>
      <c r="C23" t="str">
        <v>BOPF: Business Object Model Extension</v>
      </c>
      <c r="D23" t="str">
        <v>SPAU</v>
      </c>
      <c r="E23" t="str">
        <v>No</v>
      </c>
    </row>
    <row r="24">
      <c r="A24" t="str">
        <v>R3TR</v>
      </c>
      <c r="B24" t="str">
        <v>BSVV</v>
      </c>
      <c r="C24" t="str">
        <v>Status management: Process</v>
      </c>
      <c r="D24" t="str">
        <v>SPAU</v>
      </c>
      <c r="E24" t="str">
        <v>No</v>
      </c>
    </row>
    <row r="25">
      <c r="A25" t="str">
        <v>R3TR</v>
      </c>
      <c r="B25" t="str">
        <v>CFDE</v>
      </c>
      <c r="C25" t="str">
        <v>Data Source Extension</v>
      </c>
      <c r="D25" t="str">
        <v>SPDD</v>
      </c>
      <c r="E25" t="str">
        <v>Yes</v>
      </c>
    </row>
    <row r="26">
      <c r="A26" t="str">
        <v>LIMU</v>
      </c>
      <c r="B26" t="str">
        <v>CINC</v>
      </c>
      <c r="C26" t="str">
        <v>Class Include (ABAP Objects)</v>
      </c>
      <c r="D26" t="str">
        <v>SPAU</v>
      </c>
      <c r="E26" t="str">
        <v>Yes</v>
      </c>
    </row>
    <row r="27">
      <c r="A27" t="str">
        <v>R3TR</v>
      </c>
      <c r="B27" t="str">
        <v>CLAS</v>
      </c>
      <c r="C27" t="str">
        <v>Class (ABAP Objects)</v>
      </c>
      <c r="D27" t="str">
        <v>SPAU</v>
      </c>
      <c r="E27" t="str">
        <v>Yes</v>
      </c>
    </row>
    <row r="28">
      <c r="A28" t="str">
        <v>LIMU</v>
      </c>
      <c r="B28" t="str">
        <v>CLSD</v>
      </c>
      <c r="C28" t="str">
        <v>Class Definition (ABAP Objects)</v>
      </c>
      <c r="D28" t="str">
        <v>SPAU</v>
      </c>
      <c r="E28" t="str">
        <v>Yes</v>
      </c>
    </row>
    <row r="29">
      <c r="A29" t="str">
        <v>R3TR</v>
      </c>
      <c r="B29" t="str">
        <v>CMOD</v>
      </c>
      <c r="C29" t="str">
        <v>Customer enhancement projects</v>
      </c>
      <c r="D29" t="str">
        <v>SPAU</v>
      </c>
      <c r="E29" t="str">
        <v>Yes</v>
      </c>
    </row>
    <row r="30">
      <c r="A30" t="str">
        <v>LIMU</v>
      </c>
      <c r="B30" t="str">
        <v>COMM</v>
      </c>
      <c r="C30" t="str">
        <v>Object List of Request or Piece List</v>
      </c>
      <c r="D30" t="str">
        <v>SPAU</v>
      </c>
      <c r="E30" t="str">
        <v>Yes</v>
      </c>
    </row>
    <row r="31">
      <c r="A31" t="str">
        <v>LIMU</v>
      </c>
      <c r="B31" t="str">
        <v>CPRI</v>
      </c>
      <c r="C31" t="str">
        <v>Private Header (ABAP Objects)</v>
      </c>
      <c r="D31" t="str">
        <v>SPAU</v>
      </c>
      <c r="E31" t="str">
        <v>Yes</v>
      </c>
    </row>
    <row r="32">
      <c r="A32" t="str">
        <v>LIMU</v>
      </c>
      <c r="B32" t="str">
        <v>CPRO</v>
      </c>
      <c r="C32" t="str">
        <v>Protected Header (ABAP Objects)</v>
      </c>
      <c r="D32" t="str">
        <v>SPAU</v>
      </c>
      <c r="E32" t="str">
        <v>Yes</v>
      </c>
    </row>
    <row r="33">
      <c r="A33" t="str">
        <v>LIMU</v>
      </c>
      <c r="B33" t="str">
        <v>CPUB</v>
      </c>
      <c r="C33" t="str">
        <v>Public Header (ABAP Objects)</v>
      </c>
      <c r="D33" t="str">
        <v>SPAU</v>
      </c>
      <c r="E33" t="str">
        <v>Yes</v>
      </c>
    </row>
    <row r="34">
      <c r="A34" t="str">
        <v>R3TR</v>
      </c>
      <c r="B34" t="str">
        <v>CTCT</v>
      </c>
      <c r="C34" t="str">
        <v>Condition Technique - Condition Table</v>
      </c>
      <c r="D34" t="str">
        <v>SPDD</v>
      </c>
      <c r="E34" t="str">
        <v>No</v>
      </c>
    </row>
    <row r="35">
      <c r="A35" t="str">
        <v>R3TR</v>
      </c>
      <c r="B35" t="str">
        <v>CTFD</v>
      </c>
      <c r="C35" t="str">
        <v>Condition Technique - Data Element in Global Field Catalog</v>
      </c>
      <c r="D35" t="str">
        <v>SPDD</v>
      </c>
      <c r="E35" t="str">
        <v>No</v>
      </c>
    </row>
    <row r="36">
      <c r="A36" t="str">
        <v>R3TR</v>
      </c>
      <c r="B36" t="str">
        <v>CTFF</v>
      </c>
      <c r="C36" t="str">
        <v>Condition Technique - Field Name in Global Field Catalog</v>
      </c>
      <c r="D36" t="str">
        <v>SPAU</v>
      </c>
      <c r="E36" t="str">
        <v>No</v>
      </c>
    </row>
    <row r="37">
      <c r="A37" t="str">
        <v>LIMU</v>
      </c>
      <c r="B37" t="str">
        <v>CUAD</v>
      </c>
      <c r="C37" t="str">
        <v>GUI Definition</v>
      </c>
      <c r="D37" t="str">
        <v>SPAU</v>
      </c>
      <c r="E37" t="str">
        <v>Yes</v>
      </c>
    </row>
    <row r="38">
      <c r="A38" t="str">
        <v>R3TR</v>
      </c>
      <c r="B38" t="str">
        <v>CUBE</v>
      </c>
      <c r="C38" t="str">
        <v>InfoCube</v>
      </c>
      <c r="D38" t="str">
        <v>SPAU</v>
      </c>
      <c r="E38" t="str">
        <v>No</v>
      </c>
    </row>
    <row r="39">
      <c r="A39" t="str">
        <v>R3TR</v>
      </c>
      <c r="B39" t="str">
        <v>DDLA</v>
      </c>
      <c r="C39" t="str">
        <v>CDS Annotation Definition</v>
      </c>
      <c r="D39" t="str">
        <v>SPDD</v>
      </c>
      <c r="E39" t="str">
        <v>Yes</v>
      </c>
    </row>
    <row r="40">
      <c r="A40" t="str">
        <v>R3TR</v>
      </c>
      <c r="B40" t="str">
        <v>DDLS</v>
      </c>
      <c r="C40" t="str">
        <v>Data Definition Language Source</v>
      </c>
      <c r="D40" t="str">
        <v>SPDD</v>
      </c>
      <c r="E40" t="str">
        <v>Yes</v>
      </c>
    </row>
    <row r="41">
      <c r="A41" t="str">
        <v>R3TR</v>
      </c>
      <c r="B41" t="str">
        <v>DDLV</v>
      </c>
      <c r="C41" t="str">
        <v>CDS Variant</v>
      </c>
      <c r="D41" t="str">
        <v>SPDD</v>
      </c>
      <c r="E41" t="str">
        <v>Yes</v>
      </c>
    </row>
    <row r="42">
      <c r="A42" t="str">
        <v>R3TR</v>
      </c>
      <c r="B42" t="str">
        <v>DDLX</v>
      </c>
      <c r="C42" t="str">
        <v>CDS metadata extension</v>
      </c>
      <c r="D42" t="str">
        <v>SPDD</v>
      </c>
      <c r="E42" t="str">
        <v>Yes</v>
      </c>
    </row>
    <row r="43">
      <c r="A43" t="str">
        <v>R3TR</v>
      </c>
      <c r="B43" t="str">
        <v>DELM</v>
      </c>
      <c r="C43" t="str">
        <v>Elements of the Query Builder (SAP Delivery)</v>
      </c>
      <c r="D43" t="str">
        <v>SPAU</v>
      </c>
      <c r="E43" t="str">
        <v>No</v>
      </c>
    </row>
    <row r="44">
      <c r="A44" t="str">
        <v>R3TR</v>
      </c>
      <c r="B44" t="str">
        <v>DEST</v>
      </c>
      <c r="C44" t="str">
        <v>Open Hub Destination</v>
      </c>
      <c r="D44" t="str">
        <v>SPAU</v>
      </c>
      <c r="E44" t="str">
        <v>No</v>
      </c>
    </row>
    <row r="45">
      <c r="A45" t="str">
        <v>R3TR</v>
      </c>
      <c r="B45" t="str">
        <v>DEVC</v>
      </c>
      <c r="C45" t="str">
        <v>Package</v>
      </c>
      <c r="D45" t="str">
        <v>SPAU</v>
      </c>
      <c r="E45" t="str">
        <v>Yes</v>
      </c>
    </row>
    <row r="46">
      <c r="A46" t="str">
        <v>LIMU</v>
      </c>
      <c r="B46" t="str">
        <v>DEVP</v>
      </c>
      <c r="C46" t="str">
        <v>Package: Usage</v>
      </c>
      <c r="D46" t="str">
        <v>SPAU</v>
      </c>
      <c r="E46" t="str">
        <v>Yes</v>
      </c>
    </row>
    <row r="47">
      <c r="A47" t="str">
        <v>R3TR</v>
      </c>
      <c r="B47" t="str">
        <v>DIAL</v>
      </c>
      <c r="C47" t="str">
        <v>Dialog Module</v>
      </c>
      <c r="D47" t="str">
        <v>SPAU</v>
      </c>
      <c r="E47" t="str">
        <v>Yes</v>
      </c>
    </row>
    <row r="48">
      <c r="A48" t="str">
        <v>LIMU</v>
      </c>
      <c r="B48" t="str">
        <v>DLIX</v>
      </c>
      <c r="C48" t="str">
        <v>Index for Table Entities</v>
      </c>
      <c r="D48" t="str">
        <v>SPDD</v>
      </c>
      <c r="E48" t="str">
        <v>Yes</v>
      </c>
    </row>
    <row r="49">
      <c r="A49" t="str">
        <v>LIMU</v>
      </c>
      <c r="B49" t="str">
        <v>DLTS</v>
      </c>
      <c r="C49" t="str">
        <v>Technical Settings for Table Entities</v>
      </c>
      <c r="D49" t="str">
        <v>SPDD</v>
      </c>
      <c r="E49" t="str">
        <v>Yes</v>
      </c>
    </row>
    <row r="50">
      <c r="A50" t="str">
        <v>R3TR</v>
      </c>
      <c r="B50" t="str">
        <v>DOCT</v>
      </c>
      <c r="C50" t="str">
        <v>General Text</v>
      </c>
      <c r="D50" t="str">
        <v>SPAU</v>
      </c>
      <c r="E50" t="str">
        <v>Yes</v>
      </c>
    </row>
    <row r="51">
      <c r="A51" t="str">
        <v>LIMU</v>
      </c>
      <c r="B51" t="str">
        <v>DOCU</v>
      </c>
      <c r="C51" t="str">
        <v>Documentation</v>
      </c>
      <c r="D51" t="str">
        <v>SPDD</v>
      </c>
      <c r="E51" t="str">
        <v>Yes</v>
      </c>
    </row>
    <row r="52">
      <c r="A52" t="str">
        <v>R3TR</v>
      </c>
      <c r="B52" t="str">
        <v>DOCV</v>
      </c>
      <c r="C52" t="str">
        <v>Documentation (Independent)</v>
      </c>
      <c r="D52" t="str">
        <v>SPDD</v>
      </c>
      <c r="E52" t="str">
        <v>Yes</v>
      </c>
    </row>
    <row r="53">
      <c r="A53" t="str">
        <v>R3TR</v>
      </c>
      <c r="B53" t="str">
        <v>DOMA</v>
      </c>
      <c r="C53" t="str">
        <v>Domain</v>
      </c>
      <c r="D53" t="str">
        <v>SPDD</v>
      </c>
      <c r="E53" t="str">
        <v>Yes</v>
      </c>
    </row>
    <row r="54">
      <c r="A54" t="str">
        <v>LIMU</v>
      </c>
      <c r="B54" t="str">
        <v>DOMD</v>
      </c>
      <c r="C54" t="str">
        <v>Domain Definition</v>
      </c>
      <c r="D54" t="str">
        <v>SPDD</v>
      </c>
      <c r="E54" t="str">
        <v>Yes</v>
      </c>
    </row>
    <row r="55">
      <c r="A55" t="str">
        <v>R3TR</v>
      </c>
      <c r="B55" t="str">
        <v>DSEL</v>
      </c>
      <c r="C55" t="str">
        <v>Selection View</v>
      </c>
      <c r="D55" t="str">
        <v>SPDD</v>
      </c>
      <c r="E55" t="str">
        <v>Yes</v>
      </c>
    </row>
    <row r="56">
      <c r="A56" t="str">
        <v>R3TR</v>
      </c>
      <c r="B56" t="str">
        <v>DSYS</v>
      </c>
      <c r="C56" t="str">
        <v>Chapter of a Book Structure</v>
      </c>
      <c r="D56" t="str">
        <v>SPAU</v>
      </c>
      <c r="E56" t="str">
        <v>No</v>
      </c>
    </row>
    <row r="57">
      <c r="A57" t="str">
        <v>LIMU</v>
      </c>
      <c r="B57" t="str">
        <v>DTED</v>
      </c>
      <c r="C57" t="str">
        <v>Data Element Definition</v>
      </c>
      <c r="D57" t="str">
        <v>SPDD</v>
      </c>
      <c r="E57" t="str">
        <v>Yes</v>
      </c>
    </row>
    <row r="58">
      <c r="A58" t="str">
        <v>R3TR</v>
      </c>
      <c r="B58" t="str">
        <v>DTEL</v>
      </c>
      <c r="C58" t="str">
        <v>Data Element</v>
      </c>
      <c r="D58" t="str">
        <v>SPDD</v>
      </c>
      <c r="E58" t="str">
        <v>Yes</v>
      </c>
    </row>
    <row r="59">
      <c r="A59" t="str">
        <v>LIMU</v>
      </c>
      <c r="B59" t="str">
        <v>DYNP</v>
      </c>
      <c r="C59" t="str">
        <v>Dynpro</v>
      </c>
      <c r="D59" t="str">
        <v>SPAU</v>
      </c>
      <c r="E59" t="str">
        <v>Yes</v>
      </c>
    </row>
    <row r="60">
      <c r="A60" t="str">
        <v>R3TR</v>
      </c>
      <c r="B60" t="str">
        <v>ENHC</v>
      </c>
      <c r="C60" t="str">
        <v>Composite Enhancement Implementation</v>
      </c>
      <c r="D60" t="str">
        <v>SPAU</v>
      </c>
      <c r="E60" t="str">
        <v>Yes</v>
      </c>
    </row>
    <row r="61">
      <c r="A61" t="str">
        <v>R3TR</v>
      </c>
      <c r="B61" t="str">
        <v>ENHO</v>
      </c>
      <c r="C61" t="str">
        <v>Enhancement Implementation</v>
      </c>
      <c r="D61" t="str">
        <v>SPAU</v>
      </c>
      <c r="E61" t="str">
        <v>Yes</v>
      </c>
    </row>
    <row r="62">
      <c r="A62" t="str">
        <v>R3TR</v>
      </c>
      <c r="B62" t="str">
        <v>ENHS</v>
      </c>
      <c r="C62" t="str">
        <v>Enhancement Spot</v>
      </c>
      <c r="D62" t="str">
        <v>SPAU</v>
      </c>
      <c r="E62" t="str">
        <v>Yes</v>
      </c>
    </row>
    <row r="63">
      <c r="A63" t="str">
        <v>LIMU</v>
      </c>
      <c r="B63" t="str">
        <v>ENQD</v>
      </c>
      <c r="C63" t="str">
        <v>Lock Object Definition</v>
      </c>
      <c r="D63" t="str">
        <v>SPDD</v>
      </c>
      <c r="E63" t="str">
        <v>Yes</v>
      </c>
    </row>
    <row r="64">
      <c r="A64" t="str">
        <v>R3TR</v>
      </c>
      <c r="B64" t="str">
        <v>ENQU</v>
      </c>
      <c r="C64" t="str">
        <v>Lock Object</v>
      </c>
      <c r="D64" t="str">
        <v>SPDD</v>
      </c>
      <c r="E64" t="str">
        <v>Yes</v>
      </c>
    </row>
    <row r="65">
      <c r="A65" t="str">
        <v>R3TR</v>
      </c>
      <c r="B65" t="str">
        <v>ENSC</v>
      </c>
      <c r="C65" t="str">
        <v>Composite Enhancement Spot</v>
      </c>
      <c r="D65" t="str">
        <v>SPAU</v>
      </c>
      <c r="E65" t="str">
        <v>Yes</v>
      </c>
    </row>
    <row r="66">
      <c r="A66" t="str">
        <v>R3TR</v>
      </c>
      <c r="B66" t="str">
        <v>FORM</v>
      </c>
      <c r="C66" t="str">
        <v>SAPscript Form</v>
      </c>
      <c r="D66" t="str">
        <v>SPAU</v>
      </c>
      <c r="E66" t="str">
        <v>Yes</v>
      </c>
    </row>
    <row r="67">
      <c r="A67" t="str">
        <v>R3TR</v>
      </c>
      <c r="B67" t="str">
        <v>FUGR</v>
      </c>
      <c r="C67" t="str">
        <v>Function Group</v>
      </c>
      <c r="D67" t="str">
        <v>SPAU</v>
      </c>
      <c r="E67" t="str">
        <v>Yes</v>
      </c>
    </row>
    <row r="68">
      <c r="A68" t="str">
        <v>R3TR</v>
      </c>
      <c r="B68" t="str">
        <v>FUGS</v>
      </c>
      <c r="C68" t="str">
        <v>Function Group with Customer Include: SAP Part</v>
      </c>
      <c r="D68" t="str">
        <v>SPAU</v>
      </c>
      <c r="E68" t="str">
        <v>Yes</v>
      </c>
    </row>
    <row r="69">
      <c r="A69" t="str">
        <v>LIMU</v>
      </c>
      <c r="B69" t="str">
        <v>FUGT</v>
      </c>
      <c r="C69" t="str">
        <v>Function Group Texts</v>
      </c>
      <c r="D69" t="str">
        <v>SPAU</v>
      </c>
      <c r="E69" t="str">
        <v>Yes</v>
      </c>
    </row>
    <row r="70">
      <c r="A70" t="str">
        <v>R3TR</v>
      </c>
      <c r="B70" t="str">
        <v>FUGX</v>
      </c>
      <c r="C70" t="str">
        <v>Function Group with Customer Include: Customer Part</v>
      </c>
      <c r="D70" t="str">
        <v>SPAU</v>
      </c>
      <c r="E70" t="str">
        <v>Yes</v>
      </c>
    </row>
    <row r="71">
      <c r="A71" t="str">
        <v>LIMU</v>
      </c>
      <c r="B71" t="str">
        <v>FUNC</v>
      </c>
      <c r="C71" t="str">
        <v>Function Module</v>
      </c>
      <c r="D71" t="str">
        <v>SPAU</v>
      </c>
      <c r="E71" t="str">
        <v>Yes</v>
      </c>
    </row>
    <row r="72">
      <c r="A72" t="str">
        <v>R3TR</v>
      </c>
      <c r="B72" t="str">
        <v>G4BA</v>
      </c>
      <c r="C72" t="str">
        <v>SAP Gateway OData V4 Backend Service Group &amp; Assigments</v>
      </c>
      <c r="D72" t="str">
        <v>SPAU</v>
      </c>
      <c r="E72" t="str">
        <v>No</v>
      </c>
    </row>
    <row r="73">
      <c r="A73" t="str">
        <v>R3TR</v>
      </c>
      <c r="B73" t="str">
        <v>G4BS</v>
      </c>
      <c r="C73" t="str">
        <v>SAP Gateway OData V4 Backend Service</v>
      </c>
      <c r="D73" t="str">
        <v>SPAU</v>
      </c>
      <c r="E73" t="str">
        <v>No</v>
      </c>
    </row>
    <row r="74">
      <c r="A74" t="str">
        <v>R3TR</v>
      </c>
      <c r="B74" t="str">
        <v>GCPM</v>
      </c>
      <c r="C74" t="str">
        <v>SAP Gateway OData Client Proxy - Proxy Model</v>
      </c>
      <c r="D74" t="str">
        <v>SPAU</v>
      </c>
      <c r="E74" t="str">
        <v>No</v>
      </c>
    </row>
    <row r="75">
      <c r="A75" t="str">
        <v>R3TR</v>
      </c>
      <c r="B75" t="str">
        <v>IAMU</v>
      </c>
      <c r="C75" t="str">
        <v>Language-Independent IAC Binary Data</v>
      </c>
      <c r="D75" t="str">
        <v>SPAU</v>
      </c>
      <c r="E75" t="str">
        <v>No</v>
      </c>
    </row>
    <row r="76">
      <c r="A76" t="str">
        <v>R3TR</v>
      </c>
      <c r="B76" t="str">
        <v>IARP</v>
      </c>
      <c r="C76" t="str">
        <v>Parameters of IAC Language Resource</v>
      </c>
      <c r="D76" t="str">
        <v>SPAU</v>
      </c>
      <c r="E76" t="str">
        <v>No</v>
      </c>
    </row>
    <row r="77">
      <c r="A77" t="str">
        <v>R3TR</v>
      </c>
      <c r="B77" t="str">
        <v>IASP</v>
      </c>
      <c r="C77" t="str">
        <v>Parameters of an IAC service</v>
      </c>
      <c r="D77" t="str">
        <v>SPAU</v>
      </c>
      <c r="E77" t="str">
        <v>No</v>
      </c>
    </row>
    <row r="78">
      <c r="A78" t="str">
        <v>R3TR</v>
      </c>
      <c r="B78" t="str">
        <v>IATU</v>
      </c>
      <c r="C78" t="str">
        <v>Language-Independent IAC Templates</v>
      </c>
      <c r="D78" t="str">
        <v>SPAU</v>
      </c>
      <c r="E78" t="str">
        <v>No</v>
      </c>
    </row>
    <row r="79">
      <c r="A79" t="str">
        <v>R3TR</v>
      </c>
      <c r="B79" t="str">
        <v>IDOC</v>
      </c>
      <c r="C79" t="str">
        <v>IDoc Type</v>
      </c>
      <c r="D79" t="str">
        <v>SPAU</v>
      </c>
      <c r="E79" t="str">
        <v>No</v>
      </c>
    </row>
    <row r="80">
      <c r="A80" t="str">
        <v>R3TR</v>
      </c>
      <c r="B80" t="str">
        <v>ILTP</v>
      </c>
      <c r="C80" t="str">
        <v>Logical Transport Object for Relationship Types</v>
      </c>
      <c r="D80" t="str">
        <v>SPAU</v>
      </c>
      <c r="E80" t="str">
        <v>No</v>
      </c>
    </row>
    <row r="81">
      <c r="A81" t="str">
        <v>LIMU</v>
      </c>
      <c r="B81" t="str">
        <v>INDX</v>
      </c>
      <c r="C81" t="str">
        <v>Table Index</v>
      </c>
      <c r="D81" t="str">
        <v>SPDD</v>
      </c>
      <c r="E81" t="str">
        <v>Yes</v>
      </c>
    </row>
    <row r="82">
      <c r="A82" t="str">
        <v>LIMU</v>
      </c>
      <c r="B82" t="str">
        <v>INTD</v>
      </c>
      <c r="C82" t="str">
        <v>Interface Definition (ABAP Objects)</v>
      </c>
      <c r="D82" t="str">
        <v>SPAU</v>
      </c>
      <c r="E82" t="str">
        <v>Yes</v>
      </c>
    </row>
    <row r="83">
      <c r="A83" t="str">
        <v>R3TR</v>
      </c>
      <c r="B83" t="str">
        <v>INTF</v>
      </c>
      <c r="C83" t="str">
        <v>Interface (ABAP Objects)</v>
      </c>
      <c r="D83" t="str">
        <v>SPAU</v>
      </c>
      <c r="E83" t="str">
        <v>Yes</v>
      </c>
    </row>
    <row r="84">
      <c r="A84" t="str">
        <v>R3TR</v>
      </c>
      <c r="B84" t="str">
        <v>IOBC</v>
      </c>
      <c r="C84" t="str">
        <v>InfoObject catalog</v>
      </c>
      <c r="D84" t="str">
        <v>SPAU</v>
      </c>
      <c r="E84" t="str">
        <v>No</v>
      </c>
    </row>
    <row r="85">
      <c r="A85" t="str">
        <v>R3TR</v>
      </c>
      <c r="B85" t="str">
        <v>IOBJ</v>
      </c>
      <c r="C85" t="str">
        <v>InfoObject</v>
      </c>
      <c r="D85" t="str">
        <v>SPAU</v>
      </c>
      <c r="E85" t="str">
        <v>No</v>
      </c>
    </row>
    <row r="86">
      <c r="A86" t="str">
        <v>R3TR</v>
      </c>
      <c r="B86" t="str">
        <v>ISCS</v>
      </c>
      <c r="C86" t="str">
        <v>Communication structure</v>
      </c>
      <c r="D86" t="str">
        <v>SPAU</v>
      </c>
      <c r="E86" t="str">
        <v>No</v>
      </c>
    </row>
    <row r="87">
      <c r="A87" t="str">
        <v>R3TR</v>
      </c>
      <c r="B87" t="str">
        <v>ISET</v>
      </c>
      <c r="C87" t="str">
        <v>InfoSet in BW</v>
      </c>
      <c r="D87" t="str">
        <v>SPAU</v>
      </c>
      <c r="E87" t="str">
        <v>No</v>
      </c>
    </row>
    <row r="88">
      <c r="A88" t="str">
        <v>R3TR</v>
      </c>
      <c r="B88" t="str">
        <v>ISFS</v>
      </c>
      <c r="C88" t="str">
        <v>DataSource Replica</v>
      </c>
      <c r="D88" t="str">
        <v>SPAU</v>
      </c>
      <c r="E88" t="str">
        <v>No</v>
      </c>
    </row>
    <row r="89">
      <c r="A89" t="str">
        <v>R3TR</v>
      </c>
      <c r="B89" t="str">
        <v>ISIP</v>
      </c>
      <c r="C89" t="str">
        <v>InfoPackage</v>
      </c>
      <c r="D89" t="str">
        <v>SPAU</v>
      </c>
      <c r="E89" t="str">
        <v>No</v>
      </c>
    </row>
    <row r="90">
      <c r="A90" t="str">
        <v>R3TR</v>
      </c>
      <c r="B90" t="str">
        <v>ISMP</v>
      </c>
      <c r="C90" t="str">
        <v>Transfer Rules</v>
      </c>
      <c r="D90" t="str">
        <v>SPAU</v>
      </c>
      <c r="E90" t="str">
        <v>No</v>
      </c>
    </row>
    <row r="91">
      <c r="A91" t="str">
        <v>R3TR</v>
      </c>
      <c r="B91" t="str">
        <v>ISTD</v>
      </c>
      <c r="C91" t="str">
        <v>InfoSource transaction data</v>
      </c>
      <c r="D91" t="str">
        <v>SPAU</v>
      </c>
      <c r="E91" t="str">
        <v>No</v>
      </c>
    </row>
    <row r="92">
      <c r="A92" t="str">
        <v>R3TR</v>
      </c>
      <c r="B92" t="str">
        <v>ISTS</v>
      </c>
      <c r="C92" t="str">
        <v>Transfer structure</v>
      </c>
      <c r="D92" t="str">
        <v>SPAU</v>
      </c>
      <c r="E92" t="str">
        <v>No</v>
      </c>
    </row>
    <row r="93">
      <c r="A93" t="str">
        <v>R3TR</v>
      </c>
      <c r="B93" t="str">
        <v>IWMO</v>
      </c>
      <c r="C93" t="str">
        <v>SAP Gateway Business Suite Enablement - Model</v>
      </c>
      <c r="D93" t="str">
        <v>SPAU</v>
      </c>
      <c r="E93" t="str">
        <v>No</v>
      </c>
    </row>
    <row r="94">
      <c r="A94" t="str">
        <v>R3TR</v>
      </c>
      <c r="B94" t="str">
        <v>IWNG</v>
      </c>
      <c r="C94" t="str">
        <v>Notification Gateway - Notification Provider Registration</v>
      </c>
      <c r="D94" t="str">
        <v>SPAU</v>
      </c>
      <c r="E94" t="str">
        <v>No</v>
      </c>
    </row>
    <row r="95">
      <c r="A95" t="str">
        <v>R3TR</v>
      </c>
      <c r="B95" t="str">
        <v>IWOM</v>
      </c>
      <c r="C95" t="str">
        <v>SAP Gateway: Model Metadata</v>
      </c>
      <c r="D95" t="str">
        <v>SPDD</v>
      </c>
      <c r="E95" t="str">
        <v>No</v>
      </c>
    </row>
    <row r="96">
      <c r="A96" t="str">
        <v>R3TR</v>
      </c>
      <c r="B96" t="str">
        <v>IWPR</v>
      </c>
      <c r="C96" t="str">
        <v>SAP Gateway BSE - Service Builder Project</v>
      </c>
      <c r="D96" t="str">
        <v>SPAU</v>
      </c>
      <c r="E96" t="str">
        <v>No</v>
      </c>
    </row>
    <row r="97">
      <c r="A97" t="str">
        <v>R3TR</v>
      </c>
      <c r="B97" t="str">
        <v>IWSC</v>
      </c>
      <c r="C97" t="str">
        <v>SAP Gateway:Screen scraping</v>
      </c>
      <c r="D97" t="str">
        <v>SPAU</v>
      </c>
      <c r="E97" t="str">
        <v>No</v>
      </c>
    </row>
    <row r="98">
      <c r="A98" t="str">
        <v>R3TR</v>
      </c>
      <c r="B98" t="str">
        <v>IWSG</v>
      </c>
      <c r="C98" t="str">
        <v>SAP Gateway: Service Groups Metadata</v>
      </c>
      <c r="D98" t="str">
        <v>SPDD</v>
      </c>
      <c r="E98" t="str">
        <v>No</v>
      </c>
    </row>
    <row r="99">
      <c r="A99" t="str">
        <v>R3TR</v>
      </c>
      <c r="B99" t="str">
        <v>IWSV</v>
      </c>
      <c r="C99" t="str">
        <v>SAP Gateway Business Suite Enablement - Service</v>
      </c>
      <c r="D99" t="str">
        <v>SPAU</v>
      </c>
      <c r="E99" t="str">
        <v>No</v>
      </c>
    </row>
    <row r="100">
      <c r="A100" t="str">
        <v>R3TR</v>
      </c>
      <c r="B100" t="str">
        <v>IWVB</v>
      </c>
      <c r="C100" t="str">
        <v>SAP Gateway Business Suite Enablement -Vocabulary Annotation</v>
      </c>
      <c r="D100" t="str">
        <v>SPAU</v>
      </c>
      <c r="E100" t="str">
        <v>No</v>
      </c>
    </row>
    <row r="101">
      <c r="A101" t="str">
        <v>R3TR</v>
      </c>
      <c r="B101" t="str">
        <v>IWVO</v>
      </c>
      <c r="C101" t="str">
        <v>SAP Gateway Business Suite Enablement - Vocabulary</v>
      </c>
      <c r="D101" t="str">
        <v>SPAU</v>
      </c>
      <c r="E101" t="str">
        <v>No</v>
      </c>
    </row>
    <row r="102">
      <c r="A102" t="str">
        <v>R3TR</v>
      </c>
      <c r="B102" t="str">
        <v>JARC</v>
      </c>
      <c r="C102" t="str">
        <v>Java Archive</v>
      </c>
      <c r="D102" t="str">
        <v>SPAU</v>
      </c>
      <c r="E102" t="str">
        <v>No</v>
      </c>
    </row>
    <row r="103">
      <c r="A103" t="str">
        <v>R3TR</v>
      </c>
      <c r="B103" t="str">
        <v>LDBA</v>
      </c>
      <c r="C103" t="str">
        <v>Logical Database</v>
      </c>
      <c r="D103" t="str">
        <v>SPAU</v>
      </c>
      <c r="E103" t="str">
        <v>Yes</v>
      </c>
    </row>
    <row r="104">
      <c r="A104" t="str">
        <v>R3TR</v>
      </c>
      <c r="B104" t="str">
        <v>LODC</v>
      </c>
      <c r="C104" t="str">
        <v>HRDSYS: Logical information object client-dep. table C</v>
      </c>
      <c r="D104" t="str">
        <v>SPDD</v>
      </c>
      <c r="E104" t="str">
        <v>No</v>
      </c>
    </row>
    <row r="105">
      <c r="A105" t="str">
        <v>R3TR</v>
      </c>
      <c r="B105" t="str">
        <v>LODE</v>
      </c>
      <c r="C105" t="str">
        <v>HRDSYS: Logical information object client-dep. table E</v>
      </c>
      <c r="D105" t="str">
        <v>SPDD</v>
      </c>
      <c r="E105" t="str">
        <v>No</v>
      </c>
    </row>
    <row r="106">
      <c r="A106" t="str">
        <v>R3TR</v>
      </c>
      <c r="B106" t="str">
        <v>LODS</v>
      </c>
      <c r="C106" t="str">
        <v>HRDSYS: Logical information object client-dep. table E SYST</v>
      </c>
      <c r="D106" t="str">
        <v>SPDD</v>
      </c>
      <c r="E106" t="str">
        <v>No</v>
      </c>
    </row>
    <row r="107">
      <c r="A107" t="str">
        <v>R3TR</v>
      </c>
      <c r="B107" t="str">
        <v>LOIE</v>
      </c>
      <c r="C107" t="str">
        <v>HRDSYS: Logical information object client-indep. table E</v>
      </c>
      <c r="D107" t="str">
        <v>SPDD</v>
      </c>
      <c r="E107" t="str">
        <v>No</v>
      </c>
    </row>
    <row r="108">
      <c r="A108" t="str">
        <v>R3TR</v>
      </c>
      <c r="B108" t="str">
        <v>MCID</v>
      </c>
      <c r="C108" t="str">
        <v>Matchcode ID</v>
      </c>
      <c r="D108" t="str">
        <v>SPDD</v>
      </c>
      <c r="E108" t="str">
        <v>No</v>
      </c>
    </row>
    <row r="109">
      <c r="A109" t="str">
        <v>R3TR</v>
      </c>
      <c r="B109" t="str">
        <v>MCOB</v>
      </c>
      <c r="C109" t="str">
        <v>Matchcode Object</v>
      </c>
      <c r="D109" t="str">
        <v>SPDD</v>
      </c>
      <c r="E109" t="str">
        <v>No</v>
      </c>
    </row>
    <row r="110">
      <c r="A110" t="str">
        <v>LIMU</v>
      </c>
      <c r="B110" t="str">
        <v>MCOD</v>
      </c>
      <c r="C110" t="str">
        <v>Matchcode Object Definition</v>
      </c>
      <c r="D110" t="str">
        <v>SPDD</v>
      </c>
      <c r="E110" t="str">
        <v>No</v>
      </c>
    </row>
    <row r="111">
      <c r="A111" t="str">
        <v>LIMU</v>
      </c>
      <c r="B111" t="str">
        <v>MESS</v>
      </c>
      <c r="C111" t="str">
        <v>Single Message</v>
      </c>
      <c r="D111" t="str">
        <v>SPAU</v>
      </c>
      <c r="E111" t="str">
        <v>Yes</v>
      </c>
    </row>
    <row r="112">
      <c r="A112" t="str">
        <v>LIMU</v>
      </c>
      <c r="B112" t="str">
        <v>METH</v>
      </c>
      <c r="C112" t="str">
        <v>Method (ABAP Objects)</v>
      </c>
      <c r="D112" t="str">
        <v>SPAU</v>
      </c>
      <c r="E112" t="str">
        <v>Yes</v>
      </c>
    </row>
    <row r="113">
      <c r="A113" t="str">
        <v>R3TR</v>
      </c>
      <c r="B113" t="str">
        <v>MPRO</v>
      </c>
      <c r="C113" t="str">
        <v>MultiProvider</v>
      </c>
      <c r="D113" t="str">
        <v>SPAU</v>
      </c>
      <c r="E113" t="str">
        <v>No</v>
      </c>
    </row>
    <row r="114">
      <c r="A114" t="str">
        <v>LIMU</v>
      </c>
      <c r="B114" t="str">
        <v>MSAD</v>
      </c>
      <c r="C114" t="str">
        <v>Message Class: Definition and All Short Texts</v>
      </c>
      <c r="D114" t="str">
        <v>SPAU</v>
      </c>
      <c r="E114" t="str">
        <v>Yes</v>
      </c>
    </row>
    <row r="115">
      <c r="A115" t="str">
        <v>R3TR</v>
      </c>
      <c r="B115" t="str">
        <v>MSAG</v>
      </c>
      <c r="C115" t="str">
        <v>Message Class</v>
      </c>
      <c r="D115" t="str">
        <v>SPAU</v>
      </c>
      <c r="E115" t="str">
        <v>Yes</v>
      </c>
    </row>
    <row r="116">
      <c r="A116" t="str">
        <v>R3TR</v>
      </c>
      <c r="B116" t="str">
        <v>NOTE</v>
      </c>
      <c r="C116" t="str">
        <v>SAP Note</v>
      </c>
      <c r="D116" t="str">
        <v>SPAU</v>
      </c>
      <c r="E116" t="str">
        <v>Yes</v>
      </c>
    </row>
    <row r="117">
      <c r="A117" t="str">
        <v>R3TR</v>
      </c>
      <c r="B117" t="str">
        <v>NOTE</v>
      </c>
      <c r="C117" t="str">
        <v>SAP Note</v>
      </c>
      <c r="D117" t="str">
        <v>SPAU</v>
      </c>
      <c r="E117" t="str">
        <v>Yes</v>
      </c>
    </row>
    <row r="118">
      <c r="A118" t="str">
        <v>R3TR</v>
      </c>
      <c r="B118" t="str">
        <v>ODSO</v>
      </c>
      <c r="C118" t="str">
        <v>DataStore Object</v>
      </c>
      <c r="D118" t="str">
        <v>SPAU</v>
      </c>
      <c r="E118" t="str">
        <v>No</v>
      </c>
    </row>
    <row r="119">
      <c r="A119" t="str">
        <v>R3TR</v>
      </c>
      <c r="B119" t="str">
        <v>OFAM</v>
      </c>
      <c r="C119" t="str">
        <v>Logical Transport Object for Object Families</v>
      </c>
      <c r="D119" t="str">
        <v>SPAU</v>
      </c>
      <c r="E119" t="str">
        <v>No</v>
      </c>
    </row>
    <row r="120">
      <c r="A120" t="str">
        <v>R3TR</v>
      </c>
      <c r="B120" t="str">
        <v>OSOA</v>
      </c>
      <c r="C120" t="str">
        <v>DataSource (Active Version)</v>
      </c>
      <c r="D120" t="str">
        <v>SPAU</v>
      </c>
      <c r="E120" t="str">
        <v>No</v>
      </c>
    </row>
    <row r="121">
      <c r="A121" t="str">
        <v>R3TR</v>
      </c>
      <c r="B121" t="str">
        <v>PARA</v>
      </c>
      <c r="C121" t="str">
        <v>SPA/GPA Parameters</v>
      </c>
      <c r="D121" t="str">
        <v>SPAU</v>
      </c>
      <c r="E121" t="str">
        <v>Yes</v>
      </c>
    </row>
    <row r="122">
      <c r="A122" t="str">
        <v>R3TR</v>
      </c>
      <c r="B122" t="str">
        <v>PCYS</v>
      </c>
      <c r="C122" t="str">
        <v>HR: Transport standard personnel calculation rules</v>
      </c>
      <c r="D122" t="str">
        <v>SPAU</v>
      </c>
      <c r="E122" t="str">
        <v>No</v>
      </c>
    </row>
    <row r="123">
      <c r="A123" t="str">
        <v>R3TR</v>
      </c>
      <c r="B123" t="str">
        <v>PDAC</v>
      </c>
      <c r="C123" t="str">
        <v>Standard rule</v>
      </c>
      <c r="D123" t="str">
        <v>SPAU</v>
      </c>
      <c r="E123" t="str">
        <v>No</v>
      </c>
    </row>
    <row r="124">
      <c r="A124" t="str">
        <v>R3TR</v>
      </c>
      <c r="B124" t="str">
        <v>PDTG</v>
      </c>
      <c r="C124" t="str">
        <v>Task Group</v>
      </c>
      <c r="D124" t="str">
        <v>SPAU</v>
      </c>
      <c r="E124" t="str">
        <v>No</v>
      </c>
    </row>
    <row r="125">
      <c r="A125" t="str">
        <v>R3TR</v>
      </c>
      <c r="B125" t="str">
        <v>PDTS</v>
      </c>
      <c r="C125" t="str">
        <v>Standard Task</v>
      </c>
      <c r="D125" t="str">
        <v>SPAU</v>
      </c>
      <c r="E125" t="str">
        <v>No</v>
      </c>
    </row>
    <row r="126">
      <c r="A126" t="str">
        <v>R3TR</v>
      </c>
      <c r="B126" t="str">
        <v>PDWS</v>
      </c>
      <c r="C126" t="str">
        <v>Workflow template</v>
      </c>
      <c r="D126" t="str">
        <v>SPAU</v>
      </c>
      <c r="E126" t="str">
        <v>No</v>
      </c>
    </row>
    <row r="127">
      <c r="A127" t="str">
        <v>R3TR</v>
      </c>
      <c r="B127" t="str">
        <v>PFCS</v>
      </c>
      <c r="C127" t="str">
        <v>Transport SAP Standard Function in Payroll</v>
      </c>
      <c r="D127" t="str">
        <v>SPAU</v>
      </c>
      <c r="E127" t="str">
        <v>No</v>
      </c>
    </row>
    <row r="128">
      <c r="A128" t="str">
        <v>R3TR</v>
      </c>
      <c r="B128" t="str">
        <v>PHDE</v>
      </c>
      <c r="C128" t="str">
        <v>HRDSYS: physical information object client-dep. table E</v>
      </c>
      <c r="D128" t="str">
        <v>SPAU</v>
      </c>
      <c r="E128" t="str">
        <v>No</v>
      </c>
    </row>
    <row r="129">
      <c r="A129" t="str">
        <v>LIMU</v>
      </c>
      <c r="B129" t="str">
        <v>PIFA</v>
      </c>
      <c r="C129" t="str">
        <v>Package Interface: Assignments</v>
      </c>
      <c r="D129" t="str">
        <v>SPAU</v>
      </c>
      <c r="E129" t="str">
        <v>Yes</v>
      </c>
    </row>
    <row r="130">
      <c r="A130" t="str">
        <v>LIMU</v>
      </c>
      <c r="B130" t="str">
        <v>PIFH</v>
      </c>
      <c r="C130" t="str">
        <v>Package Interface: Header Information</v>
      </c>
      <c r="D130" t="str">
        <v>SPAU</v>
      </c>
      <c r="E130" t="str">
        <v>Yes</v>
      </c>
    </row>
    <row r="131">
      <c r="A131" t="str">
        <v>R3TR</v>
      </c>
      <c r="B131" t="str">
        <v>PINF</v>
      </c>
      <c r="C131" t="str">
        <v>Package interface</v>
      </c>
      <c r="D131" t="str">
        <v>SPAU</v>
      </c>
      <c r="E131" t="str">
        <v>No</v>
      </c>
    </row>
    <row r="132">
      <c r="A132" t="str">
        <v>R3TR</v>
      </c>
      <c r="B132" t="str">
        <v>PMKS</v>
      </c>
      <c r="C132" t="str">
        <v>HR: Transport of standard features</v>
      </c>
      <c r="D132" t="str">
        <v>SPAU</v>
      </c>
      <c r="E132" t="str">
        <v>No</v>
      </c>
    </row>
    <row r="133">
      <c r="A133" t="str">
        <v>R3TR</v>
      </c>
      <c r="B133" t="str">
        <v>POCS</v>
      </c>
      <c r="C133" t="str">
        <v>Transport SAP standard operation in payroll</v>
      </c>
      <c r="D133" t="str">
        <v>SPAU</v>
      </c>
      <c r="E133" t="str">
        <v>No</v>
      </c>
    </row>
    <row r="134">
      <c r="A134" t="str">
        <v>R3TR</v>
      </c>
      <c r="B134" t="str">
        <v>POTS</v>
      </c>
      <c r="C134" t="str">
        <v>Transport SAP standard operation in time management</v>
      </c>
      <c r="D134" t="str">
        <v>SPAU</v>
      </c>
      <c r="E134" t="str">
        <v>No</v>
      </c>
    </row>
    <row r="135">
      <c r="A135" t="str">
        <v>R3TR</v>
      </c>
      <c r="B135" t="str">
        <v>PROG</v>
      </c>
      <c r="C135" t="str">
        <v>Program</v>
      </c>
      <c r="D135" t="str">
        <v>SPAU</v>
      </c>
      <c r="E135" t="str">
        <v>Yes</v>
      </c>
    </row>
    <row r="136">
      <c r="A136" t="str">
        <v>R3TR</v>
      </c>
      <c r="B136" t="str">
        <v>PSCS</v>
      </c>
      <c r="C136" t="str">
        <v>HR: Transport standard schemas</v>
      </c>
      <c r="D136" t="str">
        <v>SPAU</v>
      </c>
      <c r="E136" t="str">
        <v>No</v>
      </c>
    </row>
    <row r="137">
      <c r="A137" t="str">
        <v>R3TR</v>
      </c>
      <c r="B137" t="str">
        <v>RAPA</v>
      </c>
      <c r="C137" t="str">
        <v>Planning package for the Report Agent</v>
      </c>
      <c r="D137" t="str">
        <v>SPAU</v>
      </c>
      <c r="E137" t="str">
        <v>No</v>
      </c>
    </row>
    <row r="138">
      <c r="A138" t="str">
        <v>R3TR</v>
      </c>
      <c r="B138" t="str">
        <v>REP0</v>
      </c>
      <c r="C138" t="str">
        <v>Reports</v>
      </c>
      <c r="D138" t="str">
        <v>SPAU</v>
      </c>
      <c r="E138" t="str">
        <v>Yes</v>
      </c>
    </row>
    <row r="139">
      <c r="A139" t="str">
        <v>R3TR</v>
      </c>
      <c r="B139" t="str">
        <v>REP2</v>
      </c>
      <c r="C139" t="str">
        <v>Reports</v>
      </c>
      <c r="D139" t="str">
        <v>SPAU</v>
      </c>
      <c r="E139" t="str">
        <v>Yes</v>
      </c>
    </row>
    <row r="140">
      <c r="A140" t="str">
        <v>LIMU</v>
      </c>
      <c r="B140" t="str">
        <v>REPO</v>
      </c>
      <c r="C140" t="str">
        <v>Report Program Source Code and Texts</v>
      </c>
      <c r="D140" t="str">
        <v>SPAU</v>
      </c>
      <c r="E140" t="str">
        <v>Yes</v>
      </c>
    </row>
    <row r="141">
      <c r="A141" t="str">
        <v>LIMU</v>
      </c>
      <c r="B141" t="str">
        <v>REPS</v>
      </c>
      <c r="C141" t="str">
        <v>Report Source Code</v>
      </c>
      <c r="D141" t="str">
        <v>SPAU</v>
      </c>
      <c r="E141" t="str">
        <v>Yes</v>
      </c>
    </row>
    <row r="142">
      <c r="A142" t="str">
        <v>LIMU</v>
      </c>
      <c r="B142" t="str">
        <v>REPT</v>
      </c>
      <c r="C142" t="str">
        <v>Report Texts</v>
      </c>
      <c r="D142" t="str">
        <v>SPAU</v>
      </c>
      <c r="E142" t="str">
        <v>Yes</v>
      </c>
    </row>
    <row r="143">
      <c r="A143" t="str">
        <v>R3TR</v>
      </c>
      <c r="B143" t="str">
        <v>ROUT</v>
      </c>
      <c r="C143" t="str">
        <v>Routine</v>
      </c>
      <c r="D143" t="str">
        <v>SPAU</v>
      </c>
      <c r="E143" t="str">
        <v>Yes</v>
      </c>
    </row>
    <row r="144">
      <c r="A144" t="str">
        <v>R3TR</v>
      </c>
      <c r="B144" t="str">
        <v>RSPC</v>
      </c>
      <c r="C144" t="str">
        <v>Process chain</v>
      </c>
      <c r="D144" t="str">
        <v>SPAU</v>
      </c>
      <c r="E144" t="str">
        <v>No</v>
      </c>
    </row>
    <row r="145">
      <c r="A145" t="str">
        <v>R3TR</v>
      </c>
      <c r="B145" t="str">
        <v>RSPI</v>
      </c>
      <c r="C145" t="str">
        <v>Interrupt Process</v>
      </c>
      <c r="D145" t="str">
        <v>SPAU</v>
      </c>
      <c r="E145" t="str">
        <v>No</v>
      </c>
    </row>
    <row r="146">
      <c r="A146" t="str">
        <v>R3TR</v>
      </c>
      <c r="B146" t="str">
        <v>RSPT</v>
      </c>
      <c r="C146" t="str">
        <v>Process Chain Starter</v>
      </c>
      <c r="D146" t="str">
        <v>SPAU</v>
      </c>
      <c r="E146" t="str">
        <v>No</v>
      </c>
    </row>
    <row r="147">
      <c r="A147" t="str">
        <v>R3TR</v>
      </c>
      <c r="B147" t="str">
        <v>SCVI</v>
      </c>
      <c r="C147" t="str">
        <v>Screen variants</v>
      </c>
      <c r="D147" t="str">
        <v>SPAU</v>
      </c>
      <c r="E147" t="str">
        <v>Yes</v>
      </c>
    </row>
    <row r="148">
      <c r="A148" t="str">
        <v>R3TR</v>
      </c>
      <c r="B148" t="str">
        <v>SE19</v>
      </c>
      <c r="C148" t="str">
        <v>BAdi Implementation</v>
      </c>
      <c r="D148" t="str">
        <v>SPAU</v>
      </c>
      <c r="E148" t="str">
        <v>Yes</v>
      </c>
    </row>
    <row r="149">
      <c r="A149" t="str">
        <v>R3TR</v>
      </c>
      <c r="B149" t="str">
        <v>SFBF</v>
      </c>
      <c r="C149" t="str">
        <v>Business Function + Assignment</v>
      </c>
      <c r="D149" t="str">
        <v>SPAU</v>
      </c>
      <c r="E149" t="str">
        <v>No</v>
      </c>
    </row>
    <row r="150">
      <c r="A150" t="str">
        <v>R3TR</v>
      </c>
      <c r="B150" t="str">
        <v>SFBS</v>
      </c>
      <c r="C150" t="str">
        <v>Business Function Set + Assignment</v>
      </c>
      <c r="D150" t="str">
        <v>SPAU</v>
      </c>
      <c r="E150" t="str">
        <v>No</v>
      </c>
    </row>
    <row r="151">
      <c r="A151" t="str">
        <v>R3TR</v>
      </c>
      <c r="B151" t="str">
        <v>SFPF</v>
      </c>
      <c r="C151" t="str">
        <v>Form Object: Form</v>
      </c>
      <c r="D151" t="str">
        <v>SPAU</v>
      </c>
      <c r="E151" t="str">
        <v>Yes</v>
      </c>
    </row>
    <row r="152">
      <c r="A152" t="str">
        <v>R3TR</v>
      </c>
      <c r="B152" t="str">
        <v>SFPI</v>
      </c>
      <c r="C152" t="str">
        <v>Form Object: Interface</v>
      </c>
      <c r="D152" t="str">
        <v>SPAU</v>
      </c>
      <c r="E152" t="str">
        <v>Yes</v>
      </c>
    </row>
    <row r="153">
      <c r="A153" t="str">
        <v>LIMU</v>
      </c>
      <c r="B153" t="str">
        <v>SHLD</v>
      </c>
      <c r="C153" t="str">
        <v>Search Help Definition</v>
      </c>
      <c r="D153" t="str">
        <v>SPDD</v>
      </c>
      <c r="E153" t="str">
        <v>Yes</v>
      </c>
    </row>
    <row r="154">
      <c r="A154" t="str">
        <v>R3TR</v>
      </c>
      <c r="B154" t="str">
        <v>SHLP</v>
      </c>
      <c r="C154" t="str">
        <v>Search Help</v>
      </c>
      <c r="D154" t="str">
        <v>SPDD</v>
      </c>
      <c r="E154" t="str">
        <v>Yes</v>
      </c>
    </row>
    <row r="155">
      <c r="A155" t="str">
        <v>LIMU</v>
      </c>
      <c r="B155" t="str">
        <v>SHLX</v>
      </c>
      <c r="C155" t="str">
        <v>Text Component of Search Help Definition</v>
      </c>
      <c r="D155" t="str">
        <v>SPDD</v>
      </c>
      <c r="E155" t="str">
        <v>Yes</v>
      </c>
    </row>
    <row r="156">
      <c r="A156" t="str">
        <v>R3TR</v>
      </c>
      <c r="B156" t="str">
        <v>SHMA</v>
      </c>
      <c r="C156" t="str">
        <v>Shared Objects: Defined Area Attributes</v>
      </c>
      <c r="D156" t="str">
        <v>SPAU</v>
      </c>
      <c r="E156" t="str">
        <v>No</v>
      </c>
    </row>
    <row r="157">
      <c r="A157" t="str">
        <v>R3TR</v>
      </c>
      <c r="B157" t="str">
        <v>SMIM</v>
      </c>
      <c r="C157" t="str">
        <v>Info Object from the MIME Repository</v>
      </c>
      <c r="D157" t="str">
        <v>SPAU</v>
      </c>
      <c r="E157" t="str">
        <v>No</v>
      </c>
    </row>
    <row r="158">
      <c r="A158" t="str">
        <v>R3TR</v>
      </c>
      <c r="B158" t="str">
        <v>SMOD</v>
      </c>
      <c r="C158" t="str">
        <v>SAP enhancements</v>
      </c>
      <c r="D158" t="str">
        <v>SPAU</v>
      </c>
      <c r="E158" t="str">
        <v>Yes</v>
      </c>
    </row>
    <row r="159">
      <c r="A159" t="str">
        <v>R3TR</v>
      </c>
      <c r="B159" t="str">
        <v>SOBJ</v>
      </c>
      <c r="C159" t="str">
        <v>Business object types</v>
      </c>
      <c r="D159" t="str">
        <v>SPAU</v>
      </c>
      <c r="E159" t="str">
        <v>Yes</v>
      </c>
    </row>
    <row r="160">
      <c r="A160" t="str">
        <v>R3TR</v>
      </c>
      <c r="B160" t="str">
        <v>SOTR</v>
      </c>
      <c r="C160" t="str">
        <v>All Concepts (OTR) of a Package - Short Texts</v>
      </c>
      <c r="D160" t="str">
        <v>SPAU</v>
      </c>
      <c r="E160" t="str">
        <v>Yes</v>
      </c>
    </row>
    <row r="161">
      <c r="A161" t="str">
        <v>R3TR</v>
      </c>
      <c r="B161" t="str">
        <v>SOTS</v>
      </c>
      <c r="C161" t="str">
        <v>All Concepts (OTR) of a Package - Long Texts</v>
      </c>
      <c r="D161" t="str">
        <v>SPAU</v>
      </c>
      <c r="E161" t="str">
        <v>Yes</v>
      </c>
    </row>
    <row r="162">
      <c r="A162" t="str">
        <v>LIMU</v>
      </c>
      <c r="B162" t="str">
        <v>SOTT</v>
      </c>
      <c r="C162" t="str">
        <v>Concept (Online Text Repository) - Short Texts</v>
      </c>
      <c r="D162" t="str">
        <v>SPAU</v>
      </c>
      <c r="E162" t="str">
        <v>Yes</v>
      </c>
    </row>
    <row r="163">
      <c r="A163" t="str">
        <v>LIMU</v>
      </c>
      <c r="B163" t="str">
        <v>SOTU</v>
      </c>
      <c r="C163" t="str">
        <v>Concept (Online Text Repository) - Long Texts</v>
      </c>
      <c r="D163" t="str">
        <v>SPAU</v>
      </c>
      <c r="E163" t="str">
        <v>Yes</v>
      </c>
    </row>
    <row r="164">
      <c r="A164" t="str">
        <v>R3TR</v>
      </c>
      <c r="B164" t="str">
        <v>SPOK</v>
      </c>
      <c r="C164" t="str">
        <v>BW InfoSpoke</v>
      </c>
      <c r="D164" t="str">
        <v>SPAU</v>
      </c>
      <c r="E164" t="str">
        <v>No</v>
      </c>
    </row>
    <row r="165">
      <c r="A165" t="str">
        <v>R3TR</v>
      </c>
      <c r="B165" t="str">
        <v>SPRX</v>
      </c>
      <c r="C165" t="str">
        <v>Proxy Object</v>
      </c>
      <c r="D165" t="str">
        <v>SPAU</v>
      </c>
      <c r="E165" t="str">
        <v>No</v>
      </c>
    </row>
    <row r="166">
      <c r="A166" t="str">
        <v>R3TR</v>
      </c>
      <c r="B166" t="str">
        <v>SSFO</v>
      </c>
      <c r="C166" t="str">
        <v>SAP Smart Form</v>
      </c>
      <c r="D166" t="str">
        <v>SPAU</v>
      </c>
      <c r="E166" t="str">
        <v>Yes</v>
      </c>
    </row>
    <row r="167">
      <c r="A167" t="str">
        <v>R3TR</v>
      </c>
      <c r="B167" t="str">
        <v>SSST</v>
      </c>
      <c r="C167" t="str">
        <v>SAP Smart Style</v>
      </c>
      <c r="D167" t="str">
        <v>SPAU</v>
      </c>
      <c r="E167" t="str">
        <v>No</v>
      </c>
    </row>
    <row r="168">
      <c r="A168" t="str">
        <v>R3TR</v>
      </c>
      <c r="B168" t="str">
        <v>STVI</v>
      </c>
      <c r="C168" t="str">
        <v>Transaction variants (cross-client)</v>
      </c>
      <c r="D168" t="str">
        <v>SPAU</v>
      </c>
      <c r="E168" t="str">
        <v>Yes</v>
      </c>
    </row>
    <row r="169">
      <c r="A169" t="str">
        <v>R3TR</v>
      </c>
      <c r="B169" t="str">
        <v>STVR</v>
      </c>
      <c r="C169" t="str">
        <v>Transaction variants</v>
      </c>
      <c r="D169" t="str">
        <v>SPAU</v>
      </c>
      <c r="E169" t="str">
        <v>Yes</v>
      </c>
    </row>
    <row r="170">
      <c r="A170" t="str">
        <v>R3TR</v>
      </c>
      <c r="B170" t="str">
        <v>STYL</v>
      </c>
      <c r="C170" t="str">
        <v>SAPscript Style</v>
      </c>
      <c r="D170" t="str">
        <v>SPAU</v>
      </c>
      <c r="E170" t="str">
        <v>No</v>
      </c>
    </row>
    <row r="171">
      <c r="A171" t="str">
        <v>R3TR</v>
      </c>
      <c r="B171" t="str">
        <v>SUSC</v>
      </c>
      <c r="C171" t="str">
        <v>Authorization object class</v>
      </c>
      <c r="D171" t="str">
        <v>SPAU</v>
      </c>
      <c r="E171" t="str">
        <v>No</v>
      </c>
    </row>
    <row r="172">
      <c r="A172" t="str">
        <v>R3TR</v>
      </c>
      <c r="B172" t="str">
        <v>SUSG</v>
      </c>
      <c r="C172" t="str">
        <v>Authorization object groups (assignment TCode --&gt; auth.gr.)</v>
      </c>
      <c r="D172" t="str">
        <v>SPAU</v>
      </c>
      <c r="E172" t="str">
        <v>No</v>
      </c>
    </row>
    <row r="173">
      <c r="A173" t="str">
        <v>R3TR</v>
      </c>
      <c r="B173" t="str">
        <v>SUSO</v>
      </c>
      <c r="C173" t="str">
        <v>Authorization object</v>
      </c>
      <c r="D173" t="str">
        <v>SPAU</v>
      </c>
      <c r="E173" t="str">
        <v>Yes</v>
      </c>
    </row>
    <row r="174">
      <c r="A174" t="str">
        <v>R3TR</v>
      </c>
      <c r="B174" t="str">
        <v>SUST</v>
      </c>
      <c r="C174" t="str">
        <v>Assignment transaction &gt; auth. objects</v>
      </c>
      <c r="D174" t="str">
        <v>SPAU</v>
      </c>
      <c r="E174" t="str">
        <v>No</v>
      </c>
    </row>
    <row r="175">
      <c r="A175" t="str">
        <v>R3TR</v>
      </c>
      <c r="B175" t="str">
        <v>SXCI</v>
      </c>
      <c r="C175" t="str">
        <v>Business Add-Ins - Implementations</v>
      </c>
      <c r="D175" t="str">
        <v>SPAU</v>
      </c>
      <c r="E175" t="str">
        <v>Yes</v>
      </c>
    </row>
    <row r="176">
      <c r="A176" t="str">
        <v>R3TR</v>
      </c>
      <c r="B176" t="str">
        <v>SXSD</v>
      </c>
      <c r="C176" t="str">
        <v>Business Add-Ins - Definitions</v>
      </c>
      <c r="D176" t="str">
        <v>SPAU</v>
      </c>
      <c r="E176" t="str">
        <v>Yes</v>
      </c>
    </row>
    <row r="177">
      <c r="A177" t="str">
        <v>LIMU</v>
      </c>
      <c r="B177" t="str">
        <v>TABD</v>
      </c>
      <c r="C177" t="str">
        <v>Table Definition</v>
      </c>
      <c r="D177" t="str">
        <v>SPDD</v>
      </c>
      <c r="E177" t="str">
        <v>Yes</v>
      </c>
    </row>
    <row r="178">
      <c r="A178" t="str">
        <v>R3TR</v>
      </c>
      <c r="B178" t="str">
        <v>TABL</v>
      </c>
      <c r="C178" t="str">
        <v>Table</v>
      </c>
      <c r="D178" t="str">
        <v>SPDD</v>
      </c>
      <c r="E178" t="str">
        <v>Yes</v>
      </c>
    </row>
    <row r="179">
      <c r="A179" t="str">
        <v>LIMU</v>
      </c>
      <c r="B179" t="str">
        <v>TABT</v>
      </c>
      <c r="C179" t="str">
        <v>Technical Attributes of a Table</v>
      </c>
      <c r="D179" t="str">
        <v>SPDD</v>
      </c>
      <c r="E179" t="str">
        <v>Yes</v>
      </c>
    </row>
    <row r="180">
      <c r="A180" t="str">
        <v>R3TR</v>
      </c>
      <c r="B180" t="str">
        <v>TMPL</v>
      </c>
      <c r="C180" t="str">
        <v>BW Web Templates</v>
      </c>
      <c r="D180" t="str">
        <v>SPAU</v>
      </c>
      <c r="E180" t="str">
        <v>No</v>
      </c>
    </row>
    <row r="181">
      <c r="A181" t="str">
        <v>R3TR</v>
      </c>
      <c r="B181" t="str">
        <v>TOBJ</v>
      </c>
      <c r="C181" t="str">
        <v>Definition of a Maintenance and Transport Object</v>
      </c>
      <c r="D181" t="str">
        <v>SPDD</v>
      </c>
      <c r="E181" t="str">
        <v>Yes</v>
      </c>
    </row>
    <row r="182">
      <c r="A182" t="str">
        <v>R3TR</v>
      </c>
      <c r="B182" t="str">
        <v>TRAN</v>
      </c>
      <c r="C182" t="str">
        <v>Transaction</v>
      </c>
      <c r="D182" t="str">
        <v>SPAU</v>
      </c>
      <c r="E182" t="str">
        <v>Yes</v>
      </c>
    </row>
    <row r="183">
      <c r="A183" t="str">
        <v>R3TR</v>
      </c>
      <c r="B183" t="str">
        <v>TRIF</v>
      </c>
      <c r="C183" t="str">
        <v>Interface Definition</v>
      </c>
      <c r="D183" t="str">
        <v>SPAU</v>
      </c>
      <c r="E183" t="str">
        <v>Yes</v>
      </c>
    </row>
    <row r="184">
      <c r="A184" t="str">
        <v>LIMU</v>
      </c>
      <c r="B184" t="str">
        <v>TTYD</v>
      </c>
      <c r="C184" t="str">
        <v>Table Type Definition</v>
      </c>
      <c r="D184" t="str">
        <v>SPDD</v>
      </c>
      <c r="E184" t="str">
        <v>Yes</v>
      </c>
    </row>
    <row r="185">
      <c r="A185" t="str">
        <v>R3TR</v>
      </c>
      <c r="B185" t="str">
        <v>TTYP</v>
      </c>
      <c r="C185" t="str">
        <v>Table Type</v>
      </c>
      <c r="D185" t="str">
        <v>SPDD</v>
      </c>
      <c r="E185" t="str">
        <v>Yes</v>
      </c>
    </row>
    <row r="186">
      <c r="A186" t="str">
        <v>LIMU</v>
      </c>
      <c r="B186" t="str">
        <v>TTYX</v>
      </c>
      <c r="C186" t="str">
        <v>Text Component of Table Type Definition</v>
      </c>
      <c r="D186" t="str">
        <v>SPDD</v>
      </c>
      <c r="E186" t="str">
        <v>Yes</v>
      </c>
    </row>
    <row r="187">
      <c r="A187" t="str">
        <v>LIMU</v>
      </c>
      <c r="B187" t="str">
        <v>TYPD</v>
      </c>
      <c r="C187" t="str">
        <v>Type Group Source Code</v>
      </c>
      <c r="D187" t="str">
        <v>SPDD</v>
      </c>
      <c r="E187" t="str">
        <v>Yes</v>
      </c>
    </row>
    <row r="188">
      <c r="A188" t="str">
        <v>R3TR</v>
      </c>
      <c r="B188" t="str">
        <v>TYPE</v>
      </c>
      <c r="C188" t="str">
        <v>Type Group</v>
      </c>
      <c r="D188" t="str">
        <v>SPDD</v>
      </c>
      <c r="E188" t="str">
        <v>Yes</v>
      </c>
    </row>
    <row r="189">
      <c r="A189" t="str">
        <v>LIMU</v>
      </c>
      <c r="B189" t="str">
        <v>VARI</v>
      </c>
      <c r="C189" t="str">
        <v>Report Program System Variant</v>
      </c>
      <c r="D189" t="str">
        <v>SPAU</v>
      </c>
      <c r="E189" t="str">
        <v>Yes</v>
      </c>
    </row>
    <row r="190">
      <c r="A190" t="str">
        <v>LIMU</v>
      </c>
      <c r="B190" t="str">
        <v>VARX</v>
      </c>
      <c r="C190" t="str">
        <v>Report Program Application Variant</v>
      </c>
      <c r="D190" t="str">
        <v>SPAU</v>
      </c>
      <c r="E190" t="str">
        <v>Yes</v>
      </c>
    </row>
    <row r="191">
      <c r="A191" t="str">
        <v>R3TR</v>
      </c>
      <c r="B191" t="str">
        <v>VBED</v>
      </c>
      <c r="C191" t="str">
        <v>VOFM</v>
      </c>
      <c r="D191" t="str">
        <v>SPAU</v>
      </c>
      <c r="E191" t="str">
        <v>Yes</v>
      </c>
    </row>
    <row r="192">
      <c r="A192" t="str">
        <v>LIMU</v>
      </c>
      <c r="B192" t="str">
        <v>VIED</v>
      </c>
      <c r="C192" t="str">
        <v>View Definition</v>
      </c>
      <c r="D192" t="str">
        <v>SPDD</v>
      </c>
      <c r="E192" t="str">
        <v>Yes</v>
      </c>
    </row>
    <row r="193">
      <c r="A193" t="str">
        <v>LIMU</v>
      </c>
      <c r="B193" t="str">
        <v>VIET</v>
      </c>
      <c r="C193" t="str">
        <v>Technical Attributes of a View</v>
      </c>
      <c r="D193" t="str">
        <v>SPDD</v>
      </c>
      <c r="E193" t="str">
        <v>Yes</v>
      </c>
    </row>
    <row r="194">
      <c r="A194" t="str">
        <v>R3TR</v>
      </c>
      <c r="B194" t="str">
        <v>VIEW</v>
      </c>
      <c r="C194" t="str">
        <v>View</v>
      </c>
      <c r="D194" t="str">
        <v>SPDD</v>
      </c>
      <c r="E194" t="str">
        <v>Yes</v>
      </c>
    </row>
    <row r="195">
      <c r="A195" t="str">
        <v>R3TR</v>
      </c>
      <c r="B195" t="str">
        <v>W3MI</v>
      </c>
      <c r="C195" t="str">
        <v>Web Reporting/Internet Transaction Server MIME Types(binary</v>
      </c>
      <c r="D195" t="str">
        <v>SPDD</v>
      </c>
      <c r="E195" t="str">
        <v>No</v>
      </c>
    </row>
    <row r="196">
      <c r="A196" t="str">
        <v>R3TR</v>
      </c>
      <c r="B196" t="str">
        <v>WAPA</v>
      </c>
      <c r="C196" t="str">
        <v>BSP (Business Server Pages) Application</v>
      </c>
      <c r="D196" t="str">
        <v>SPAU</v>
      </c>
      <c r="E196" t="str">
        <v>No</v>
      </c>
    </row>
    <row r="197">
      <c r="A197" t="str">
        <v>LIMU</v>
      </c>
      <c r="B197" t="str">
        <v>WAPD</v>
      </c>
      <c r="C197" t="str">
        <v>Definition of BSP Application</v>
      </c>
      <c r="D197" t="str">
        <v>SPAU</v>
      </c>
      <c r="E197" t="str">
        <v>Yes</v>
      </c>
    </row>
    <row r="198">
      <c r="A198" t="str">
        <v>LIMU</v>
      </c>
      <c r="B198" t="str">
        <v>WAPP</v>
      </c>
      <c r="C198" t="str">
        <v>Page/Controller of a BSP Application</v>
      </c>
      <c r="D198" t="str">
        <v>SPAU</v>
      </c>
      <c r="E198" t="str">
        <v>Yes</v>
      </c>
    </row>
    <row r="199">
      <c r="A199" t="str">
        <v>R3TR</v>
      </c>
      <c r="B199" t="str">
        <v>WDCC</v>
      </c>
      <c r="C199" t="str">
        <v>Web Dynpro Component Configuration</v>
      </c>
      <c r="D199" t="str">
        <v>SPAU</v>
      </c>
      <c r="E199" t="str">
        <v>Yes</v>
      </c>
    </row>
    <row r="200">
      <c r="A200" t="str">
        <v>R3TR</v>
      </c>
      <c r="B200" t="str">
        <v>WDYA</v>
      </c>
      <c r="C200" t="str">
        <v>Web Dynpro Application</v>
      </c>
      <c r="D200" t="str">
        <v>SPAU</v>
      </c>
      <c r="E200" t="str">
        <v>Yes</v>
      </c>
    </row>
    <row r="201">
      <c r="A201" t="str">
        <v>LIMU</v>
      </c>
      <c r="B201" t="str">
        <v>WDYC</v>
      </c>
      <c r="C201" t="str">
        <v>Controller (Web Dynpro)</v>
      </c>
      <c r="D201" t="str">
        <v>SPAU</v>
      </c>
      <c r="E201" t="str">
        <v>Yes</v>
      </c>
    </row>
    <row r="202">
      <c r="A202" t="str">
        <v>LIMU</v>
      </c>
      <c r="B202" t="str">
        <v>WDYD</v>
      </c>
      <c r="C202" t="str">
        <v>Definition (Web Dynpro)</v>
      </c>
      <c r="D202" t="str">
        <v>SPAU</v>
      </c>
      <c r="E202" t="str">
        <v>Yes</v>
      </c>
    </row>
    <row r="203">
      <c r="A203" t="str">
        <v>R3TR</v>
      </c>
      <c r="B203" t="str">
        <v>WDYN</v>
      </c>
      <c r="C203" t="str">
        <v>Web Dynpro Component</v>
      </c>
      <c r="D203" t="str">
        <v>SPAU</v>
      </c>
      <c r="E203" t="str">
        <v>Yes</v>
      </c>
    </row>
    <row r="204">
      <c r="A204" t="str">
        <v>LIMU</v>
      </c>
      <c r="B204" t="str">
        <v>WDYV</v>
      </c>
      <c r="C204" t="str">
        <v>View (Web Dynpro)</v>
      </c>
      <c r="D204" t="str">
        <v>SPAU</v>
      </c>
      <c r="E204" t="str">
        <v>Yes</v>
      </c>
    </row>
    <row r="205">
      <c r="A205" t="str">
        <v>R3TR</v>
      </c>
      <c r="B205" t="str">
        <v>WEBI</v>
      </c>
      <c r="C205" t="str">
        <v>Virtual End Point</v>
      </c>
      <c r="D205" t="str">
        <v>SPAU</v>
      </c>
      <c r="E205" t="str">
        <v>No</v>
      </c>
    </row>
    <row r="206">
      <c r="A206" t="str">
        <v>R3TR</v>
      </c>
      <c r="B206" t="str">
        <v>WTAG</v>
      </c>
      <c r="C206" t="str">
        <v>BSP Extension</v>
      </c>
      <c r="D206" t="str">
        <v>SPAU</v>
      </c>
      <c r="E206" t="str">
        <v>No</v>
      </c>
    </row>
    <row r="207">
      <c r="A207" t="str">
        <v>LIMU</v>
      </c>
      <c r="B207" t="str">
        <v>XIND</v>
      </c>
      <c r="C207" t="str">
        <v>Extension Index Definition</v>
      </c>
      <c r="D207" t="str">
        <v>SPDD</v>
      </c>
      <c r="E207" t="str">
        <v>No</v>
      </c>
    </row>
    <row r="208">
      <c r="A208" t="str">
        <v>R3TR</v>
      </c>
      <c r="B208" t="str">
        <v>XINX</v>
      </c>
      <c r="C208" t="str">
        <v>Ext. Index</v>
      </c>
      <c r="D208" t="str">
        <v>SPDD</v>
      </c>
      <c r="E208" t="str">
        <v>No</v>
      </c>
    </row>
    <row r="209">
      <c r="A209" t="str">
        <v>R3TR</v>
      </c>
      <c r="B209" t="str">
        <v>XSLT</v>
      </c>
      <c r="C209" t="str">
        <v>Transformation</v>
      </c>
      <c r="D209" t="str">
        <v>SPAU</v>
      </c>
      <c r="E209" t="str">
        <v>Yes</v>
      </c>
    </row>
    <row r="210">
      <c r="A210" t="str">
        <v>R3TR</v>
      </c>
      <c r="B210" t="str">
        <v>SRFC</v>
      </c>
      <c r="C210" t="str">
        <v>RFC Service</v>
      </c>
      <c r="D210" t="str">
        <v>SPAU</v>
      </c>
      <c r="E210" t="str">
        <v>Yes</v>
      </c>
    </row>
    <row r="211">
      <c r="A211" t="str">
        <v>R3TR</v>
      </c>
      <c r="B211" t="str">
        <v>VCLS</v>
      </c>
      <c r="C211" t="str">
        <v>View cluster</v>
      </c>
      <c r="D211" t="str">
        <v>SPDD</v>
      </c>
      <c r="E211" t="str">
        <v>No</v>
      </c>
    </row>
    <row r="212">
      <c r="A212" t="str">
        <v>R3TR</v>
      </c>
      <c r="B212" t="str">
        <v>FSEL</v>
      </c>
      <c r="C212" t="str">
        <v>Field Selection</v>
      </c>
      <c r="D212" t="str">
        <v>SPAU</v>
      </c>
      <c r="E212" t="str">
        <v>No</v>
      </c>
    </row>
    <row r="213">
      <c r="A213" t="str">
        <v>R3TR</v>
      </c>
      <c r="B213" t="str">
        <v>CHDO</v>
      </c>
      <c r="C213" t="str">
        <v>Change Document</v>
      </c>
      <c r="D213" t="str">
        <v>SPAU</v>
      </c>
      <c r="E213" t="str">
        <v>No</v>
      </c>
    </row>
    <row r="214">
      <c r="A214" t="str">
        <v>R3TR</v>
      </c>
      <c r="B214" t="str">
        <v>AUTH</v>
      </c>
      <c r="C214" t="str">
        <v>Authorization Check Fields</v>
      </c>
      <c r="D214" t="str">
        <v>SPAU</v>
      </c>
      <c r="E214" t="str">
        <v>Yes</v>
      </c>
    </row>
    <row r="215">
      <c r="A215" t="str">
        <v>R3TR</v>
      </c>
      <c r="B215" t="str">
        <v>PERS</v>
      </c>
      <c r="C215" t="str">
        <v>Personalization object</v>
      </c>
      <c r="D215" t="str">
        <v>SPAU</v>
      </c>
      <c r="E215" t="str">
        <v>No</v>
      </c>
    </row>
    <row r="216">
      <c r="A216" t="str">
        <v>LIMU</v>
      </c>
      <c r="B216" t="str">
        <v>HOTO</v>
      </c>
      <c r="C216" t="str">
        <v>Single Object (SAP HANA Transport for ABAP)</v>
      </c>
      <c r="D216" t="str">
        <v>SPAU</v>
      </c>
      <c r="E216" t="str">
        <v>No</v>
      </c>
    </row>
    <row r="217">
      <c r="A217" t="str">
        <v>R3TR</v>
      </c>
      <c r="B217" t="str">
        <v>HOTA</v>
      </c>
      <c r="C217" t="str">
        <v>Full Package (SAP HANA Transport for ABAP)</v>
      </c>
      <c r="D217" t="str">
        <v>SPAU</v>
      </c>
      <c r="E217" t="str">
        <v>No</v>
      </c>
    </row>
    <row r="218">
      <c r="A218" t="str">
        <v>LIMU</v>
      </c>
      <c r="B218" t="str">
        <v>HOTP</v>
      </c>
      <c r="C218" t="str">
        <v>Package Metadata (SAP HANA Transport for ABAP)</v>
      </c>
      <c r="D218" t="str">
        <v>SPAU</v>
      </c>
      <c r="E218" t="str">
        <v>No</v>
      </c>
    </row>
    <row r="219">
      <c r="A219" t="str">
        <v>R3TR</v>
      </c>
      <c r="B219" t="str">
        <v>WDCA</v>
      </c>
      <c r="C219" t="str">
        <v>Web Dynpro Application Configuration</v>
      </c>
      <c r="D219" t="str">
        <v>SPAU</v>
      </c>
      <c r="E219" t="str">
        <v>Yes</v>
      </c>
    </row>
  </sheetData>
  <pageMargins left="0.7" right="0.7" top="0.75" bottom="0.75" header="0.3" footer="0.3"/>
  <ignoredErrors>
    <ignoredError numberStoredAsText="1" sqref="A1:E219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09cd68-3971-4d1c-85ca-c04c6d380732">
      <Terms xmlns="http://schemas.microsoft.com/office/infopath/2007/PartnerControls"/>
    </lcf76f155ced4ddcb4097134ff3c332f>
    <TaxCatchAll xmlns="d31bb795-d62b-432d-8c33-4104c335f4c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31224C8EF1354CA3A082A37B20246B" ma:contentTypeVersion="17" ma:contentTypeDescription="Create a new document." ma:contentTypeScope="" ma:versionID="c65e81383975d1546bc723a0a126685c">
  <xsd:schema xmlns:xsd="http://www.w3.org/2001/XMLSchema" xmlns:xs="http://www.w3.org/2001/XMLSchema" xmlns:p="http://schemas.microsoft.com/office/2006/metadata/properties" xmlns:ns2="d409cd68-3971-4d1c-85ca-c04c6d380732" xmlns:ns3="d31bb795-d62b-432d-8c33-4104c335f4c7" targetNamespace="http://schemas.microsoft.com/office/2006/metadata/properties" ma:root="true" ma:fieldsID="4bdb314a05141d6ba7a7519a508f05f9" ns2:_="" ns3:_="">
    <xsd:import namespace="d409cd68-3971-4d1c-85ca-c04c6d380732"/>
    <xsd:import namespace="d31bb795-d62b-432d-8c33-4104c335f4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9cd68-3971-4d1c-85ca-c04c6d3807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1bb795-d62b-432d-8c33-4104c335f4c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7c8d06b-95a6-4371-9018-78165a1a0206}" ma:internalName="TaxCatchAll" ma:showField="CatchAllData" ma:web="d31bb795-d62b-432d-8c33-4104c335f4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F42838-BD58-44A9-B0C6-C8DF79E6C501}">
  <ds:schemaRefs>
    <ds:schemaRef ds:uri="http://www.w3.org/XML/1998/namespace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df4d5e41-57e8-4a87-b9ca-323343493ce2"/>
    <ds:schemaRef ds:uri="d409cd68-3971-4d1c-85ca-c04c6d380732"/>
    <ds:schemaRef ds:uri="d31bb795-d62b-432d-8c33-4104c335f4c7"/>
  </ds:schemaRefs>
</ds:datastoreItem>
</file>

<file path=customXml/itemProps2.xml><?xml version="1.0" encoding="utf-8"?>
<ds:datastoreItem xmlns:ds="http://schemas.openxmlformats.org/officeDocument/2006/customXml" ds:itemID="{CCF5FBB8-BDF0-4966-9226-95CE8F2C57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09cd68-3971-4d1c-85ca-c04c6d380732"/>
    <ds:schemaRef ds:uri="d31bb795-d62b-432d-8c33-4104c335f4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BC96DC-B6D4-4574-A595-76F5EF8C48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 to get the extract</vt:lpstr>
      <vt:lpstr>Pivots</vt:lpstr>
      <vt:lpstr>SMODILOG</vt:lpstr>
      <vt:lpstr>Namespace</vt:lpstr>
      <vt:lpstr>Classification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2020-08-07T15:30:29Z</dcterms:created>
  <dcterms:modified xsi:type="dcterms:W3CDTF">2026-05-31T21:10:48Z</dcterms:modified>
  <cp:lastModifiedBy>Jain, Apoorv</cp:lastModifiedBy>
  <dc:creator>Tarun Gambhir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92f58470-81b4-47c8-ab30-20a217d83f1f</vt:lpwstr>
  </property>
  <property fmtid="{D5CDD505-2E9C-101B-9397-08002B2CF9AE}" pid="3" name="ContentTypeId">
    <vt:lpwstr>0x010100AC91BF53088F2F439455C1B7D3EDCCD0</vt:lpwstr>
  </property>
  <property fmtid="{D5CDD505-2E9C-101B-9397-08002B2CF9AE}" pid="4" name="MediaServiceImageTags">
    <vt:lpwstr/>
  </property>
</Properties>
</file>