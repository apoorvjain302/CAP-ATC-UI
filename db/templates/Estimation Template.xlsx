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apoorv_jain_sap_com/Documents/Desktop/"/>
    </mc:Choice>
  </mc:AlternateContent>
  <xr:revisionPtr revIDLastSave="4" documentId="13_ncr:1_{8F85592A-D070-4AA0-A9D9-AA8E37A9C13A}" xr6:coauthVersionLast="47" xr6:coauthVersionMax="47" xr10:uidLastSave="{BA11F752-664D-4535-AF9D-C057022F4B4F}"/>
  <bookViews>
    <workbookView xWindow="-110" yWindow="-110" windowWidth="19420" windowHeight="11500" xr2:uid="{DB55D8EF-4C71-43D4-85C4-42184E5B1C56}"/>
  </bookViews>
  <sheets>
    <sheet name="Timelin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D4" i="2"/>
  <c r="D5" i="2"/>
  <c r="H11" i="2" l="1"/>
  <c r="H10" i="2"/>
  <c r="H9" i="2"/>
  <c r="F6" i="2"/>
  <c r="E5" i="2"/>
  <c r="G5" i="2" s="1"/>
  <c r="H5" i="2" s="1"/>
  <c r="E4" i="2"/>
  <c r="G4" i="2" s="1"/>
  <c r="H4" i="2" s="1"/>
  <c r="E3" i="2"/>
  <c r="G3" i="2" s="1"/>
  <c r="H3" i="2" s="1"/>
  <c r="E2" i="2"/>
  <c r="E6" i="2" l="1"/>
  <c r="D6" i="2"/>
  <c r="G2" i="2"/>
  <c r="G6" i="2" l="1"/>
  <c r="H2" i="2"/>
  <c r="H6" i="2" s="1"/>
  <c r="G8" i="2" l="1"/>
  <c r="H8" i="2" s="1"/>
  <c r="G7" i="2"/>
  <c r="H7" i="2" s="1"/>
  <c r="H12" i="2" l="1"/>
  <c r="G12" i="2"/>
</calcChain>
</file>

<file path=xl/sharedStrings.xml><?xml version="1.0" encoding="utf-8"?>
<sst xmlns="http://schemas.openxmlformats.org/spreadsheetml/2006/main" count="34" uniqueCount="27">
  <si>
    <t>SID</t>
  </si>
  <si>
    <t>Activity</t>
  </si>
  <si>
    <t>Count</t>
  </si>
  <si>
    <t>Auto</t>
  </si>
  <si>
    <t>Manual</t>
  </si>
  <si>
    <t>Per Day</t>
  </si>
  <si>
    <t>PD's</t>
  </si>
  <si>
    <t>Hour's</t>
  </si>
  <si>
    <t>SAAQ</t>
  </si>
  <si>
    <t>SPDD</t>
  </si>
  <si>
    <t>SPAU</t>
  </si>
  <si>
    <t>HCA</t>
  </si>
  <si>
    <t>S/4HANA</t>
  </si>
  <si>
    <t>Total</t>
  </si>
  <si>
    <t>Lead Effort 30%</t>
  </si>
  <si>
    <t>Testing Effort 35%</t>
  </si>
  <si>
    <t>Automation</t>
  </si>
  <si>
    <t>Prepare Phase</t>
  </si>
  <si>
    <t>CVI</t>
  </si>
  <si>
    <t>W0</t>
  </si>
  <si>
    <t>W1</t>
  </si>
  <si>
    <t>W2</t>
  </si>
  <si>
    <t>W3</t>
  </si>
  <si>
    <t>W4</t>
  </si>
  <si>
    <t>W5</t>
  </si>
  <si>
    <t>S4H</t>
  </si>
  <si>
    <t>Resource Req.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</si>
</sst>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3" fillId="4" borderId="1" xfId="0" applyFont="1" applyFill="1" applyBorder="1"/>
    <xf numFmtId="0" fontId="3" fillId="5" borderId="1" xfId="0" applyFont="1" applyFill="1" applyBorder="1"/>
    <xf numFmtId="0" fontId="2" fillId="3" borderId="1" xfId="0" applyFont="1" applyFill="1" applyBorder="1"/>
    <xf numFmtId="0" fontId="3" fillId="7" borderId="1" xfId="0" applyFont="1" applyFill="1" applyBorder="1"/>
    <xf numFmtId="0" fontId="2" fillId="0" borderId="3" xfId="0" applyFont="1" applyBorder="1"/>
    <xf numFmtId="0" fontId="3" fillId="0" borderId="4" xfId="0" applyFont="1" applyBorder="1"/>
    <xf numFmtId="0" fontId="0" fillId="0" borderId="1" xfId="0" applyBorder="1"/>
    <xf numFmtId="0" fontId="1" fillId="3" borderId="2" xfId="0" applyFont="1" applyFill="1" applyBorder="1"/>
    <xf numFmtId="0" fontId="1" fillId="3" borderId="5" xfId="0" applyFont="1" applyFill="1" applyBorder="1"/>
    <xf numFmtId="0" fontId="2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9" borderId="1" xfId="0" applyFill="1" applyBorder="1"/>
    <xf numFmtId="0" fontId="3" fillId="9" borderId="1" xfId="0" applyFont="1" applyFill="1" applyBorder="1"/>
    <xf numFmtId="0" fontId="0" fillId="10" borderId="1" xfId="0" applyFill="1" applyBorder="1"/>
    <xf numFmtId="0" fontId="0" fillId="11" borderId="1" xfId="0" applyFill="1" applyBorder="1"/>
    <xf numFmtId="2" fontId="3" fillId="0" borderId="1" xfId="0" applyNumberFormat="1" applyFont="1" applyBorder="1"/>
    <xf numFmtId="2" fontId="2" fillId="3" borderId="1" xfId="0" applyNumberFormat="1" applyFont="1" applyFill="1" applyBorder="1"/>
    <xf numFmtId="2" fontId="1" fillId="3" borderId="6" xfId="0" applyNumberFormat="1" applyFont="1" applyFill="1" applyBorder="1"/>
    <xf numFmtId="2" fontId="2" fillId="3" borderId="6" xfId="0" applyNumberFormat="1" applyFont="1" applyFill="1" applyBorder="1"/>
    <xf numFmtId="2" fontId="3" fillId="6" borderId="1" xfId="0" applyNumberFormat="1" applyFont="1" applyFill="1" applyBorder="1"/>
    <xf numFmtId="0" fontId="0" fillId="0" borderId="7" xfId="0" applyBorder="1"/>
    <xf numFmtId="2" fontId="3" fillId="12" borderId="1" xfId="0" applyNumberFormat="1" applyFont="1" applyFill="1" applyBorder="1"/>
    <xf numFmtId="3" fontId="0" fillId="0" borderId="0" xfId="0" applyNumberFormat="1"/>
    <xf numFmtId="2" fontId="0" fillId="0" borderId="0" xfId="0" applyNumberFormat="1"/>
    <xf numFmtId="1" fontId="3" fillId="12" borderId="1" xfId="0" applyNumberFormat="1" applyFont="1" applyFill="1" applyBorder="1"/>
    <xf numFmtId="0" fontId="2" fillId="3" borderId="2" xfId="0" applyFont="1" applyFill="1" applyBorder="1" applyAlignment="1">
      <alignment horizontal="center" vertical="center" textRotation="255"/>
    </xf>
    <xf numFmtId="0" fontId="2" fillId="3" borderId="0" xfId="0" applyFont="1" applyFill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6670-3C84-42FD-AFA2-1F3AD5323D02}">
  <dimension ref="A1:T20"/>
  <sheetViews>
    <sheetView tabSelected="1" zoomScale="130" zoomScaleNormal="130" workbookViewId="0">
      <selection activeCell="C6" sqref="C6"/>
    </sheetView>
  </sheetViews>
  <sheetFormatPr defaultRowHeight="14.5" x14ac:dyDescent="0.35"/>
  <cols>
    <col min="2" max="2" width="17.453125" customWidth="1"/>
    <col min="17" max="17" width="9.179687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0" x14ac:dyDescent="0.35">
      <c r="A2" s="32" t="s">
        <v>8</v>
      </c>
      <c r="B2" s="2" t="s">
        <v>9</v>
      </c>
      <c r="C2" s="3">
        <v>0</v>
      </c>
      <c r="D2" s="3"/>
      <c r="E2" s="3">
        <f>C2-D2</f>
        <v>0</v>
      </c>
      <c r="F2" s="3">
        <v>50</v>
      </c>
      <c r="G2" s="3">
        <f>E2/F2</f>
        <v>0</v>
      </c>
      <c r="H2" s="4">
        <f>G2*8</f>
        <v>0</v>
      </c>
      <c r="L2">
        <v>4</v>
      </c>
      <c r="M2">
        <v>5</v>
      </c>
      <c r="N2">
        <v>8</v>
      </c>
      <c r="O2">
        <f>L2*M2*N2</f>
        <v>160</v>
      </c>
    </row>
    <row r="3" spans="1:20" x14ac:dyDescent="0.35">
      <c r="A3" s="33"/>
      <c r="B3" s="2" t="s">
        <v>10</v>
      </c>
      <c r="C3" s="3">
        <v>0</v>
      </c>
      <c r="D3" s="3"/>
      <c r="E3" s="3">
        <f>C3-D3</f>
        <v>0</v>
      </c>
      <c r="F3" s="3">
        <v>50</v>
      </c>
      <c r="G3" s="3">
        <f>E3/F3</f>
        <v>0</v>
      </c>
      <c r="H3" s="5">
        <f>G3*8</f>
        <v>0</v>
      </c>
      <c r="T3" s="29"/>
    </row>
    <row r="4" spans="1:20" x14ac:dyDescent="0.35">
      <c r="A4" s="33"/>
      <c r="B4" s="2" t="s">
        <v>11</v>
      </c>
      <c r="C4" s="3">
        <v>0</v>
      </c>
      <c r="D4" s="3">
        <f>C4*50%</f>
        <v>0</v>
      </c>
      <c r="E4" s="3">
        <f>C4-D4</f>
        <v>0</v>
      </c>
      <c r="F4" s="3">
        <v>50</v>
      </c>
      <c r="G4" s="3">
        <f>E4/F4</f>
        <v>0</v>
      </c>
      <c r="H4" s="26">
        <f>G4*8</f>
        <v>0</v>
      </c>
      <c r="Q4" s="29"/>
    </row>
    <row r="5" spans="1:20" x14ac:dyDescent="0.35">
      <c r="A5" s="33"/>
      <c r="B5" s="2" t="s">
        <v>12</v>
      </c>
      <c r="C5" s="3">
        <v>0</v>
      </c>
      <c r="D5" s="3">
        <f>C5*10%</f>
        <v>0</v>
      </c>
      <c r="E5" s="3">
        <f>C5-D5</f>
        <v>0</v>
      </c>
      <c r="F5" s="3">
        <v>35</v>
      </c>
      <c r="G5" s="3">
        <f>E5/F5</f>
        <v>0</v>
      </c>
      <c r="H5" s="28">
        <f>G5*8</f>
        <v>0</v>
      </c>
      <c r="Q5" s="29"/>
    </row>
    <row r="6" spans="1:20" x14ac:dyDescent="0.35">
      <c r="A6" s="33"/>
      <c r="B6" s="6" t="s">
        <v>13</v>
      </c>
      <c r="C6" s="6"/>
      <c r="D6" s="6">
        <f>SUM(D2:D5)</f>
        <v>0</v>
      </c>
      <c r="E6" s="6">
        <f>SUM(E2:E5)</f>
        <v>0</v>
      </c>
      <c r="F6" s="6">
        <f t="shared" ref="F6:G6" si="0">SUM(F2:F5)</f>
        <v>185</v>
      </c>
      <c r="G6" s="23">
        <f t="shared" si="0"/>
        <v>0</v>
      </c>
      <c r="H6" s="23">
        <f>SUM(H2:H5)</f>
        <v>0</v>
      </c>
    </row>
    <row r="7" spans="1:20" x14ac:dyDescent="0.35">
      <c r="A7" s="33"/>
      <c r="B7" s="2" t="s">
        <v>14</v>
      </c>
      <c r="C7" s="3"/>
      <c r="D7" s="3"/>
      <c r="E7" s="3"/>
      <c r="F7" s="3"/>
      <c r="G7" s="22">
        <f>G6*30%</f>
        <v>0</v>
      </c>
      <c r="H7" s="22">
        <f>G7*8</f>
        <v>0</v>
      </c>
      <c r="L7" s="30"/>
      <c r="Q7" s="29"/>
    </row>
    <row r="8" spans="1:20" x14ac:dyDescent="0.35">
      <c r="A8" s="33"/>
      <c r="B8" s="2" t="s">
        <v>15</v>
      </c>
      <c r="C8" s="3"/>
      <c r="D8" s="3"/>
      <c r="E8" s="3"/>
      <c r="F8" s="3"/>
      <c r="G8" s="22">
        <f>G6*35%</f>
        <v>0</v>
      </c>
      <c r="H8" s="22">
        <f t="shared" ref="H8:H11" si="1">G8*8</f>
        <v>0</v>
      </c>
    </row>
    <row r="9" spans="1:20" x14ac:dyDescent="0.35">
      <c r="A9" s="33"/>
      <c r="B9" s="2" t="s">
        <v>16</v>
      </c>
      <c r="C9" s="3"/>
      <c r="D9" s="3"/>
      <c r="E9" s="3"/>
      <c r="F9" s="3"/>
      <c r="G9" s="3">
        <v>7</v>
      </c>
      <c r="H9" s="7">
        <f t="shared" si="1"/>
        <v>56</v>
      </c>
      <c r="T9" s="29"/>
    </row>
    <row r="10" spans="1:20" x14ac:dyDescent="0.35">
      <c r="A10" s="33"/>
      <c r="B10" s="2" t="s">
        <v>17</v>
      </c>
      <c r="C10" s="3"/>
      <c r="D10" s="3"/>
      <c r="E10" s="3"/>
      <c r="F10" s="3"/>
      <c r="G10" s="3">
        <v>10</v>
      </c>
      <c r="H10" s="3">
        <f t="shared" si="1"/>
        <v>80</v>
      </c>
    </row>
    <row r="11" spans="1:20" x14ac:dyDescent="0.35">
      <c r="A11" s="33"/>
      <c r="B11" s="8" t="s">
        <v>18</v>
      </c>
      <c r="C11" s="9"/>
      <c r="D11" s="10"/>
      <c r="E11" s="10"/>
      <c r="F11" s="10"/>
      <c r="G11" s="10">
        <v>0</v>
      </c>
      <c r="H11" s="19">
        <f t="shared" si="1"/>
        <v>0</v>
      </c>
      <c r="Q11" s="29"/>
    </row>
    <row r="12" spans="1:20" x14ac:dyDescent="0.35">
      <c r="A12" s="33"/>
      <c r="B12" s="11" t="s">
        <v>13</v>
      </c>
      <c r="C12" s="11"/>
      <c r="D12" s="11"/>
      <c r="E12" s="11"/>
      <c r="F12" s="12"/>
      <c r="G12" s="24">
        <f>SUM(G6:G11)</f>
        <v>17</v>
      </c>
      <c r="H12" s="25">
        <f>SUM(H6:H11)</f>
        <v>136</v>
      </c>
    </row>
    <row r="13" spans="1:20" x14ac:dyDescent="0.35">
      <c r="A13" s="33"/>
      <c r="B13" s="13" t="s">
        <v>1</v>
      </c>
      <c r="C13" s="14" t="s">
        <v>19</v>
      </c>
      <c r="D13" s="14" t="s">
        <v>20</v>
      </c>
      <c r="E13" s="14" t="s">
        <v>21</v>
      </c>
      <c r="F13" s="14" t="s">
        <v>22</v>
      </c>
      <c r="G13" s="14" t="s">
        <v>23</v>
      </c>
      <c r="H13" s="14" t="s">
        <v>24</v>
      </c>
    </row>
    <row r="14" spans="1:20" x14ac:dyDescent="0.35">
      <c r="A14" s="33"/>
      <c r="B14" s="15" t="s">
        <v>9</v>
      </c>
      <c r="C14" s="16">
        <v>40</v>
      </c>
      <c r="D14" s="10"/>
      <c r="E14" s="10"/>
      <c r="F14" s="10"/>
      <c r="G14" s="10"/>
      <c r="H14" s="18"/>
    </row>
    <row r="15" spans="1:20" x14ac:dyDescent="0.35">
      <c r="A15" s="33"/>
      <c r="B15" s="15" t="s">
        <v>10</v>
      </c>
      <c r="C15" s="10"/>
      <c r="D15" s="17">
        <v>140</v>
      </c>
      <c r="E15" s="10"/>
      <c r="F15" s="10"/>
      <c r="G15" s="10"/>
      <c r="H15" s="18"/>
    </row>
    <row r="16" spans="1:20" x14ac:dyDescent="0.35">
      <c r="A16" s="33"/>
      <c r="B16" s="15" t="s">
        <v>16</v>
      </c>
      <c r="C16" s="10"/>
      <c r="D16" s="10"/>
      <c r="E16" s="20">
        <v>40</v>
      </c>
      <c r="F16" s="20">
        <v>16</v>
      </c>
      <c r="G16" s="10"/>
      <c r="H16" s="18"/>
    </row>
    <row r="17" spans="1:9" x14ac:dyDescent="0.35">
      <c r="A17" s="33"/>
      <c r="B17" s="15" t="s">
        <v>11</v>
      </c>
      <c r="C17" s="10"/>
      <c r="D17" s="10"/>
      <c r="E17" s="10"/>
      <c r="F17" s="21">
        <v>96</v>
      </c>
      <c r="G17" s="21">
        <v>111</v>
      </c>
      <c r="H17" s="22"/>
    </row>
    <row r="18" spans="1:9" x14ac:dyDescent="0.35">
      <c r="A18" s="33"/>
      <c r="B18" s="15" t="s">
        <v>25</v>
      </c>
      <c r="C18" s="10"/>
      <c r="D18" s="10"/>
      <c r="E18" s="10"/>
      <c r="F18" s="10"/>
      <c r="G18" s="31">
        <v>49</v>
      </c>
      <c r="H18" s="31">
        <v>120</v>
      </c>
      <c r="I18" s="27"/>
    </row>
    <row r="19" spans="1:9" x14ac:dyDescent="0.35">
      <c r="A19" s="33"/>
      <c r="B19" s="15" t="s">
        <v>18</v>
      </c>
      <c r="C19" s="10"/>
      <c r="D19" s="10"/>
      <c r="E19" s="10"/>
      <c r="F19" s="18"/>
      <c r="G19" s="10"/>
      <c r="H19" s="18"/>
    </row>
    <row r="20" spans="1:9" x14ac:dyDescent="0.35">
      <c r="A20" s="33"/>
      <c r="B20" s="15" t="s">
        <v>26</v>
      </c>
      <c r="C20" s="10">
        <v>1</v>
      </c>
      <c r="D20" s="10">
        <v>1.5</v>
      </c>
      <c r="E20" s="10">
        <v>1</v>
      </c>
      <c r="F20" s="10">
        <v>1</v>
      </c>
      <c r="G20" s="10">
        <v>15</v>
      </c>
      <c r="H20" s="10">
        <v>15</v>
      </c>
    </row>
  </sheetData>
  <mergeCells count="1">
    <mergeCell ref="A2:A20"/>
  </mergeCells>
  <phoneticPr fontId="4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Manager/>
  <Company>SAP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Kundan</dc:creator>
  <cp:keywords/>
  <dc:description/>
  <cp:lastModifiedBy>Jain, Apoorv</cp:lastModifiedBy>
  <cp:revision/>
  <dcterms:created xsi:type="dcterms:W3CDTF">2023-03-03T06:11:29Z</dcterms:created>
  <dcterms:modified xsi:type="dcterms:W3CDTF">2026-05-28T08:38:37Z</dcterms:modified>
  <cp:category/>
  <cp:contentStatus/>
</cp:coreProperties>
</file>